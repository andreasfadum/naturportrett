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Veiledning" sheetId="2" state="visible" r:id="rId2"/>
    <sheet xmlns:r="http://schemas.openxmlformats.org/officeDocument/2006/relationships" name="Akseptkriterier" sheetId="3" state="visible" r:id="rId3"/>
    <sheet xmlns:r="http://schemas.openxmlformats.org/officeDocument/2006/relationships" name="Risikoanalyse" sheetId="4" state="visible" r:id="rId4"/>
    <sheet xmlns:r="http://schemas.openxmlformats.org/officeDocument/2006/relationships" name="Tiltak" sheetId="5" state="visible" r:id="rId5"/>
    <sheet xmlns:r="http://schemas.openxmlformats.org/officeDocument/2006/relationships" name="Risikoanalyse_data" sheetId="6" state="hidden" r:id="rId6"/>
    <sheet xmlns:r="http://schemas.openxmlformats.org/officeDocument/2006/relationships" name="Risikomatriser" sheetId="7" state="visible" r:id="rId7"/>
    <sheet xmlns:r="http://schemas.openxmlformats.org/officeDocument/2006/relationships" name="Data" sheetId="8" state="hidden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</externalReferences>
  <definedNames>
    <definedName name="Prioritetsliste">'[2]Datasource 2'!$M$14:$M$16</definedName>
    <definedName name="Prioritetsliste_alt">'[2]Datasource 2'!$N$14:$N$15</definedName>
    <definedName name="Prosessliste">OFFSET([2]Forretningsprosesser!$B$2,0,0,COUNTA([2]Forretningsprosesser!$B:$B)-1,1)</definedName>
    <definedName name="Systemliste">OFFSET(#REF!,0,0,COUNTA(#REF!)-1,1)</definedName>
    <definedName name="sårbarhetsliste">OFFSET([2]Sårbarheter!$A$2,0,0,COUNT([2]Sårbarheter!$A:$A)-1,1)</definedName>
    <definedName name="Trusselliste">OFFSET([2]Trusselvurdering!$B$3,0,0,COUNTA([2]Trusselvurdering!$B:$B)-1,1)</definedName>
    <definedName name="Verdier">OFFSET([3]Verdivurdering!$B$2,0,0,COUNTA([4]Verdivurdering!$B$2:$B$400),1)</definedName>
    <definedName name="Verdiliste">OFFSET([2]Verdivurdering!$B$2,0,0,COUNTA([2]Verdivurdering!$B$2:$B$400),1)</definedName>
    <definedName name="Prioritetsliste" localSheetId="1">'[1]Datasource 2'!$M$14:$M$16</definedName>
    <definedName name="Prioritetsliste_alt" localSheetId="1">'[1]Datasource 2'!$N$14:$N$15</definedName>
    <definedName name="Prosessliste" localSheetId="1">OFFSET([1]Forretningsprosesser!$B$2,0,0,COUNTA([1]Forretningsprosesser!$B:$B)-1,1)</definedName>
    <definedName name="Systemliste" localSheetId="1">OFFSET(#REF!,0,0,COUNTA(#REF!)-1,1)</definedName>
    <definedName name="sårbarhetsliste" localSheetId="1">OFFSET([1]Sårbarheter!$A$2,0,0,COUNT([1]Sårbarheter!$A:$A)-1,1)</definedName>
    <definedName name="Trusselliste" localSheetId="1">OFFSET([1]Trusselvurdering!$B$3,0,0,COUNTA([1]Trusselvurdering!$B:$B)-1,1)</definedName>
    <definedName name="Verdiliste" localSheetId="1">OFFSET([1]Verdivurdering!$B$2,0,0,COUNTA([1]Verdivurdering!$B$2:$B$400),1)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b val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Oslo Sans Office"/>
      <color theme="1"/>
      <sz val="11"/>
    </font>
    <font>
      <name val="Oslo Sans Office"/>
      <b val="1"/>
      <color theme="1"/>
      <sz val="22"/>
    </font>
    <font>
      <name val="Oslo Sans Office"/>
      <b val="1"/>
      <color theme="1"/>
      <sz val="11"/>
    </font>
    <font>
      <name val="Calibri"/>
      <family val="2"/>
      <color theme="10"/>
      <sz val="11"/>
      <u val="single"/>
      <scheme val="minor"/>
    </font>
    <font>
      <name val="Oslo Sans Office"/>
      <color rgb="FF000000"/>
      <sz val="11"/>
    </font>
    <font>
      <name val="Calibri"/>
      <family val="2"/>
      <color theme="1"/>
      <sz val="18"/>
      <u val="single"/>
      <scheme val="minor"/>
    </font>
    <font>
      <name val="Calibri"/>
      <family val="2"/>
      <color theme="1"/>
      <sz val="14"/>
      <scheme val="minor"/>
    </font>
    <font>
      <name val="Arial Unicode MS"/>
      <color rgb="FF111111"/>
      <sz val="10"/>
    </font>
    <font>
      <name val="Oslo Sans Office"/>
      <color theme="1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0BFAE"/>
        <bgColor indexed="64"/>
      </patternFill>
    </fill>
    <fill>
      <patternFill patternType="solid">
        <fgColor rgb="FFB3F5FF"/>
        <bgColor indexed="64"/>
      </patternFill>
    </fill>
    <fill>
      <patternFill patternType="solid">
        <fgColor rgb="FFC7F6C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9" fillId="0" borderId="0"/>
  </cellStyleXfs>
  <cellXfs count="180">
    <xf numFmtId="0" fontId="0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textRotation="90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textRotation="90"/>
    </xf>
    <xf numFmtId="0" fontId="5" fillId="7" borderId="4" pivotButton="0" quotePrefix="0" xfId="0"/>
    <xf numFmtId="0" fontId="7" fillId="4" borderId="0" pivotButton="0" quotePrefix="0" xfId="0"/>
    <xf numFmtId="0" fontId="0" fillId="8" borderId="5" applyProtection="1" pivotButton="0" quotePrefix="0" xfId="0">
      <protection locked="0" hidden="0"/>
    </xf>
    <xf numFmtId="0" fontId="6" fillId="4" borderId="0" applyAlignment="1" pivotButton="0" quotePrefix="0" xfId="0">
      <alignment horizontal="left"/>
    </xf>
    <xf numFmtId="0" fontId="0" fillId="9" borderId="6" applyProtection="1" pivotButton="0" quotePrefix="0" xfId="0">
      <protection locked="0" hidden="0"/>
    </xf>
    <xf numFmtId="0" fontId="0" fillId="10" borderId="6" pivotButton="0" quotePrefix="0" xfId="0"/>
    <xf numFmtId="0" fontId="0" fillId="3" borderId="6" applyProtection="1" pivotButton="0" quotePrefix="0" xfId="0">
      <protection locked="0" hidden="0"/>
    </xf>
    <xf numFmtId="0" fontId="0" fillId="11" borderId="6" applyProtection="1" pivotButton="0" quotePrefix="0" xfId="0">
      <protection locked="0" hidden="0"/>
    </xf>
    <xf numFmtId="0" fontId="0" fillId="6" borderId="7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6" fillId="0" borderId="0" applyAlignment="1" pivotButton="0" quotePrefix="0" xfId="0">
      <alignment horizontal="left"/>
    </xf>
    <xf numFmtId="0" fontId="8" fillId="7" borderId="8" applyAlignment="1" pivotButton="0" quotePrefix="0" xfId="0">
      <alignment vertical="center"/>
    </xf>
    <xf numFmtId="0" fontId="9" fillId="7" borderId="9" applyAlignment="1" pivotButton="0" quotePrefix="0" xfId="0">
      <alignment vertical="center"/>
    </xf>
    <xf numFmtId="0" fontId="9" fillId="7" borderId="1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11" pivotButton="0" quotePrefix="0" xfId="0"/>
    <xf numFmtId="0" fontId="11" fillId="2" borderId="1" applyAlignment="1" pivotButton="0" quotePrefix="0" xfId="0">
      <alignment vertical="center" wrapText="1"/>
    </xf>
    <xf numFmtId="0" fontId="11" fillId="2" borderId="12" applyAlignment="1" pivotButton="0" quotePrefix="0" xfId="0">
      <alignment horizontal="center" vertical="center" wrapText="1"/>
    </xf>
    <xf numFmtId="0" fontId="12" fillId="0" borderId="0" pivotButton="0" quotePrefix="0" xfId="0"/>
    <xf numFmtId="0" fontId="9" fillId="0" borderId="0" pivotButton="0" quotePrefix="0" xfId="0"/>
    <xf numFmtId="0" fontId="11" fillId="2" borderId="1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2" borderId="1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9" fillId="11" borderId="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2" applyAlignment="1" pivotButton="0" quotePrefix="0" xfId="0">
      <alignment horizontal="left" vertical="center" wrapText="1"/>
    </xf>
    <xf numFmtId="0" fontId="11" fillId="2" borderId="13" applyAlignment="1" pivotButton="0" quotePrefix="0" xfId="0">
      <alignment horizontal="left" vertical="center" wrapText="1"/>
    </xf>
    <xf numFmtId="0" fontId="9" fillId="8" borderId="14" applyAlignment="1" pivotButton="0" quotePrefix="0" xfId="0">
      <alignment horizontal="left" vertical="center" wrapText="1"/>
    </xf>
    <xf numFmtId="0" fontId="9" fillId="8" borderId="15" applyAlignment="1" pivotButton="0" quotePrefix="0" xfId="0">
      <alignment horizontal="left" vertical="center" wrapText="1"/>
    </xf>
    <xf numFmtId="0" fontId="12" fillId="2" borderId="11" pivotButton="0" quotePrefix="0" xfId="0"/>
    <xf numFmtId="0" fontId="12" fillId="2" borderId="1" applyAlignment="1" pivotButton="0" quotePrefix="0" xfId="0">
      <alignment vertical="center" wrapText="1"/>
    </xf>
    <xf numFmtId="0" fontId="12" fillId="2" borderId="12" applyAlignment="1" pivotButton="0" quotePrefix="0" xfId="0">
      <alignment vertical="center" wrapText="1"/>
    </xf>
    <xf numFmtId="0" fontId="12" fillId="2" borderId="11" applyAlignment="1" pivotButton="0" quotePrefix="0" xfId="0">
      <alignment horizontal="left" vertical="center" wrapText="1"/>
    </xf>
    <xf numFmtId="0" fontId="12" fillId="2" borderId="13" applyAlignment="1" pivotButton="0" quotePrefix="0" xfId="0">
      <alignment horizontal="left" vertical="center" wrapText="1"/>
    </xf>
    <xf numFmtId="0" fontId="2" fillId="4" borderId="0" applyAlignment="1" pivotButton="0" quotePrefix="0" xfId="0">
      <alignment vertical="center"/>
    </xf>
    <xf numFmtId="0" fontId="0" fillId="4" borderId="22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0" fontId="0" fillId="4" borderId="24" applyAlignment="1" pivotButton="0" quotePrefix="0" xfId="0">
      <alignment horizontal="center" vertical="center"/>
    </xf>
    <xf numFmtId="0" fontId="0" fillId="4" borderId="25" applyAlignment="1" pivotButton="0" quotePrefix="0" xfId="0">
      <alignment horizontal="center" vertical="center"/>
    </xf>
    <xf numFmtId="0" fontId="0" fillId="4" borderId="26" applyAlignment="1" pivotButton="0" quotePrefix="0" xfId="0">
      <alignment horizontal="center" vertical="center"/>
    </xf>
    <xf numFmtId="0" fontId="0" fillId="4" borderId="27" applyAlignment="1" pivotButton="0" quotePrefix="0" xfId="0">
      <alignment horizontal="center" vertical="center"/>
    </xf>
    <xf numFmtId="0" fontId="0" fillId="4" borderId="28" applyAlignment="1" pivotButton="0" quotePrefix="0" xfId="0">
      <alignment horizontal="center" vertical="center"/>
    </xf>
    <xf numFmtId="0" fontId="0" fillId="4" borderId="29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30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4" borderId="31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14" fillId="4" borderId="0" pivotButton="0" quotePrefix="0" xfId="0"/>
    <xf numFmtId="0" fontId="2" fillId="4" borderId="0" pivotButton="0" quotePrefix="0" xfId="0"/>
    <xf numFmtId="0" fontId="1" fillId="0" borderId="1" pivotButton="0" quotePrefix="0" xfId="0"/>
    <xf numFmtId="0" fontId="1" fillId="0" borderId="27" pivotButton="0" quotePrefix="0" xfId="0"/>
    <xf numFmtId="0" fontId="1" fillId="0" borderId="27" applyAlignment="1" pivotButton="0" quotePrefix="0" xfId="0">
      <alignment vertical="center" wrapText="1"/>
    </xf>
    <xf numFmtId="164" fontId="1" fillId="0" borderId="3" pivotButton="0" quotePrefix="0" xfId="0"/>
    <xf numFmtId="164" fontId="1" fillId="0" borderId="2" pivotButton="0" quotePrefix="0" xfId="0"/>
    <xf numFmtId="0" fontId="1" fillId="0" borderId="1" applyAlignment="1" applyProtection="1" pivotButton="0" quotePrefix="0" xfId="0">
      <alignment wrapText="1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16" fillId="4" borderId="0" applyProtection="1" pivotButton="0" quotePrefix="0" xfId="0">
      <protection locked="0" hidden="0"/>
    </xf>
    <xf numFmtId="0" fontId="16" fillId="4" borderId="0" applyAlignment="1" applyProtection="1" pivotButton="0" quotePrefix="0" xfId="0">
      <alignment wrapText="1"/>
      <protection locked="0" hidden="0"/>
    </xf>
    <xf numFmtId="0" fontId="17" fillId="4" borderId="0" applyAlignment="1" pivotButton="0" quotePrefix="0" xfId="0">
      <alignment vertical="center"/>
    </xf>
    <xf numFmtId="0" fontId="16" fillId="4" borderId="0" pivotButton="0" quotePrefix="0" xfId="0"/>
    <xf numFmtId="0" fontId="20" fillId="0" borderId="0" pivotButton="0" quotePrefix="0" xfId="0"/>
    <xf numFmtId="0" fontId="16" fillId="4" borderId="0" applyAlignment="1" pivotButton="0" quotePrefix="0" xfId="0">
      <alignment horizontal="left" vertical="center" indent="39"/>
    </xf>
    <xf numFmtId="0" fontId="18" fillId="4" borderId="0" applyAlignment="1" pivotButton="0" quotePrefix="0" xfId="0">
      <alignment vertical="top"/>
    </xf>
    <xf numFmtId="0" fontId="16" fillId="4" borderId="0" applyAlignment="1" pivotButton="0" quotePrefix="0" xfId="0">
      <alignment vertical="center"/>
    </xf>
    <xf numFmtId="0" fontId="16" fillId="4" borderId="0" applyAlignment="1" pivotButton="0" quotePrefix="0" xfId="0">
      <alignment vertical="top" wrapText="1"/>
    </xf>
    <xf numFmtId="0" fontId="16" fillId="4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7" fillId="13" borderId="0" applyAlignment="1" pivotButton="0" quotePrefix="0" xfId="0">
      <alignment vertical="center"/>
    </xf>
    <xf numFmtId="0" fontId="16" fillId="13" borderId="0" applyAlignment="1" applyProtection="1" pivotButton="0" quotePrefix="0" xfId="0">
      <alignment vertical="top"/>
      <protection locked="0" hidden="0"/>
    </xf>
    <xf numFmtId="0" fontId="16" fillId="13" borderId="0" applyAlignment="1" applyProtection="1" pivotButton="0" quotePrefix="0" xfId="0">
      <alignment vertical="top" wrapText="1"/>
      <protection locked="0" hidden="0"/>
    </xf>
    <xf numFmtId="0" fontId="18" fillId="4" borderId="0" pivotButton="0" quotePrefix="0" xfId="0"/>
    <xf numFmtId="0" fontId="16" fillId="4" borderId="0" applyAlignment="1" pivotButton="0" quotePrefix="0" xfId="0">
      <alignment wrapText="1"/>
    </xf>
    <xf numFmtId="0" fontId="16" fillId="4" borderId="0" applyAlignment="1" pivotButton="0" quotePrefix="0" xfId="0">
      <alignment vertical="top" wrapText="1" readingOrder="1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0" fontId="15" fillId="14" borderId="32" applyAlignment="1" applyProtection="1" pivotButton="0" quotePrefix="0" xfId="0">
      <alignment horizontal="center" wrapText="1"/>
      <protection locked="1" hidden="1"/>
    </xf>
    <xf numFmtId="0" fontId="15" fillId="14" borderId="32" applyAlignment="1" applyProtection="1" pivotButton="0" quotePrefix="0" xfId="0">
      <alignment horizontal="left" wrapText="1"/>
      <protection locked="1" hidden="1"/>
    </xf>
    <xf numFmtId="0" fontId="1" fillId="6" borderId="1" applyAlignment="1" applyProtection="1" pivotButton="0" quotePrefix="0" xfId="0">
      <alignment wrapText="1"/>
      <protection locked="1" hidden="1"/>
    </xf>
    <xf numFmtId="0" fontId="1" fillId="6" borderId="1" applyAlignment="1" applyProtection="1" pivotButton="0" quotePrefix="0" xfId="0">
      <alignment horizontal="center" vertical="center"/>
      <protection locked="1" hidden="1"/>
    </xf>
    <xf numFmtId="0" fontId="0" fillId="6" borderId="0" applyAlignment="1" applyProtection="1" pivotButton="0" quotePrefix="0" xfId="0">
      <alignment wrapText="1"/>
      <protection locked="1" hidden="1"/>
    </xf>
    <xf numFmtId="0" fontId="0" fillId="0" borderId="0" applyProtection="1" pivotButton="0" quotePrefix="0" xfId="0">
      <protection locked="1" hidden="1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  <xf numFmtId="49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9" fillId="0" borderId="0" pivotButton="0" quotePrefix="0" xfId="1"/>
    <xf numFmtId="0" fontId="21" fillId="4" borderId="0" pivotButton="0" quotePrefix="0" xfId="0"/>
    <xf numFmtId="0" fontId="22" fillId="4" borderId="0" pivotButton="0" quotePrefix="0" xfId="0"/>
    <xf numFmtId="0" fontId="4" fillId="4" borderId="0" applyAlignment="1" pivotButton="0" quotePrefix="0" xfId="0">
      <alignment vertical="center" textRotation="90"/>
    </xf>
    <xf numFmtId="0" fontId="4" fillId="4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0" fontId="23" fillId="0" borderId="0" applyAlignment="1" pivotButton="0" quotePrefix="1" xfId="0">
      <alignment horizontal="left" vertical="center" indent="1"/>
    </xf>
    <xf numFmtId="0" fontId="24" fillId="3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vertical="top"/>
      <protection locked="0" hidden="0"/>
    </xf>
    <xf numFmtId="49" fontId="1" fillId="0" borderId="1" applyAlignment="1" applyProtection="1" pivotButton="0" quotePrefix="0" xfId="0">
      <alignment horizontal="left" vertical="top" wrapText="1"/>
      <protection locked="0" hidden="0"/>
    </xf>
    <xf numFmtId="0" fontId="25" fillId="15" borderId="1" applyAlignment="1" pivotButton="0" quotePrefix="0" xfId="0">
      <alignment horizontal="left" vertical="top"/>
    </xf>
    <xf numFmtId="0" fontId="1" fillId="15" borderId="0" pivotButton="0" quotePrefix="0" xfId="0"/>
    <xf numFmtId="0" fontId="2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top"/>
    </xf>
    <xf numFmtId="0" fontId="1" fillId="0" borderId="1" applyAlignment="1" applyProtection="1" pivotButton="0" quotePrefix="0" xfId="0">
      <alignment vertical="center"/>
      <protection locked="0" hidden="0"/>
    </xf>
    <xf numFmtId="0" fontId="2" fillId="16" borderId="14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 vertical="top" wrapText="1"/>
    </xf>
    <xf numFmtId="0" fontId="1" fillId="17" borderId="1" applyAlignment="1" pivotButton="0" quotePrefix="0" xfId="0">
      <alignment horizontal="center" vertical="center"/>
    </xf>
    <xf numFmtId="0" fontId="1" fillId="17" borderId="1" applyAlignment="1" pivotButton="0" quotePrefix="0" xfId="0">
      <alignment vertical="top"/>
    </xf>
    <xf numFmtId="49" fontId="1" fillId="17" borderId="1" applyAlignment="1" pivotButton="0" quotePrefix="0" xfId="0">
      <alignment horizontal="left" vertical="top" wrapText="1"/>
    </xf>
    <xf numFmtId="0" fontId="3" fillId="17" borderId="1" applyAlignment="1" applyProtection="1" pivotButton="0" quotePrefix="0" xfId="0">
      <alignment horizontal="center" vertical="center"/>
      <protection locked="0" hidden="0"/>
    </xf>
    <xf numFmtId="0" fontId="1" fillId="17" borderId="1" applyAlignment="1" applyProtection="1" pivotButton="0" quotePrefix="0" xfId="0">
      <alignment horizontal="left" vertical="top" wrapText="1"/>
      <protection locked="0" hidden="0"/>
    </xf>
    <xf numFmtId="0" fontId="1" fillId="17" borderId="1" applyAlignment="1" applyProtection="1" pivotButton="0" quotePrefix="0" xfId="0">
      <alignment horizontal="center" vertical="center"/>
      <protection locked="0" hidden="0"/>
    </xf>
    <xf numFmtId="0" fontId="1" fillId="17" borderId="1" applyAlignment="1" applyProtection="1" pivotButton="0" quotePrefix="0" xfId="0">
      <alignment vertical="top"/>
      <protection locked="0" hidden="0"/>
    </xf>
    <xf numFmtId="49" fontId="1" fillId="17" borderId="1" applyAlignment="1" applyProtection="1" pivotButton="0" quotePrefix="0" xfId="0">
      <alignment horizontal="left" vertical="top" wrapText="1"/>
      <protection locked="0" hidden="0"/>
    </xf>
    <xf numFmtId="0" fontId="1" fillId="17" borderId="1" applyAlignment="1" pivotButton="0" quotePrefix="0" xfId="0">
      <alignment wrapText="1"/>
    </xf>
    <xf numFmtId="0" fontId="1" fillId="17" borderId="1" applyAlignment="1" pivotButton="0" quotePrefix="0" xfId="0">
      <alignment vertical="center"/>
    </xf>
    <xf numFmtId="49" fontId="1" fillId="17" borderId="1" applyAlignment="1" pivotButton="0" quotePrefix="0" xfId="0">
      <alignment wrapText="1"/>
    </xf>
    <xf numFmtId="0" fontId="1" fillId="17" borderId="1" applyAlignment="1" applyProtection="1" pivotButton="0" quotePrefix="0" xfId="0">
      <alignment wrapText="1"/>
      <protection locked="0" hidden="0"/>
    </xf>
    <xf numFmtId="0" fontId="1" fillId="17" borderId="1" applyAlignment="1" applyProtection="1" pivotButton="0" quotePrefix="0" xfId="0">
      <alignment vertical="center"/>
      <protection locked="0" hidden="0"/>
    </xf>
    <xf numFmtId="0" fontId="15" fillId="18" borderId="32" applyAlignment="1" pivotButton="0" quotePrefix="0" xfId="0">
      <alignment horizontal="center" wrapText="1"/>
    </xf>
    <xf numFmtId="0" fontId="26" fillId="18" borderId="32" applyAlignment="1" pivotButton="0" quotePrefix="0" xfId="0">
      <alignment horizontal="center" wrapText="1"/>
    </xf>
    <xf numFmtId="0" fontId="26" fillId="18" borderId="32" applyAlignment="1" pivotButton="0" quotePrefix="0" xfId="0">
      <alignment horizontal="center"/>
    </xf>
    <xf numFmtId="0" fontId="26" fillId="18" borderId="32" applyAlignment="1" pivotButton="0" quotePrefix="0" xfId="0">
      <alignment wrapText="1"/>
    </xf>
    <xf numFmtId="0" fontId="26" fillId="18" borderId="32" applyAlignment="1" pivotButton="0" quotePrefix="0" xfId="0">
      <alignment horizontal="left" wrapText="1"/>
    </xf>
    <xf numFmtId="0" fontId="26" fillId="18" borderId="32" applyAlignment="1" applyProtection="1" pivotButton="0" quotePrefix="0" xfId="0">
      <alignment horizontal="left" wrapText="1"/>
      <protection locked="0" hidden="0"/>
    </xf>
    <xf numFmtId="0" fontId="26" fillId="18" borderId="32" applyAlignment="1" applyProtection="1" pivotButton="0" quotePrefix="0" xfId="0">
      <alignment wrapText="1"/>
      <protection locked="0" hidden="0"/>
    </xf>
    <xf numFmtId="0" fontId="8" fillId="7" borderId="16" applyAlignment="1" pivotButton="0" quotePrefix="0" xfId="0">
      <alignment horizontal="left" vertical="center"/>
    </xf>
    <xf numFmtId="0" fontId="8" fillId="7" borderId="17" applyAlignment="1" pivotButton="0" quotePrefix="0" xfId="0">
      <alignment horizontal="left" vertical="center"/>
    </xf>
    <xf numFmtId="0" fontId="8" fillId="7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textRotation="90"/>
    </xf>
    <xf numFmtId="0" fontId="3" fillId="4" borderId="0" applyAlignment="1" pivotButton="0" quotePrefix="0" xfId="0">
      <alignment horizontal="right" textRotation="90"/>
    </xf>
    <xf numFmtId="0" fontId="3" fillId="4" borderId="0" applyAlignment="1" pivotButton="0" quotePrefix="0" xfId="0">
      <alignment horizontal="center"/>
    </xf>
    <xf numFmtId="0" fontId="8" fillId="7" borderId="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2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1" fillId="17" borderId="1" applyAlignment="1" pivotButton="0" quotePrefix="0" xfId="0">
      <alignment vertical="top" wrapText="1"/>
    </xf>
    <xf numFmtId="49" fontId="1" fillId="17" borderId="1" applyAlignment="1" pivotButton="0" quotePrefix="0" xfId="0">
      <alignment vertical="top" wrapText="1"/>
    </xf>
    <xf numFmtId="0" fontId="1" fillId="0" borderId="1" applyAlignment="1" applyProtection="1" pivotButton="0" quotePrefix="0" xfId="0">
      <alignment vertical="top" wrapText="1"/>
      <protection locked="0" hidden="0"/>
    </xf>
    <xf numFmtId="0" fontId="1" fillId="0" borderId="1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0" fontId="1" fillId="17" borderId="1" applyAlignment="1" applyProtection="1" pivotButton="0" quotePrefix="0" xfId="0">
      <alignment vertical="top" wrapText="1"/>
      <protection locked="0" hidden="0"/>
    </xf>
    <xf numFmtId="49" fontId="1" fillId="17" borderId="1" applyAlignment="1" applyProtection="1" pivotButton="0" quotePrefix="0" xfId="0">
      <alignment vertical="top" wrapText="1"/>
      <protection locked="0" hidden="0"/>
    </xf>
    <xf numFmtId="49" fontId="1" fillId="0" borderId="1" applyAlignment="1" applyProtection="1" pivotButton="0" quotePrefix="0" xfId="0">
      <alignment vertical="top" wrapText="1"/>
      <protection locked="0" hidden="0"/>
    </xf>
    <xf numFmtId="0" fontId="1" fillId="0" borderId="27" applyAlignment="1" pivotButton="0" quotePrefix="0" xfId="0">
      <alignment vertical="top" wrapText="1"/>
    </xf>
  </cellXfs>
  <cellStyles count="2">
    <cellStyle name="Normal" xfId="0" builtinId="0"/>
    <cellStyle name="Hyperkobling" xfId="1" builtinId="8"/>
  </cellStyles>
  <dxfs count="3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theme="0" tint="-0.049989318521683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lor theme="1"/>
        <sz val="12"/>
        <vertAlign val="baseline"/>
        <scheme val="minor"/>
      </font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rgb="FFFF0000"/>
        </patternFill>
      </fill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6"/>
        <vertAlign val="baseline"/>
        <scheme val="minor"/>
      </font>
      <fill>
        <patternFill patternType="solid">
          <fgColor indexed="64"/>
          <bgColor theme="4"/>
        </patternFill>
      </fill>
      <alignment horizontal="left" vertical="bottom" textRotation="4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externalLink" Target="/xl/externalLinks/externalLink3.xml" Id="rId11"/><Relationship Type="http://schemas.openxmlformats.org/officeDocument/2006/relationships/externalLink" Target="/xl/externalLinks/externalLink4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oslokommune.sharepoint.com/sites/4c6f1/ISI/Produkter/ROS%20veileder%20og%20verkt&#248;y/ISI%20veileder%20og%20verkt&#248;y/Risikovurderingsverkt&#248;y%202023/Risikovurdering%20verkt&#248;y%20v1.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A7FB45BE\Risikovurd_Oslo%20Mars21%20forenklet%20versjon%20001.xlsm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steria.sharepoint.com=OFFSET(Verdivurdering!$B$2,0,0,COUNTA(Verdivurdering!$B$2:$B$400),1)/sites/Sykehjemsetaten-risikovurderingavJoin/Shared%20Documents/General/Risikovurdering%20join.nhn.no%2024.02.202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helseplattformen-my.sharepoint.com/sites/Sykehjemsetaten-risikovurderingavJoin/Shared%20Documents/General/Risikovurdering%20join.nhn.no%2024.02.202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side"/>
      <sheetName val="Veiledning"/>
      <sheetName val="Akseptkriterier"/>
      <sheetName val="Verdivurdering"/>
      <sheetName val="Konsekvens av nedetid"/>
      <sheetName val="Trusselvurdering"/>
      <sheetName val="Forretningsprosesser"/>
      <sheetName val="Sårbarheter"/>
      <sheetName val="Risikovurdering"/>
      <sheetName val="Tiltaksliste_data"/>
      <sheetName val="Tiltaksliste"/>
      <sheetName val="Risikomatrise"/>
      <sheetName val="Kopi av tiltaksliste"/>
      <sheetName val="RisikomatriseTabellDump"/>
      <sheetName val="Sheet1"/>
      <sheetName val="Datasource 2"/>
      <sheetName val="Risikovurdering_data"/>
      <sheetName val="Chang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side"/>
      <sheetName val="Veiledning"/>
      <sheetName val="Akseptkriterier"/>
      <sheetName val="Verdivurdering"/>
      <sheetName val="Konsekvens av nedetid"/>
      <sheetName val="Trusselvurdering"/>
      <sheetName val="Forretningsprosesser"/>
      <sheetName val="Sårbarheter"/>
      <sheetName val="Risikoanalyse"/>
      <sheetName val="Tiltaksliste_data"/>
      <sheetName val="Tiltaksliste"/>
      <sheetName val="Kopi av tiltaksliste"/>
      <sheetName val="Tiltak"/>
      <sheetName val="Risikomatrise"/>
      <sheetName val="RisikomatriseTabellDump"/>
      <sheetName val="Sheet1"/>
      <sheetName val="Datasource 2"/>
      <sheetName val="Risikovurdering_data"/>
      <sheetName val="Change log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erdivurderin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iledning"/>
      <sheetName val="Akseptkriterier"/>
      <sheetName val="Verdivurdering"/>
      <sheetName val="Konsekvens av nedetid"/>
      <sheetName val="Trusselvurdering"/>
      <sheetName val="Sårbarheter"/>
      <sheetName val="Risikoanalyse"/>
      <sheetName val="Risikovurdering_data"/>
      <sheetName val="datakilder2"/>
      <sheetName val="Tiltaksliste"/>
      <sheetName val="matrise"/>
      <sheetName val="Endringslogg SYE"/>
      <sheetName val="Endringslog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Risikoanalyse" displayName="Risikoanalyse" ref="A1:S201" headerRowCount="1" totalsRowShown="0" headerRowDxfId="32" tableBorderDxfId="31">
  <autoFilter ref="A1:S201"/>
  <tableColumns count="19">
    <tableColumn id="15" name="Sanns_verdi" dataDxfId="30">
      <calculatedColumnFormula>IFERROR(VLOOKUP('Risikoanalyse'!L2,Akseptkriterier!$D$4:$E$8,2,FALSE),0)</calculatedColumnFormula>
    </tableColumn>
    <tableColumn id="16" name="Beregnet konsekvensverdi" dataDxfId="29">
      <calculatedColumnFormula>IFERROR(VLOOKUP('Risikoanalyse'!J2,Akseptkriterier!$F$4:$G$8,2,FALSE),0)</calculatedColumnFormula>
    </tableColumn>
    <tableColumn id="19" name="Sanns_etter_verdi" dataDxfId="28">
      <calculatedColumnFormula>IFERROR(VLOOKUP('Risikoanalyse'!R2,Akseptkriterier!$D$4:$E$8,2,FALSE),0)</calculatedColumnFormula>
    </tableColumn>
    <tableColumn id="20" name="Kons_etter_verdi" dataDxfId="27">
      <calculatedColumnFormula>IFERROR(VLOOKUP('Risikoanalyse'!Q2,Akseptkriterier!$F$4:$G$8,2,FALSE),0)</calculatedColumnFormula>
    </tableColumn>
    <tableColumn id="1" name="RiskID" dataDxfId="26"/>
    <tableColumn id="2" name="Uønsket hendelse" dataDxfId="25"/>
    <tableColumn id="3" name="K, I, T" dataDxfId="24"/>
    <tableColumn id="14" name="Årsaker/svakheter" dataDxfId="23"/>
    <tableColumn id="9" name="Eksisterende tiltak" dataDxfId="22"/>
    <tableColumn id="5" name="Konsekvens" dataDxfId="21"/>
    <tableColumn id="4" name="Konsekvensbegrunnelse" dataDxfId="20"/>
    <tableColumn id="7" name="Sannsynlighet" dataDxfId="19"/>
    <tableColumn id="6" name="Sannsynlighetsbegrunnelse" dataDxfId="18"/>
    <tableColumn id="8" name="Risiko" dataDxfId="17">
      <calculatedColumnFormula>IF(NOT(E2=""),IFERROR(VLOOKUP(A2,Akseptkriterier!$C$33:$H$37,MATCH(B2,Akseptkriterier!$D$32:$H$32,0)+1,FALSE),""),"")</calculatedColumnFormula>
    </tableColumn>
    <tableColumn id="17" name="Risiko-_x000a_behandling" dataDxfId="16"/>
    <tableColumn id="10" name="Foreslåtte tiltak" dataDxfId="15"/>
    <tableColumn id="11" name="Konsekvens_x000a_etter tiltak" dataDxfId="14"/>
    <tableColumn id="12" name="Sannsynlighet_x000a_etter tiltak" dataDxfId="13"/>
    <tableColumn id="13" name="Restrisiko" dataDxfId="12">
      <calculatedColumnFormula>IFERROR(VLOOKUP(C2,Akseptkriterier!$C$33:$H$37,MATCH(D2,Akseptkriterier!$D$32:$H$32,0)+1,FALSE),"")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felles.intranett.oslo.kommune.no/informasjonssikkerhet-og-personvern/informasjonssikkerhet/risikostyring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4">
    <tabColor rgb="FFFF8274"/>
    <outlinePr summaryBelow="1" summaryRight="1"/>
    <pageSetUpPr/>
  </sheetPr>
  <dimension ref="A1:P10"/>
  <sheetViews>
    <sheetView showGridLines="0" showRowColHeaders="0" tabSelected="1" workbookViewId="0">
      <selection activeCell="B4" sqref="B4"/>
    </sheetView>
  </sheetViews>
  <sheetFormatPr baseColWidth="10" defaultColWidth="8.85546875" defaultRowHeight="15"/>
  <cols>
    <col width="7.5703125" customWidth="1" min="8" max="8"/>
    <col width="71.28515625" customWidth="1" min="9" max="9"/>
  </cols>
  <sheetData>
    <row r="1" ht="17.25" customHeight="1">
      <c r="A1" s="73" t="n"/>
      <c r="B1" s="73" t="inlineStr">
        <is>
          <t>(Versjon 1.0)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4" t="n"/>
    </row>
    <row r="2" ht="17.25" customHeight="1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4" t="n"/>
    </row>
    <row r="3" ht="31.5" customHeight="1">
      <c r="A3" s="73" t="n"/>
      <c r="B3" s="75" t="inlineStr">
        <is>
          <t>Forside - risikovurdering av</t>
        </is>
      </c>
      <c r="C3" s="73" t="n"/>
      <c r="D3" s="73" t="n"/>
      <c r="E3" s="73" t="n"/>
      <c r="F3" s="73" t="n"/>
      <c r="G3" s="73" t="n"/>
      <c r="H3" s="73" t="n"/>
      <c r="I3" s="84" t="inlineStr">
        <is>
          <t>Naturportrett (pilot)</t>
        </is>
      </c>
      <c r="J3" s="73" t="n"/>
      <c r="K3" s="73" t="n"/>
      <c r="L3" s="73" t="n"/>
      <c r="M3" s="73" t="n"/>
      <c r="N3" s="73" t="n"/>
      <c r="O3" s="73" t="n"/>
      <c r="P3" s="74" t="n"/>
    </row>
    <row r="4" ht="17.25" customHeight="1">
      <c r="A4" s="73" t="n"/>
      <c r="B4" s="76" t="inlineStr">
        <is>
          <t xml:space="preserve">Her kan det dokumenteres administrativ informasjon om risikovurderingen, for eksempel omfang, risikoeier og hvem som har deltatt. </t>
        </is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4" t="n"/>
    </row>
    <row r="5" ht="17.25" customHeight="1">
      <c r="A5" s="73" t="n"/>
      <c r="B5" s="76" t="inlineStr">
        <is>
          <t>Med risikoeier menes systemeier eller linjeleder som skal akseptere restrisiko for system eller prosess.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4" t="n"/>
    </row>
    <row r="6" ht="50.1" customHeight="1">
      <c r="A6" s="73" t="n"/>
      <c r="B6" s="79" t="inlineStr">
        <is>
          <t>Omfang av system eller prosess som skal risikovurderes:</t>
        </is>
      </c>
      <c r="C6" s="73" t="n"/>
      <c r="D6" s="73" t="n"/>
      <c r="E6" s="73" t="n"/>
      <c r="F6" s="73" t="n"/>
      <c r="G6" s="73" t="n"/>
      <c r="H6" s="76" t="n"/>
      <c r="I6" s="85" t="inlineStr">
        <is>
          <t>Webapplikasjon for identifisering av biologisk mangfold innenfor 500 m influenssone av en eiendom under utvikling. Pilot/POC driftet på Railway (https://naturportrett.figurate.studio). Bruker eksterne API-er (Kartverket, iNaturalist, GBIF) og Anthropic Claude (server-proxy) for AI-genererte naturfaglige vurderinger. Tiltenkte brukere: arkitekter, eiendomsutviklere og saksbehandlere i Plan- og bygningsetaten, Oslo kommune. Vurderingen dekker hele løsningen — frontend, server-proxy, datakilder, KI-integrasjon, drift. FORUTSETNINGER FOR PILOTEN: (1) RAG-system mot Oslo kommunes kunnskapsbase etableres snarlig — initielt indekseres dokumentene i /Kunnskapsbase (Veileder Biotoptak, Metode Biotoptak, Informasjonskilder arter og natur). (2) Datakildene utvides iht. opprinnelig plan: Artsdatabanken API (live), NiN-systemet (naturtyper), Norge i bilder (ortofoto), Miljødirektoratet (vern, vilt), Plankart Oslo / FKB, MGS Oslo.</t>
        </is>
      </c>
      <c r="J6" s="73" t="n"/>
      <c r="K6" s="73" t="n"/>
      <c r="L6" s="73" t="n"/>
      <c r="M6" s="73" t="n"/>
      <c r="N6" s="73" t="n"/>
      <c r="O6" s="73" t="n"/>
      <c r="P6" s="74" t="n"/>
    </row>
    <row r="7" ht="17.25" customHeight="1">
      <c r="A7" s="73" t="n"/>
      <c r="B7" s="79" t="inlineStr">
        <is>
          <t>Dato for risikovurdering:</t>
        </is>
      </c>
      <c r="C7" s="73" t="n"/>
      <c r="D7" s="73" t="n"/>
      <c r="E7" s="73" t="n"/>
      <c r="F7" s="73" t="n"/>
      <c r="G7" s="73" t="n"/>
      <c r="H7" s="76" t="n"/>
      <c r="I7" s="85" t="inlineStr">
        <is>
          <t>26.05.2026</t>
        </is>
      </c>
      <c r="J7" s="73" t="n"/>
      <c r="K7" s="73" t="n"/>
      <c r="L7" s="73" t="n"/>
      <c r="M7" s="73" t="n"/>
      <c r="N7" s="73" t="n"/>
      <c r="O7" s="73" t="n"/>
      <c r="P7" s="74" t="n"/>
    </row>
    <row r="8" ht="17.25" customHeight="1">
      <c r="A8" s="73" t="n"/>
      <c r="B8" s="79" t="inlineStr">
        <is>
          <t>Risikoeier (Systemeier, linjeleder el.lign.):</t>
        </is>
      </c>
      <c r="C8" s="73" t="n"/>
      <c r="D8" s="73" t="n"/>
      <c r="E8" s="73" t="n"/>
      <c r="F8" s="73" t="n"/>
      <c r="G8" s="73" t="n"/>
      <c r="H8" s="76" t="n"/>
      <c r="I8" s="85" t="inlineStr">
        <is>
          <t>Plan- og bygningsetaten, Oslo kommune (tiltenkt systemeier ved utrulling)</t>
        </is>
      </c>
      <c r="J8" s="73" t="n"/>
      <c r="K8" s="73" t="n"/>
      <c r="L8" s="73" t="n"/>
      <c r="M8" s="73" t="n"/>
      <c r="N8" s="73" t="n"/>
      <c r="O8" s="73" t="n"/>
      <c r="P8" s="74" t="n"/>
    </row>
    <row r="9" ht="17.25" customHeight="1">
      <c r="A9" s="73" t="n"/>
      <c r="B9" s="79" t="inlineStr">
        <is>
          <t>Fasilitator av risikovurderingen:</t>
        </is>
      </c>
      <c r="C9" s="73" t="n"/>
      <c r="D9" s="73" t="n"/>
      <c r="E9" s="73" t="n"/>
      <c r="F9" s="73" t="n"/>
      <c r="G9" s="73" t="n"/>
      <c r="H9" s="76" t="n"/>
      <c r="I9" s="85" t="inlineStr">
        <is>
          <t>Andreas Fadum (prosjektleder/utvikler)</t>
        </is>
      </c>
      <c r="J9" s="73" t="n"/>
      <c r="K9" s="73" t="n"/>
      <c r="L9" s="73" t="n"/>
      <c r="M9" s="73" t="n"/>
      <c r="N9" s="73" t="n"/>
      <c r="O9" s="73" t="n"/>
      <c r="P9" s="74" t="n"/>
    </row>
    <row r="10" ht="54" customHeight="1">
      <c r="A10" s="73" t="n"/>
      <c r="B10" s="79" t="inlineStr">
        <is>
          <t>Deltakere i risikovurderingen:</t>
        </is>
      </c>
      <c r="C10" s="73" t="n"/>
      <c r="D10" s="73" t="n"/>
      <c r="E10" s="73" t="n"/>
      <c r="F10" s="73" t="n"/>
      <c r="G10" s="73" t="n"/>
      <c r="H10" s="73" t="n"/>
      <c r="I10" s="86" t="inlineStr">
        <is>
          <t>Andreas Fadum (utvikler) | Plan- og bygningsetaten (tiltenkt eier) | Fagressurs naturmangfold (TBD) | Sikkerhetsansvarlig PBE (TBD)</t>
        </is>
      </c>
      <c r="J10" s="73" t="n"/>
      <c r="K10" s="73" t="n"/>
      <c r="L10" s="73" t="n"/>
      <c r="M10" s="73" t="n"/>
      <c r="N10" s="73" t="n"/>
      <c r="O10" s="73" t="n"/>
      <c r="P10" s="7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Ark5">
    <tabColor rgb="FFB3F5FF"/>
    <outlinePr summaryBelow="1" summaryRight="1"/>
    <pageSetUpPr/>
  </sheetPr>
  <dimension ref="A1:L43"/>
  <sheetViews>
    <sheetView showGridLines="0" showRowColHeaders="0" zoomScale="90" zoomScaleNormal="90" workbookViewId="0">
      <selection activeCell="G33" sqref="G33"/>
    </sheetView>
  </sheetViews>
  <sheetFormatPr baseColWidth="10" defaultColWidth="12" defaultRowHeight="15"/>
  <cols>
    <col width="5.85546875" customWidth="1" style="1" min="1" max="1"/>
    <col width="138.42578125" customWidth="1" style="1" min="2" max="2"/>
    <col width="12" customWidth="1" style="1" min="3" max="16384"/>
  </cols>
  <sheetData>
    <row r="1" ht="17.25" customHeight="1">
      <c r="A1" s="76" t="n"/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</row>
    <row r="2" ht="17.25" customHeight="1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76" t="n"/>
    </row>
    <row r="3" ht="31.5" customHeight="1">
      <c r="A3" s="76" t="n"/>
      <c r="B3" s="75" t="inlineStr">
        <is>
          <t xml:space="preserve">Veiledning </t>
        </is>
      </c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</row>
    <row r="4" ht="17.25" customHeight="1">
      <c r="A4" s="76" t="n"/>
      <c r="B4" s="77" t="inlineStr">
        <is>
          <t>Det vises til dokumentet Veileder for risikovurdering - Informasjonssikkerhet for forklaring av metodikk. Se</t>
        </is>
      </c>
      <c r="C4" s="76" t="n"/>
      <c r="D4" s="76" t="n"/>
      <c r="E4" s="76" t="n"/>
      <c r="F4" s="76" t="n"/>
      <c r="G4" s="76" t="n"/>
      <c r="H4" s="76" t="n"/>
      <c r="I4" s="76" t="n"/>
      <c r="J4" s="76" t="n"/>
      <c r="K4" s="76" t="n"/>
      <c r="L4" s="76" t="n"/>
    </row>
    <row r="5" ht="17.25" customHeight="1">
      <c r="A5" s="76" t="n"/>
      <c r="B5" s="107" t="inlineStr">
        <is>
          <t>https://felles.intranett.oslo.kommune.no/informasjonssikkerhet-og-personvern/informasjonssikkerhet/risikostyring/</t>
        </is>
      </c>
      <c r="C5" s="76" t="n"/>
      <c r="D5" s="76" t="n"/>
      <c r="E5" s="76" t="n"/>
      <c r="F5" s="76" t="n"/>
      <c r="G5" s="76" t="n"/>
      <c r="H5" s="76" t="n"/>
      <c r="I5" s="76" t="n"/>
      <c r="J5" s="76" t="n"/>
      <c r="K5" s="76" t="n"/>
      <c r="L5" s="76" t="n"/>
    </row>
    <row r="6" ht="17.25" customHeight="1">
      <c r="A6" s="76" t="n"/>
      <c r="B6" s="77" t="inlineStr">
        <is>
          <t>Ved spørsmål til bruken av regnearket, ta kontakt med: Eirik Saltkjel i Byrådsavdeling for finans.</t>
        </is>
      </c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</row>
    <row r="7" ht="14.1" customHeight="1">
      <c r="A7" s="76" t="n"/>
      <c r="B7" s="77" t="n"/>
      <c r="C7" s="76" t="n"/>
      <c r="D7" s="76" t="n"/>
      <c r="E7" s="76" t="n"/>
      <c r="F7" s="76" t="n"/>
      <c r="G7" s="76" t="n"/>
      <c r="H7" s="76" t="n"/>
      <c r="I7" s="76" t="n"/>
      <c r="J7" s="76" t="n"/>
      <c r="K7" s="76" t="n"/>
      <c r="L7" s="76" t="n"/>
    </row>
    <row r="8" ht="14.1" customHeight="1">
      <c r="A8" s="76" t="n"/>
      <c r="B8" s="78" t="n"/>
      <c r="C8" s="76" t="n"/>
      <c r="D8" s="76" t="n"/>
      <c r="E8" s="76" t="n"/>
      <c r="F8" s="76" t="n"/>
      <c r="G8" s="76" t="n"/>
      <c r="H8" s="76" t="n"/>
      <c r="I8" s="76" t="n"/>
      <c r="J8" s="76" t="n"/>
      <c r="K8" s="80" t="n"/>
      <c r="L8" s="76" t="n"/>
    </row>
    <row r="9" ht="24.95" customHeight="1">
      <c r="A9" s="76" t="n"/>
      <c r="B9" s="79" t="n"/>
      <c r="C9" s="76" t="n"/>
      <c r="D9" s="76" t="n"/>
      <c r="E9" s="76" t="n"/>
      <c r="F9" s="76" t="n"/>
      <c r="G9" s="76" t="n"/>
      <c r="H9" s="76" t="n"/>
      <c r="I9" s="76" t="n"/>
      <c r="J9" s="76" t="n"/>
      <c r="K9" s="80" t="n"/>
      <c r="L9" s="76" t="n"/>
    </row>
    <row r="10" ht="37.5" customHeight="1">
      <c r="A10" s="76" t="n"/>
      <c r="B10" s="81" t="n"/>
      <c r="C10" s="76" t="n"/>
      <c r="D10" s="76" t="n"/>
      <c r="E10" s="76" t="n"/>
      <c r="F10" s="76" t="n"/>
      <c r="G10" s="76" t="n"/>
      <c r="H10" s="76" t="n"/>
      <c r="I10" s="76" t="n"/>
      <c r="J10" s="76" t="n"/>
      <c r="K10" s="80" t="n"/>
      <c r="L10" s="76" t="n"/>
    </row>
    <row r="11" ht="35.45" customHeight="1">
      <c r="A11" s="76" t="n"/>
      <c r="B11" s="81" t="n"/>
      <c r="C11" s="76" t="n"/>
      <c r="D11" s="76" t="n"/>
      <c r="E11" s="76" t="n"/>
      <c r="F11" s="76" t="n"/>
      <c r="G11" s="76" t="n"/>
      <c r="H11" s="76" t="n"/>
      <c r="I11" s="76" t="n"/>
      <c r="J11" s="76" t="n"/>
      <c r="K11" s="80" t="n"/>
      <c r="L11" s="76" t="n"/>
    </row>
    <row r="12" ht="20.45" customFormat="1" customHeight="1" s="83">
      <c r="A12" s="82" t="n"/>
      <c r="B12" s="89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</row>
    <row r="13" ht="17.25" customHeight="1">
      <c r="A13" s="76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</row>
    <row r="14" ht="17.25" customHeight="1">
      <c r="A14" s="76" t="n"/>
      <c r="B14" s="87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</row>
    <row r="15" ht="17.25" customHeight="1">
      <c r="A15" s="76" t="n"/>
      <c r="B15" s="88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</row>
    <row r="16" ht="17.25" customHeight="1">
      <c r="A16" s="76" t="n"/>
      <c r="B16" s="76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76" t="n"/>
    </row>
    <row r="17" ht="17.25" customHeight="1">
      <c r="A17" s="76" t="n"/>
      <c r="B17" s="87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</row>
    <row r="18" ht="17.25" customHeight="1">
      <c r="A18" s="76" t="n"/>
      <c r="B18" s="76" t="n"/>
      <c r="C18" s="76" t="n"/>
      <c r="D18" s="76" t="n"/>
      <c r="E18" s="76" t="n"/>
      <c r="F18" s="76" t="n"/>
      <c r="G18" s="76" t="n"/>
      <c r="H18" s="76" t="n"/>
      <c r="I18" s="76" t="n"/>
      <c r="J18" s="76" t="n"/>
      <c r="K18" s="76" t="n"/>
      <c r="L18" s="76" t="n"/>
    </row>
    <row r="19" ht="17.25" customHeight="1">
      <c r="A19" s="76" t="n"/>
      <c r="B19" s="88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</row>
    <row r="20" ht="17.25" customHeight="1">
      <c r="A20" s="76" t="n"/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</row>
    <row r="21" ht="17.25" customHeight="1">
      <c r="A21" s="76" t="n"/>
      <c r="B21" s="76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76" t="n"/>
    </row>
    <row r="22" ht="17.25" customHeight="1">
      <c r="A22" s="76" t="n"/>
      <c r="B22" s="76" t="n"/>
      <c r="C22" s="76" t="n"/>
      <c r="D22" s="76" t="n"/>
      <c r="E22" s="76" t="n"/>
      <c r="F22" s="76" t="n"/>
      <c r="G22" s="76" t="n"/>
      <c r="H22" s="76" t="n"/>
      <c r="I22" s="76" t="n"/>
      <c r="J22" s="76" t="n"/>
      <c r="K22" s="76" t="n"/>
      <c r="L22" s="76" t="n"/>
    </row>
    <row r="23" ht="17.25" customHeight="1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J23" s="76" t="n"/>
      <c r="K23" s="76" t="n"/>
      <c r="L23" s="76" t="n"/>
    </row>
    <row r="24" ht="17.25" customHeight="1">
      <c r="A24" s="76" t="n"/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</row>
    <row r="25" ht="17.25" customHeight="1">
      <c r="A25" s="76" t="n"/>
      <c r="B25" s="76" t="n"/>
      <c r="C25" s="76" t="n"/>
      <c r="D25" s="76" t="n"/>
      <c r="E25" s="76" t="n"/>
      <c r="F25" s="76" t="n"/>
      <c r="G25" s="76" t="n"/>
      <c r="H25" s="76" t="n"/>
      <c r="I25" s="76" t="n"/>
      <c r="J25" s="76" t="n"/>
      <c r="K25" s="76" t="n"/>
      <c r="L25" s="76" t="n"/>
    </row>
    <row r="26" ht="17.25" customHeight="1">
      <c r="A26" s="76" t="n"/>
      <c r="B26" s="76" t="n"/>
      <c r="C26" s="76" t="n"/>
      <c r="D26" s="76" t="n"/>
      <c r="E26" s="76" t="n"/>
      <c r="F26" s="76" t="n"/>
      <c r="G26" s="76" t="n"/>
      <c r="H26" s="76" t="n"/>
      <c r="I26" s="76" t="n"/>
      <c r="J26" s="76" t="n"/>
      <c r="K26" s="76" t="n"/>
      <c r="L26" s="76" t="n"/>
    </row>
    <row r="27" ht="17.25" customHeight="1">
      <c r="A27" s="76" t="n"/>
      <c r="B27" s="76" t="n"/>
      <c r="C27" s="76" t="n"/>
      <c r="D27" s="76" t="n"/>
      <c r="E27" s="76" t="n"/>
      <c r="F27" s="76" t="n"/>
      <c r="G27" s="76" t="n"/>
      <c r="H27" s="76" t="n"/>
      <c r="I27" s="76" t="n"/>
      <c r="J27" s="76" t="n"/>
      <c r="K27" s="76" t="n"/>
      <c r="L27" s="76" t="n"/>
    </row>
    <row r="28" ht="17.25" customHeight="1">
      <c r="A28" s="76" t="n"/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</row>
    <row r="29" ht="17.25" customHeight="1">
      <c r="A29" s="76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</row>
    <row r="30" ht="17.25" customHeight="1">
      <c r="A30" s="76" t="n"/>
      <c r="B30" s="76" t="n"/>
      <c r="C30" s="76" t="n"/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</row>
    <row r="31" ht="17.25" customHeight="1">
      <c r="A31" s="76" t="n"/>
      <c r="B31" s="76" t="n"/>
      <c r="C31" s="76" t="n"/>
      <c r="D31" s="76" t="n"/>
      <c r="E31" s="76" t="n"/>
      <c r="F31" s="76" t="n"/>
      <c r="G31" s="76" t="n"/>
      <c r="H31" s="76" t="n"/>
      <c r="I31" s="76" t="n"/>
      <c r="J31" s="76" t="n"/>
      <c r="K31" s="76" t="n"/>
      <c r="L31" s="76" t="n"/>
    </row>
    <row r="32" ht="17.25" customHeight="1">
      <c r="A32" s="76" t="n"/>
      <c r="B32" s="76" t="n"/>
      <c r="C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</row>
    <row r="33" ht="17.25" customHeight="1">
      <c r="A33" s="76" t="n"/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</row>
    <row r="34" ht="17.25" customHeight="1">
      <c r="A34" s="76" t="n"/>
      <c r="B34" s="76" t="n"/>
      <c r="C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</row>
    <row r="35" ht="17.25" customHeight="1">
      <c r="A35" s="76" t="n"/>
      <c r="B35" s="76" t="n"/>
      <c r="C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</row>
    <row r="36" ht="17.25" customHeight="1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</row>
    <row r="37" ht="17.25" customHeight="1">
      <c r="A37" s="76" t="n"/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</row>
    <row r="38" ht="17.25" customHeight="1">
      <c r="A38" s="76" t="n"/>
      <c r="B38" s="76" t="n"/>
      <c r="C38" s="76" t="n"/>
      <c r="D38" s="76" t="n"/>
      <c r="E38" s="76" t="n"/>
      <c r="F38" s="76" t="n"/>
      <c r="G38" s="76" t="n"/>
      <c r="H38" s="76" t="n"/>
      <c r="I38" s="76" t="n"/>
      <c r="J38" s="76" t="n"/>
      <c r="K38" s="76" t="n"/>
      <c r="L38" s="76" t="n"/>
    </row>
    <row r="39" ht="17.25" customHeigh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</row>
    <row r="40" ht="17.25" customHeight="1">
      <c r="A40" s="76" t="n"/>
      <c r="B40" s="76" t="n"/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6" t="n"/>
    </row>
    <row r="41" ht="17.25" customHeight="1">
      <c r="A41" s="76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</row>
    <row r="42" ht="17.25" customHeight="1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</row>
    <row r="43" ht="17.25" customHeight="1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</row>
  </sheetData>
  <hyperlinks>
    <hyperlink xmlns:r="http://schemas.openxmlformats.org/officeDocument/2006/relationships" ref="B5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Ark8">
    <tabColor rgb="FFF9C66B"/>
    <outlinePr summaryBelow="1" summaryRight="1"/>
    <pageSetUpPr/>
  </sheetPr>
  <dimension ref="B3:L67"/>
  <sheetViews>
    <sheetView showGridLines="0" topLeftCell="A22" zoomScale="83" zoomScaleNormal="83" workbookViewId="0">
      <selection activeCell="E8" sqref="E8"/>
    </sheetView>
  </sheetViews>
  <sheetFormatPr baseColWidth="10" defaultColWidth="11.42578125" defaultRowHeight="15"/>
  <cols>
    <col width="7.5703125" customWidth="1" style="1" min="1" max="1"/>
    <col width="6" customWidth="1" style="1" min="2" max="2"/>
    <col width="2.140625" bestFit="1" customWidth="1" style="1" min="3" max="3"/>
    <col width="22.140625" customWidth="1" style="1" min="4" max="9"/>
    <col width="3.140625" customWidth="1" style="1" min="10" max="10"/>
    <col width="11.42578125" customWidth="1" style="1" min="11" max="11"/>
    <col width="41.140625" customWidth="1" style="1" min="12" max="12"/>
    <col width="11.42578125" customWidth="1" style="1" min="13" max="16384"/>
  </cols>
  <sheetData>
    <row r="2" ht="15.75" customHeight="1" thickBot="1"/>
    <row r="3" ht="15.75" customHeight="1" thickBot="1">
      <c r="D3" s="6" t="inlineStr">
        <is>
          <t>SANNSYNLIGHET</t>
        </is>
      </c>
      <c r="E3" s="7" t="n"/>
      <c r="F3" s="6" t="inlineStr">
        <is>
          <t>KONSEKVENS</t>
        </is>
      </c>
      <c r="H3" s="6" t="inlineStr">
        <is>
          <t>RISIKO</t>
        </is>
      </c>
    </row>
    <row r="4">
      <c r="D4" s="8" t="inlineStr">
        <is>
          <t>Meget liten</t>
        </is>
      </c>
      <c r="E4" s="9" t="n">
        <v>1</v>
      </c>
      <c r="F4" s="8" t="inlineStr">
        <is>
          <t>Ubetydelig</t>
        </is>
      </c>
      <c r="G4" s="9" t="n">
        <v>1</v>
      </c>
      <c r="H4" s="8" t="inlineStr">
        <is>
          <t>Lav</t>
        </is>
      </c>
      <c r="I4" s="9" t="n">
        <v>1</v>
      </c>
    </row>
    <row r="5">
      <c r="D5" s="10" t="inlineStr">
        <is>
          <t>Liten</t>
        </is>
      </c>
      <c r="E5" s="9" t="n">
        <v>2</v>
      </c>
      <c r="F5" s="10" t="inlineStr">
        <is>
          <t>Lav</t>
        </is>
      </c>
      <c r="G5" s="9" t="n">
        <v>2</v>
      </c>
      <c r="H5" s="11" t="n"/>
      <c r="I5" s="9" t="n">
        <v>2</v>
      </c>
    </row>
    <row r="6">
      <c r="D6" s="12" t="inlineStr">
        <is>
          <t>Moderat</t>
        </is>
      </c>
      <c r="E6" s="9" t="n">
        <v>3</v>
      </c>
      <c r="F6" s="12" t="inlineStr">
        <is>
          <t>Moderat</t>
        </is>
      </c>
      <c r="G6" s="9" t="n">
        <v>3</v>
      </c>
      <c r="H6" s="12" t="inlineStr">
        <is>
          <t>Middels</t>
        </is>
      </c>
      <c r="I6" s="9" t="n">
        <v>3</v>
      </c>
    </row>
    <row r="7">
      <c r="D7" s="13" t="inlineStr">
        <is>
          <t>Stor</t>
        </is>
      </c>
      <c r="E7" s="9" t="n">
        <v>4</v>
      </c>
      <c r="F7" s="13" t="inlineStr">
        <is>
          <t>Alvorlig</t>
        </is>
      </c>
      <c r="G7" s="9" t="n">
        <v>4</v>
      </c>
      <c r="H7" s="11" t="n"/>
      <c r="I7" s="9" t="n">
        <v>4</v>
      </c>
    </row>
    <row r="8" ht="15.75" customHeight="1" thickBot="1">
      <c r="D8" s="14" t="inlineStr">
        <is>
          <t>Svært stor</t>
        </is>
      </c>
      <c r="E8" s="9" t="n">
        <v>5</v>
      </c>
      <c r="F8" s="14" t="inlineStr">
        <is>
          <t>Svært alvorlig</t>
        </is>
      </c>
      <c r="G8" s="9" t="n">
        <v>5</v>
      </c>
      <c r="H8" s="14" t="inlineStr">
        <is>
          <t>Høy</t>
        </is>
      </c>
      <c r="I8" s="9" t="n">
        <v>5</v>
      </c>
    </row>
    <row r="9">
      <c r="D9" s="15" t="n"/>
      <c r="E9" s="16" t="n"/>
      <c r="F9" s="15" t="n"/>
      <c r="G9" s="16" t="n"/>
      <c r="H9" s="15" t="n"/>
      <c r="I9" s="16" t="n"/>
    </row>
    <row r="10" ht="15.75" customHeight="1" thickBot="1"/>
    <row r="11">
      <c r="D11" s="17" t="inlineStr">
        <is>
          <t>Konsekvensmatrise</t>
        </is>
      </c>
      <c r="E11" s="18" t="n"/>
      <c r="F11" s="18" t="n"/>
      <c r="G11" s="18" t="n"/>
      <c r="H11" s="18" t="n"/>
      <c r="I11" s="19" t="n"/>
      <c r="K11" s="20" t="n"/>
      <c r="L11" s="21" t="n"/>
    </row>
    <row r="12" ht="24" customHeight="1">
      <c r="D12" s="22" t="n"/>
      <c r="E12" s="23" t="inlineStr">
        <is>
          <t>Liv og helse</t>
        </is>
      </c>
      <c r="F12" s="23" t="inlineStr">
        <is>
          <t>Økonomi</t>
        </is>
      </c>
      <c r="G12" s="23" t="inlineStr">
        <is>
          <t>Tillit</t>
        </is>
      </c>
      <c r="H12" s="23" t="inlineStr">
        <is>
          <t>Etterlevelse av lover og regler</t>
        </is>
      </c>
      <c r="I12" s="24" t="inlineStr">
        <is>
          <t>Måloppnåelse</t>
        </is>
      </c>
      <c r="K12" s="25" t="n"/>
      <c r="L12" s="26" t="n"/>
    </row>
    <row r="13" ht="81" customHeight="1">
      <c r="D13" s="27">
        <f>F8</f>
        <v/>
      </c>
      <c r="E13" s="28" t="inlineStr">
        <is>
          <t>Dødsfall eller flere personer rammes av alvorlig varig funksjons-nedsettelse eller skade.</t>
        </is>
      </c>
      <c r="F13" s="28" t="inlineStr">
        <is>
          <t>Tap/skade på over 5 mill kroner for virksomheten</t>
        </is>
      </c>
      <c r="G13" s="28" t="inlineStr">
        <is>
          <t xml:space="preserve">Langvarige og svært negative oppslag i riksdekkende media.
Vesentlig tap av tillit hos innbyggere og samfunnet.
</t>
        </is>
      </c>
      <c r="H13" s="28" t="inlineStr">
        <is>
          <t>Kan medføre eller bidra til alvorlig brudd på lov, forskrift eller annet regelverk.</t>
        </is>
      </c>
      <c r="I13" s="29" t="inlineStr">
        <is>
          <t>Manglende oppnåelse av kritiske mål i virksomheten.</t>
        </is>
      </c>
      <c r="K13" s="30" t="n"/>
      <c r="L13" s="31" t="n"/>
    </row>
    <row r="14" ht="67.5" customHeight="1">
      <c r="D14" s="27">
        <f>F7</f>
        <v/>
      </c>
      <c r="E14" s="32" t="inlineStr">
        <is>
          <t>Alvorlig personskade eller varig funksjons-nedsettelse.</t>
        </is>
      </c>
      <c r="F14" s="32" t="inlineStr">
        <is>
          <t>Tap/skade mellom kr 1 og 5 mill for virksomheten</t>
        </is>
      </c>
      <c r="G14" s="32" t="inlineStr">
        <is>
          <t xml:space="preserve">Negative oppslag i riksdekkende media over flere dager.
Tap av tillit hos innbyggere og samfunnet.
</t>
        </is>
      </c>
      <c r="H14" s="32" t="inlineStr">
        <is>
          <t xml:space="preserve">Kan medføre eller bidra til brudd på lov, forskrift eller annet regelverk. </t>
        </is>
      </c>
      <c r="I14" s="33" t="inlineStr">
        <is>
          <t>Manglende oppnåelse av mindre kritiske mål i virksomheten.</t>
        </is>
      </c>
      <c r="K14" s="30" t="n"/>
      <c r="L14" s="31" t="n"/>
    </row>
    <row r="15" ht="95.45" customHeight="1">
      <c r="D15" s="27">
        <f>F6</f>
        <v/>
      </c>
      <c r="E15" s="34" t="inlineStr">
        <is>
          <t xml:space="preserve">Mindre alvorlig personskade </t>
        </is>
      </c>
      <c r="F15" s="34" t="inlineStr">
        <is>
          <t>Tap/skade mellom kr 250.000 til 1 mill for virksomheten</t>
        </is>
      </c>
      <c r="G15" s="34" t="inlineStr">
        <is>
          <t>Mindre eller kortvarige oppslag i media.</t>
        </is>
      </c>
      <c r="H15" s="34" t="inlineStr">
        <is>
          <t xml:space="preserve">Kan medføre eller bidra til mindre alvorlige brudd på lov, forskrift eller annet regelverk. 
Kan medføre brudd på intern instruks eller reglement.
</t>
        </is>
      </c>
      <c r="I15" s="35" t="inlineStr">
        <is>
          <t>Moderat innvirkning på oppnåelse av virksomhetens mål.</t>
        </is>
      </c>
      <c r="K15" s="30" t="n"/>
      <c r="L15" s="31" t="n"/>
    </row>
    <row r="16" ht="56.45" customHeight="1">
      <c r="D16" s="27">
        <f>F5</f>
        <v/>
      </c>
      <c r="E16" s="36" t="inlineStr">
        <is>
          <t>Småskader</t>
        </is>
      </c>
      <c r="F16" s="36" t="inlineStr">
        <is>
          <t>Tap/skade mellom kr 50.000 og 250.000 for virksomheten</t>
        </is>
      </c>
      <c r="G16" s="36" t="inlineStr">
        <is>
          <t>Henvendelse fra media uten negative oppslag.</t>
        </is>
      </c>
      <c r="H16" s="36" t="inlineStr">
        <is>
          <t xml:space="preserve">Kan medføre brudd på intern instruks eller reglement, uten at dette medfører brudd på lov, forskrift eller annet regelverk. </t>
        </is>
      </c>
      <c r="I16" s="37" t="inlineStr">
        <is>
          <t>Liten innvirkning på oppnåelses av virksomhetens mål.</t>
        </is>
      </c>
      <c r="K16" s="30" t="n"/>
      <c r="L16" s="31" t="n"/>
    </row>
    <row r="17" ht="64.34999999999999" customHeight="1" thickBot="1">
      <c r="D17" s="38">
        <f>F4</f>
        <v/>
      </c>
      <c r="E17" s="39" t="inlineStr">
        <is>
          <t>Ingen skade</t>
        </is>
      </c>
      <c r="F17" s="39" t="inlineStr">
        <is>
          <t>Tap/skade på mindre enn 50.000 kroner for virksomheten</t>
        </is>
      </c>
      <c r="G17" s="39" t="inlineStr">
        <is>
          <t>Ubetydelig påvirkning fra media.</t>
        </is>
      </c>
      <c r="H17" s="39" t="inlineStr">
        <is>
          <t xml:space="preserve">Påvirker ikke etterlevelse </t>
        </is>
      </c>
      <c r="I17" s="40" t="inlineStr">
        <is>
          <t>Ubetydelig innvirkning på oppnåelse av virksomhetens mål.</t>
        </is>
      </c>
      <c r="K17" s="30" t="n"/>
      <c r="L17" s="31" t="n"/>
    </row>
    <row r="18" hidden="1"/>
    <row r="19" hidden="1"/>
    <row r="21" ht="15.75" customHeight="1" thickBot="1"/>
    <row r="22">
      <c r="D22" s="163" t="inlineStr">
        <is>
          <t>Sannsynlighetskategorier og -nivåer</t>
        </is>
      </c>
      <c r="E22" s="164" t="n"/>
      <c r="F22" s="164" t="n"/>
      <c r="G22" s="164" t="n"/>
      <c r="H22" s="164" t="n"/>
      <c r="I22" s="165" t="n"/>
    </row>
    <row r="23">
      <c r="D23" s="41" t="n"/>
      <c r="E23" s="166" t="inlineStr">
        <is>
          <t>Hvor ofte skjer det?</t>
        </is>
      </c>
      <c r="F23" s="167" t="n"/>
      <c r="G23" s="168" t="inlineStr">
        <is>
          <t>Hvor lett skjer det?</t>
        </is>
      </c>
      <c r="H23" s="169" t="n"/>
      <c r="I23" s="170" t="n"/>
    </row>
    <row r="24">
      <c r="D24" s="41" t="n"/>
      <c r="E24" s="42" t="inlineStr">
        <is>
          <t>Forventning</t>
        </is>
      </c>
      <c r="F24" s="42" t="inlineStr">
        <is>
          <t>Estimert sannsynlighet</t>
        </is>
      </c>
      <c r="G24" s="42" t="inlineStr">
        <is>
          <t>Sårbarhet</t>
        </is>
      </c>
      <c r="H24" s="42" t="inlineStr">
        <is>
          <t>Kapasitet og evne</t>
        </is>
      </c>
      <c r="I24" s="43" t="inlineStr">
        <is>
          <t>Intensjon</t>
        </is>
      </c>
    </row>
    <row r="25" ht="78.75" customHeight="1">
      <c r="D25" s="44">
        <f>D8</f>
        <v/>
      </c>
      <c r="E25" s="28" t="inlineStr">
        <is>
          <t>Forventes å inntreffe tilnærmet ukentlig.</t>
        </is>
      </c>
      <c r="F25" s="28" t="inlineStr">
        <is>
          <t>Hendelsen vil oppstå under de fleste omstendigheter (inntreffer med over 70 % sannsynlighet)</t>
        </is>
      </c>
      <c r="G25" s="28" t="inlineStr">
        <is>
          <t>Sikkerhetstiltak er ikke etablert eller fungerer ikke etter hensikten</t>
        </is>
      </c>
      <c r="H25" s="28" t="inlineStr">
        <is>
          <t xml:space="preserve">Sikkerhetstiltak kan omgås eller brytes av egne medarbeidere og eksterne:
• Med små til normale ressurser
• Uten kjennskap til tiltakene
</t>
        </is>
      </c>
      <c r="I25" s="29" t="inlineStr">
        <is>
          <t xml:space="preserve">Egne medarbeidere og eksterne opptrer med ubetenksomhet, eller hendelsen skjer ved uhell </t>
        </is>
      </c>
    </row>
    <row r="26" ht="67.5" customHeight="1">
      <c r="D26" s="44">
        <f>D7</f>
        <v/>
      </c>
      <c r="E26" s="32" t="inlineStr">
        <is>
          <t>Forventes å inntreffe tilnærmet månedlig.</t>
        </is>
      </c>
      <c r="F26" s="32" t="inlineStr">
        <is>
          <t>Hendelsen kan oppstå under flere omstendigheter (inntreffer med 30 – 70 % sannsynlighet)</t>
        </is>
      </c>
      <c r="G26" s="32" t="inlineStr">
        <is>
          <t>Sikkerhetstiltak er i noen grad etablert eller det er usikkert om de fungerer etter hensikten</t>
        </is>
      </c>
      <c r="H26" s="32" t="inlineStr">
        <is>
          <t>Egne medarbeidere 
• små til normale ressurser
• uten kjennskap til tiltakene
Eksterne 
• små til normale ressurser
• kjennskap til tiltakene</t>
        </is>
      </c>
      <c r="I26" s="33" t="inlineStr">
        <is>
          <t xml:space="preserve">Egne medarbeidere opptrer med ubetenksomhet, eller hendelsen skjer ved uhell
Eksterne bryter sikkerhetstiltakene bevisst.
</t>
        </is>
      </c>
    </row>
    <row r="27" ht="78.75" customHeight="1">
      <c r="D27" s="44">
        <f>D6</f>
        <v/>
      </c>
      <c r="E27" s="34" t="inlineStr">
        <is>
          <t>Forventes å inntreffe minst kvartalsvis.</t>
        </is>
      </c>
      <c r="F27" s="34" t="inlineStr">
        <is>
          <t>Hendelsen kan oppstå under noen omstendigheter (inntreffer med 10 – 30 % sannsynlighet)</t>
        </is>
      </c>
      <c r="G27" s="34" t="inlineStr">
        <is>
          <t>Sikkerhetstiltak er delvis etablert, og fungerer delvis etter hensikten</t>
        </is>
      </c>
      <c r="H27" s="34" t="inlineStr">
        <is>
          <t>Egne medarbeidere
• små til normale ressurser
• noe kjennskap til tiltakene
• uten kompetanse
Eksterne
• normal til gode ressurser
• god kjennskap til tiltakene</t>
        </is>
      </c>
      <c r="I27" s="35" t="inlineStr">
        <is>
          <t xml:space="preserve">Egne medarbeidere bryter sikkerhetstiltakene bevisst .
Eksterne planlegger og bryter sikkerhetstiltakene. 
</t>
        </is>
      </c>
    </row>
    <row r="28" ht="101.25" customHeight="1">
      <c r="D28" s="44">
        <f>D5</f>
        <v/>
      </c>
      <c r="E28" s="36" t="inlineStr">
        <is>
          <t>Forventes å inntreffe årlig.</t>
        </is>
      </c>
      <c r="F28" s="36" t="inlineStr">
        <is>
          <t>Hendelsen kan oppstå under sjeldne omstendigheter (inntreffer med 5 – 10 % sannsynlighet)</t>
        </is>
      </c>
      <c r="G28" s="36" t="inlineStr">
        <is>
          <t>Sikkerhetstiltak er etablert etter sikkerhetsbehovet og fungerer etter hensikten</t>
        </is>
      </c>
      <c r="H28" s="36" t="inlineStr">
        <is>
          <t>Egne medarbeidere
• små til normale ressurser
• kjennskap til tiltakene
• en viss kompetanse
Eksterne
• gode ressurser og spisskompetanse
• fullstendig kjennskap til tiltakene</t>
        </is>
      </c>
      <c r="I28" s="37" t="inlineStr">
        <is>
          <t xml:space="preserve">Egne medarbeidere bryter sikkerhetstiltakene bevisst.
Eksterne planlegger over lengre tid og bryter sikkerhetstiltakene. 
</t>
        </is>
      </c>
    </row>
    <row r="29" ht="90.75" customHeight="1" thickBot="1">
      <c r="D29" s="45">
        <f>D4</f>
        <v/>
      </c>
      <c r="E29" s="39" t="inlineStr">
        <is>
          <t>Forventes å finne sted sjeldnere enn en gang pr år.</t>
        </is>
      </c>
      <c r="F29" s="39" t="inlineStr">
        <is>
          <t>Hendelsen vil kun oppstå under helt spesielle omstendigheter (inntreffer med under 5 % sannsynlighet)</t>
        </is>
      </c>
      <c r="G29" s="39" t="inlineStr">
        <is>
          <t>Sikkerhetstiltak er etablert etter sikkerhetsbehovet og det kontrolleres at de fungerer etter hensikten</t>
        </is>
      </c>
      <c r="H29" s="39" t="inlineStr">
        <is>
          <t>Tiltakene kan kun brytes av egne medarbeidere 
• med gode ressurser, 
• god/fullstendig kjennskap til tiltakene. 
Eksternt personell kan kun omgå eller bryte tiltakene med hjelp fra interne.</t>
        </is>
      </c>
      <c r="I29" s="40" t="inlineStr">
        <is>
          <t>Egne medarbeidere planlegger og bryter sikkerhetstiltakene.</t>
        </is>
      </c>
    </row>
    <row r="31" ht="32.45" customHeight="1">
      <c r="B31" s="46" t="n"/>
    </row>
    <row r="32" ht="15.75" customHeight="1" thickBot="1">
      <c r="D32" s="2" t="n">
        <v>1</v>
      </c>
      <c r="E32" s="2" t="n">
        <v>2</v>
      </c>
      <c r="F32" s="2" t="n">
        <v>3</v>
      </c>
      <c r="G32" s="2" t="n">
        <v>4</v>
      </c>
      <c r="H32" s="2" t="n">
        <v>5</v>
      </c>
    </row>
    <row r="33" ht="66.59999999999999" customHeight="1">
      <c r="B33" s="3">
        <f>D8</f>
        <v/>
      </c>
      <c r="C33" s="4" t="n">
        <v>5</v>
      </c>
      <c r="D33" s="47" t="inlineStr">
        <is>
          <t>Middels</t>
        </is>
      </c>
      <c r="E33" s="48" t="inlineStr">
        <is>
          <t>Middels</t>
        </is>
      </c>
      <c r="F33" s="48" t="inlineStr">
        <is>
          <t>Høy</t>
        </is>
      </c>
      <c r="G33" s="49" t="inlineStr">
        <is>
          <t>Høy</t>
        </is>
      </c>
      <c r="H33" s="50" t="inlineStr">
        <is>
          <t>Høy</t>
        </is>
      </c>
    </row>
    <row r="34" ht="74.25" customHeight="1">
      <c r="B34" s="3">
        <f>D7</f>
        <v/>
      </c>
      <c r="C34" s="4" t="n">
        <v>4</v>
      </c>
      <c r="D34" s="51" t="inlineStr">
        <is>
          <t>Lav</t>
        </is>
      </c>
      <c r="E34" s="52" t="inlineStr">
        <is>
          <t>Middels</t>
        </is>
      </c>
      <c r="F34" s="52" t="inlineStr">
        <is>
          <t>Middels</t>
        </is>
      </c>
      <c r="G34" s="53" t="inlineStr">
        <is>
          <t>Høy</t>
        </is>
      </c>
      <c r="H34" s="54" t="inlineStr">
        <is>
          <t>Høy</t>
        </is>
      </c>
    </row>
    <row r="35" ht="74.25" customHeight="1">
      <c r="B35" s="3">
        <f>D6</f>
        <v/>
      </c>
      <c r="C35" s="4" t="n">
        <v>3</v>
      </c>
      <c r="D35" s="55" t="inlineStr">
        <is>
          <t>Lav</t>
        </is>
      </c>
      <c r="E35" s="56" t="inlineStr">
        <is>
          <t>Middels</t>
        </is>
      </c>
      <c r="F35" s="56" t="inlineStr">
        <is>
          <t>Middels</t>
        </is>
      </c>
      <c r="G35" s="57" t="inlineStr">
        <is>
          <t>Høy</t>
        </is>
      </c>
      <c r="H35" s="58" t="inlineStr">
        <is>
          <t>Høy</t>
        </is>
      </c>
    </row>
    <row r="36" ht="74.25" customHeight="1">
      <c r="B36" s="3">
        <f>D5</f>
        <v/>
      </c>
      <c r="C36" s="4" t="n">
        <v>2</v>
      </c>
      <c r="D36" s="55" t="inlineStr">
        <is>
          <t>Lav</t>
        </is>
      </c>
      <c r="E36" s="56" t="inlineStr">
        <is>
          <t>Lav</t>
        </is>
      </c>
      <c r="F36" s="56" t="inlineStr">
        <is>
          <t>Middels</t>
        </is>
      </c>
      <c r="G36" s="57" t="inlineStr">
        <is>
          <t>Middels</t>
        </is>
      </c>
      <c r="H36" s="58" t="inlineStr">
        <is>
          <t>Høy</t>
        </is>
      </c>
    </row>
    <row r="37" ht="75" customHeight="1" thickBot="1">
      <c r="B37" s="3">
        <f>D4</f>
        <v/>
      </c>
      <c r="C37" s="4" t="n">
        <v>1</v>
      </c>
      <c r="D37" s="59" t="inlineStr">
        <is>
          <t>Lav</t>
        </is>
      </c>
      <c r="E37" s="60" t="inlineStr">
        <is>
          <t>Lav</t>
        </is>
      </c>
      <c r="F37" s="60" t="inlineStr">
        <is>
          <t>Middels</t>
        </is>
      </c>
      <c r="G37" s="61" t="inlineStr">
        <is>
          <t>Middels</t>
        </is>
      </c>
      <c r="H37" s="62" t="inlineStr">
        <is>
          <t>Middels</t>
        </is>
      </c>
    </row>
    <row r="38" ht="20.25" customHeight="1">
      <c r="D38" s="2">
        <f>F4</f>
        <v/>
      </c>
      <c r="E38" s="2">
        <f>F5</f>
        <v/>
      </c>
      <c r="F38" s="2">
        <f>F6</f>
        <v/>
      </c>
      <c r="G38" s="2">
        <f>F7</f>
        <v/>
      </c>
      <c r="H38" s="1">
        <f>F8</f>
        <v/>
      </c>
    </row>
    <row r="39">
      <c r="G39" s="63" t="n"/>
      <c r="H39" s="63" t="n"/>
      <c r="I39" s="63" t="n"/>
    </row>
    <row r="40">
      <c r="G40" s="63" t="n"/>
      <c r="H40" s="63" t="n"/>
      <c r="I40" s="63" t="n"/>
    </row>
    <row r="41">
      <c r="G41" s="63" t="n"/>
      <c r="H41" s="63" t="n"/>
      <c r="I41" s="63" t="n"/>
    </row>
    <row r="42" ht="24" customHeight="1">
      <c r="B42" s="64" t="n"/>
    </row>
    <row r="43" ht="10.35" customHeight="1">
      <c r="B43" s="64" t="n"/>
    </row>
    <row r="44">
      <c r="E44" s="63" t="n"/>
      <c r="I44" s="63" t="n"/>
    </row>
    <row r="45">
      <c r="I45" s="63" t="n"/>
    </row>
    <row r="46">
      <c r="I46" s="63" t="n"/>
    </row>
    <row r="47">
      <c r="I47" s="63" t="n"/>
    </row>
    <row r="48">
      <c r="I48" s="63" t="n"/>
    </row>
    <row r="49">
      <c r="I49" s="63" t="n"/>
    </row>
    <row r="50">
      <c r="I50" s="63" t="n"/>
    </row>
    <row r="51">
      <c r="I51" s="63" t="n"/>
    </row>
    <row r="52">
      <c r="I52" s="63" t="n"/>
    </row>
    <row r="53">
      <c r="I53" s="63" t="n"/>
    </row>
    <row r="54">
      <c r="I54" s="63" t="n"/>
    </row>
    <row r="55">
      <c r="I55" s="63" t="n"/>
    </row>
    <row r="56">
      <c r="I56" s="63" t="n"/>
    </row>
    <row r="57">
      <c r="I57" s="63" t="n"/>
    </row>
    <row r="58">
      <c r="I58" s="63" t="n"/>
    </row>
    <row r="59">
      <c r="I59" s="63" t="n"/>
    </row>
    <row r="60">
      <c r="I60" s="63" t="n"/>
    </row>
    <row r="61">
      <c r="I61" s="63" t="n"/>
    </row>
    <row r="62">
      <c r="I62" s="63" t="n"/>
    </row>
    <row r="63">
      <c r="I63" s="63" t="n"/>
    </row>
    <row r="64">
      <c r="I64" s="63" t="n"/>
    </row>
    <row r="65">
      <c r="I65" s="63" t="n"/>
    </row>
    <row r="66">
      <c r="I66" s="63" t="n"/>
    </row>
    <row r="67">
      <c r="I67" s="63" t="n"/>
    </row>
  </sheetData>
  <mergeCells count="3">
    <mergeCell ref="E23:F23"/>
    <mergeCell ref="D22:I22"/>
    <mergeCell ref="G23:I23"/>
  </mergeCells>
  <conditionalFormatting sqref="D33:H37">
    <cfRule type="cellIs" priority="1" operator="equal" dxfId="2">
      <formula>$H$4</formula>
    </cfRule>
    <cfRule type="cellIs" priority="2" operator="equal" dxfId="10">
      <formula>$H$5</formula>
    </cfRule>
    <cfRule type="cellIs" priority="3" operator="equal" dxfId="4">
      <formula>$H$6</formula>
    </cfRule>
    <cfRule type="cellIs" priority="4" operator="equal" dxfId="8">
      <formula>$H$7</formula>
    </cfRule>
    <cfRule type="cellIs" priority="5" operator="equal" dxfId="3">
      <formula>$H$8</formula>
    </cfRule>
  </conditionalFormatting>
  <dataValidations count="1">
    <dataValidation sqref="D33:H37" showDropDown="0" showInputMessage="1" showErrorMessage="1" allowBlank="1" error="Sett inn en verdi fra listen" type="list">
      <formula1>$H$4:$H$8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1">
    <tabColor rgb="FF9FF0A4"/>
    <outlinePr summaryBelow="1" summaryRight="1"/>
    <pageSetUpPr/>
  </sheetPr>
  <dimension ref="A1:S201"/>
  <sheetViews>
    <sheetView showGridLines="0" topLeftCell="I1" zoomScale="75" zoomScaleNormal="75" workbookViewId="0">
      <pane ySplit="1" topLeftCell="A2" activePane="bottomLeft" state="frozen"/>
      <selection pane="bottomLeft" activeCell="P5" sqref="P5"/>
    </sheetView>
  </sheetViews>
  <sheetFormatPr baseColWidth="10" defaultColWidth="11.42578125" defaultRowHeight="15.75"/>
  <cols>
    <col hidden="1" width="23.140625" customWidth="1" style="95" min="1" max="1"/>
    <col hidden="1" width="29.28515625" customWidth="1" style="95" min="2" max="2"/>
    <col hidden="1" width="28.5703125" customWidth="1" style="96" min="3" max="3"/>
    <col hidden="1" width="27" customWidth="1" style="96" min="4" max="4"/>
    <col width="15.140625" bestFit="1" customWidth="1" style="117" min="5" max="5"/>
    <col width="49.28515625" bestFit="1" customWidth="1" min="6" max="6"/>
    <col width="14.42578125" bestFit="1" customWidth="1" style="119" min="7" max="7"/>
    <col width="31.7109375" bestFit="1" customWidth="1" style="106" min="8" max="8"/>
    <col width="36.42578125" customWidth="1" min="9" max="9"/>
    <col width="19.5703125" bestFit="1" customWidth="1" min="10" max="10"/>
    <col width="41.42578125" bestFit="1" customWidth="1" min="11" max="11"/>
    <col width="22.85546875" bestFit="1" customWidth="1" min="12" max="12"/>
    <col width="40.5703125" bestFit="1" customWidth="1" min="13" max="13"/>
    <col width="12" bestFit="1" customWidth="1" style="127" min="14" max="14"/>
    <col width="19" customWidth="1" style="125" min="15" max="15"/>
    <col width="25.140625" bestFit="1" customWidth="1" style="15" min="16" max="16"/>
    <col width="19.5703125" bestFit="1" customWidth="1" style="15" min="17" max="17"/>
    <col width="22.85546875" bestFit="1" customWidth="1" style="15" min="18" max="18"/>
    <col width="16.85546875" bestFit="1" customWidth="1" style="127" min="19" max="19"/>
    <col width="20.5703125" customWidth="1" style="72" min="20" max="20"/>
    <col width="21.28515625" customWidth="1" style="15" min="21" max="21"/>
  </cols>
  <sheetData>
    <row r="1" ht="69.75" customHeight="1">
      <c r="A1" s="91" t="inlineStr">
        <is>
          <t>Sanns_verdi</t>
        </is>
      </c>
      <c r="B1" s="91" t="inlineStr">
        <is>
          <t>Beregnet konsekvensverdi</t>
        </is>
      </c>
      <c r="C1" s="92" t="inlineStr">
        <is>
          <t>Sanns_etter_verdi</t>
        </is>
      </c>
      <c r="D1" s="92" t="inlineStr">
        <is>
          <t>Kons_etter_verdi</t>
        </is>
      </c>
      <c r="E1" s="146" t="inlineStr">
        <is>
          <t>RiskID</t>
        </is>
      </c>
      <c r="F1" s="147" t="inlineStr">
        <is>
          <t>Uønsket hendelse</t>
        </is>
      </c>
      <c r="G1" s="148" t="inlineStr">
        <is>
          <t>K, I, T</t>
        </is>
      </c>
      <c r="H1" s="148" t="inlineStr">
        <is>
          <t>Årsaker/svakheter</t>
        </is>
      </c>
      <c r="I1" s="147" t="inlineStr">
        <is>
          <t>Eksisterende tiltak</t>
        </is>
      </c>
      <c r="J1" s="149" t="inlineStr">
        <is>
          <t>Konsekvens</t>
        </is>
      </c>
      <c r="K1" s="150" t="inlineStr">
        <is>
          <t>Konsekvensbegrunnelse</t>
        </is>
      </c>
      <c r="L1" s="149" t="inlineStr">
        <is>
          <t>Sannsynlighet</t>
        </is>
      </c>
      <c r="M1" s="150" t="inlineStr">
        <is>
          <t>Sannsynlighetsbegrunnelse</t>
        </is>
      </c>
      <c r="N1" s="147" t="inlineStr">
        <is>
          <t>Risiko</t>
        </is>
      </c>
      <c r="O1" s="150" t="inlineStr">
        <is>
          <t>Risiko-
behandling</t>
        </is>
      </c>
      <c r="P1" s="151" t="inlineStr">
        <is>
          <t>Foreslåtte tiltak</t>
        </is>
      </c>
      <c r="Q1" s="152" t="inlineStr">
        <is>
          <t>Konsekvens
etter tiltak</t>
        </is>
      </c>
      <c r="R1" s="152" t="inlineStr">
        <is>
          <t>Sannsynlighet
etter tiltak</t>
        </is>
      </c>
      <c r="S1" s="147" t="inlineStr">
        <is>
          <t>Restrisiko</t>
        </is>
      </c>
    </row>
    <row r="2" ht="47.25" customHeight="1">
      <c r="A2" s="93">
        <f>IFERROR(VLOOKUP('Risikoanalyse'!L2,Akseptkriterier!$D$4:$E$8,2,FALSE),0)</f>
        <v/>
      </c>
      <c r="B2" s="93">
        <f>IFERROR(VLOOKUP('Risikoanalyse'!J2,Akseptkriterier!$F$4:$G$8,2,FALSE),0)</f>
        <v/>
      </c>
      <c r="C2" s="94">
        <f>IFERROR(VLOOKUP('Risikoanalyse'!R2,Akseptkriterier!$D$4:$E$8,2,FALSE),0)</f>
        <v/>
      </c>
      <c r="D2" s="93">
        <f>IFERROR(VLOOKUP('Risikoanalyse'!Q2,Akseptkriterier!$F$4:$G$8,2,FALSE),0)</f>
        <v/>
      </c>
      <c r="E2" s="131" t="inlineStr">
        <is>
          <t>R1</t>
        </is>
      </c>
      <c r="F2" s="171" t="inlineStr">
        <is>
          <t>KI-generert naturfaglig vurdering inneholder hallusinasjoner, feiltolkninger av RAG-kontekst eller syntesefeil, og blir lagt til grunn i byggesaksbehandling.</t>
        </is>
      </c>
      <c r="G2" s="133" t="inlineStr">
        <is>
          <t>I</t>
        </is>
      </c>
      <c r="H2" s="171" t="inlineStr">
        <is>
          <t>Generative modeller kan feilformulere syntese selv med kildebelagt kontekst
RAG kan returnere irrelevante eller delvise utdrag
Klassiske hallusinasjoner kan fortsatt forekomme der RAG mangler treff</t>
        </is>
      </c>
      <c r="I2" s="171" t="inlineStr">
        <is>
          <t>Tjenesten merket som pilot/POC
Strukturert JSON-output med 4 portretttyper begrenser frifabulering
Disclaimers i UI om at output må kvalitetssikres
RAG mot Oslo kommunes kunnskapsbase (forutsetning, snarlig etablering)
Live oppslag mot Artsdatabanken og NiN (forutsetning)
Kildehenvisning per påstand fra RAG-pipeline</t>
        </is>
      </c>
      <c r="J2" s="134" t="inlineStr">
        <is>
          <t>Alvorlig</t>
        </is>
      </c>
      <c r="K2" s="172" t="inlineStr">
        <is>
          <t>Feil naturfaglig grunnlag kan svekke vedtak etter naturmangfoldloven, skade biologisk mangfold og redusere tillit til etaten.</t>
        </is>
      </c>
      <c r="L2" s="134" t="inlineStr">
        <is>
          <t>Liten</t>
        </is>
      </c>
      <c r="M2" s="171" t="inlineStr">
        <is>
          <t>RAG gir kildebelagte svar og live oppslag mot autoritative kilder reduserer faktafeil betydelig. Restrisiko knyttet til syntese og kant-tilfeller uten dekning i kunnskapsbasen.</t>
        </is>
      </c>
      <c r="N2" s="126">
        <f>IF(NOT(E2=""),IFERROR(VLOOKUP(A2,Akseptkriterier!$C$33:$H$37,MATCH(B2,Akseptkriterier!$D$32:$H$32,0)+1,FALSE),""),"")</f>
        <v/>
      </c>
      <c r="O2" s="124" t="inlineStr">
        <is>
          <t>Redusere</t>
        </is>
      </c>
      <c r="P2" s="173" t="inlineStr">
        <is>
          <t>Krav om fagverifisering før output brukes i saksbehandling
Logging av kilder per anbefaling
Begrens bruk til informasjonsformål inntil verifiseringssløyfe er etablert
UI-flagging av påstander uten kildedekning</t>
        </is>
      </c>
      <c r="Q2" s="122" t="inlineStr">
        <is>
          <t>Lav</t>
        </is>
      </c>
      <c r="R2" s="122" t="inlineStr">
        <is>
          <t>Liten</t>
        </is>
      </c>
      <c r="S2" s="128">
        <f>IFERROR(VLOOKUP(C2,Akseptkriterier!$C$33:$H$37,MATCH(D2,Akseptkriterier!$D$32:$H$32,0)+1,FALSE),"")</f>
        <v/>
      </c>
    </row>
    <row r="3" ht="47.25" customHeight="1">
      <c r="A3" s="93">
        <f>IFERROR(VLOOKUP('Risikoanalyse'!L3,Akseptkriterier!$D$4:$E$8,2,FALSE),0)</f>
        <v/>
      </c>
      <c r="B3" s="93">
        <f>IFERROR(VLOOKUP('Risikoanalyse'!J3,Akseptkriterier!$F$4:$G$8,2,FALSE),0)</f>
        <v/>
      </c>
      <c r="C3" s="94">
        <f>IFERROR(VLOOKUP('Risikoanalyse'!R3,Akseptkriterier!$D$4:$E$8,2,FALSE),0)</f>
        <v/>
      </c>
      <c r="D3" s="93">
        <f>IFERROR(VLOOKUP('Risikoanalyse'!Q3,Akseptkriterier!$F$4:$G$8,2,FALSE),0)</f>
        <v/>
      </c>
      <c r="E3" s="103" t="inlineStr">
        <is>
          <t>R2</t>
        </is>
      </c>
      <c r="F3" s="174" t="inlineStr">
        <is>
          <t>Anthropic API-nøkkel kommer på avveie og misbrukes til uautorisert bruk på Oslo kommunes regning.</t>
        </is>
      </c>
      <c r="G3" s="100" t="inlineStr">
        <is>
          <t>K</t>
        </is>
      </c>
      <c r="H3" s="174" t="inlineStr">
        <is>
          <t>Nøkkel lagret i miljøvariabel kan eksponeres ved feilkonfigurasjon
Ingen rutinemessig nøkkelrotering
Ingen anomalideteksjon på forbruk</t>
        </is>
      </c>
      <c r="I3" s="174" t="inlineStr">
        <is>
          <t>Nøkkel kun server-side (proxy-arkitektur)
.env i .gitignore
Railway secrets brukt i produksjon
Ingen direkte fronthendend-eksponering</t>
        </is>
      </c>
      <c r="J3" s="120" t="inlineStr">
        <is>
          <t>Moderat</t>
        </is>
      </c>
      <c r="K3" s="175" t="inlineStr">
        <is>
          <t>Direkte økonomisk tap begrenset av Anthropic-budsjett. Indirekte: omdømme og tillit.</t>
        </is>
      </c>
      <c r="L3" s="120" t="inlineStr">
        <is>
          <t>Liten</t>
        </is>
      </c>
      <c r="M3" s="174" t="inlineStr">
        <is>
          <t>Sterk arkitektur og at nøkkel kun ligger i Railway, men ingen formell rotering eller alarm.</t>
        </is>
      </c>
      <c r="N3" s="126">
        <f>IF(NOT(E3=""),IFERROR(VLOOKUP(A3,Akseptkriterier!$C$33:$H$37,MATCH(B3,Akseptkriterier!$D$32:$H$32,0)+1,FALSE),""),"")</f>
        <v/>
      </c>
      <c r="O3" s="124" t="inlineStr">
        <is>
          <t>Redusere</t>
        </is>
      </c>
      <c r="P3" s="173" t="inlineStr">
        <is>
          <t>Etabler rutine for nøkkelrotering (kvartalsvis)
Sett hard usage cap hos Anthropic
Aktiver alarm ved unormalt forbruk
Vurder bruk av Oslo kommunes nøkkelhvelv ved portering</t>
        </is>
      </c>
      <c r="Q3" s="122" t="inlineStr">
        <is>
          <t>Lav</t>
        </is>
      </c>
      <c r="R3" s="122" t="inlineStr">
        <is>
          <t>Meget liten</t>
        </is>
      </c>
      <c r="S3" s="128">
        <f>IFERROR(VLOOKUP(C3,Akseptkriterier!$C$33:$H$37,MATCH(D3,Akseptkriterier!$D$32:$H$32,0)+1,FALSE),"")</f>
        <v/>
      </c>
    </row>
    <row r="4" ht="47.25" customHeight="1">
      <c r="A4" s="93">
        <f>IFERROR(VLOOKUP('Risikoanalyse'!L4,Akseptkriterier!$D$4:$E$8,2,FALSE),0)</f>
        <v/>
      </c>
      <c r="B4" s="93">
        <f>IFERROR(VLOOKUP('Risikoanalyse'!J4,Akseptkriterier!$F$4:$G$8,2,FALSE),0)</f>
        <v/>
      </c>
      <c r="C4" s="94">
        <f>IFERROR(VLOOKUP('Risikoanalyse'!R4,Akseptkriterier!$D$4:$E$8,2,FALSE),0)</f>
        <v/>
      </c>
      <c r="D4" s="93">
        <f>IFERROR(VLOOKUP('Risikoanalyse'!Q4,Akseptkriterier!$F$4:$G$8,2,FALSE),0)</f>
        <v/>
      </c>
      <c r="E4" s="136" t="inlineStr">
        <is>
          <t>R3</t>
        </is>
      </c>
      <c r="F4" s="176" t="inlineStr">
        <is>
          <t>Tjenesten er utilgjengelig på grunn av driftsutfall hos Railway eller mottatt SIGTERM uten automatisk restart.</t>
        </is>
      </c>
      <c r="G4" s="138" t="inlineStr">
        <is>
          <t>T</t>
        </is>
      </c>
      <c r="H4" s="176" t="inlineStr">
        <is>
          <t>Hosting på enkelt Railway-instans uten redundans
Ingen automatisk helsesjekk eller alarm
Railway sin Restart-funksjon fikser ikke krasjet deploy</t>
        </is>
      </c>
      <c r="I4" s="176" t="inlineStr">
        <is>
          <t>Driftshåndbok (DEVLOG.md) dokumenterer redeploy-prosess
Lokal backup-kjøring mulig for demoer
Kilde til hendelsen 20.–22. mai 2026 dokumentert</t>
        </is>
      </c>
      <c r="J4" s="139" t="inlineStr">
        <is>
          <t>Moderat</t>
        </is>
      </c>
      <c r="K4" s="177" t="inlineStr">
        <is>
          <t>Som pilot ikke driftskritisk, men gjentatt nedetid undergraver tilliten til løsningen i pilotfasen.</t>
        </is>
      </c>
      <c r="L4" s="139" t="inlineStr">
        <is>
          <t>Stor</t>
        </is>
      </c>
      <c r="M4" s="176" t="inlineStr">
        <is>
          <t>Hendelse 20.–22. mai 2026 bekreftet at SIGTERM-krasj kan ligge udetektert i 5 dager.</t>
        </is>
      </c>
      <c r="N4" s="126">
        <f>IF(NOT(E4=""),IFERROR(VLOOKUP(A4,Akseptkriterier!$C$33:$H$37,MATCH(B4,Akseptkriterier!$D$32:$H$32,0)+1,FALSE),""),"")</f>
        <v/>
      </c>
      <c r="O4" s="124" t="inlineStr">
        <is>
          <t>Redusere</t>
        </is>
      </c>
      <c r="P4" s="176" t="inlineStr">
        <is>
          <t>Etabler uptime-overvåkning (eks. UptimeRobot) mot /api/health
E-postvarsel ved 502/utfall
Dokumenter prosedyre for raskt redeploy
Vurder migrering til kommunens infrastruktur (Marvin/Felles IKT-plattform) ved utrulling</t>
        </is>
      </c>
      <c r="Q4" s="139" t="inlineStr">
        <is>
          <t>Lav</t>
        </is>
      </c>
      <c r="R4" s="139" t="inlineStr">
        <is>
          <t>Moderat</t>
        </is>
      </c>
      <c r="S4" s="128">
        <f>IFERROR(VLOOKUP(C4,Akseptkriterier!$C$33:$H$37,MATCH(D4,Akseptkriterier!$D$32:$H$32,0)+1,FALSE),"")</f>
        <v/>
      </c>
    </row>
    <row r="5" ht="47.25" customHeight="1">
      <c r="A5" s="93">
        <f>IFERROR(VLOOKUP('Risikoanalyse'!L5,Akseptkriterier!$D$4:$E$8,2,FALSE),0)</f>
        <v/>
      </c>
      <c r="B5" s="93">
        <f>IFERROR(VLOOKUP('Risikoanalyse'!J5,Akseptkriterier!$F$4:$G$8,2,FALSE),0)</f>
        <v/>
      </c>
      <c r="C5" s="94">
        <f>IFERROR(VLOOKUP('Risikoanalyse'!R5,Akseptkriterier!$D$4:$E$8,2,FALSE),0)</f>
        <v/>
      </c>
      <c r="D5" s="93">
        <f>IFERROR(VLOOKUP('Risikoanalyse'!Q5,Akseptkriterier!$F$4:$G$8,2,FALSE),0)</f>
        <v/>
      </c>
      <c r="E5" s="121" t="inlineStr">
        <is>
          <t>R4</t>
        </is>
      </c>
      <c r="F5" s="173" t="inlineStr">
        <is>
          <t>Prompt injection via brukerinput (adressefelt, artsvalg) manipulerer KI-svar.</t>
        </is>
      </c>
      <c r="G5" s="71" t="inlineStr">
        <is>
          <t>I</t>
        </is>
      </c>
      <c r="H5" s="173" t="inlineStr">
        <is>
          <t>Brukerinput sammenstilles direkte i prompts mot Claude
Ingen autentisering — tjenesten er åpen på internett
Adressestrengen passerer Kartverket først, men artsnavn fra UI går direkte inn</t>
        </is>
      </c>
      <c r="I5" s="173" t="inlineStr">
        <is>
          <t>Strukturert prompt-mal i server/prompts/biodiversity.js
Adresse normaliseres og hentes fra autoritativ Kartverket-API før KI ser den
KI returnerer strukturert JSON som valideres</t>
        </is>
      </c>
      <c r="J5" s="122" t="inlineStr">
        <is>
          <t>Moderat</t>
        </is>
      </c>
      <c r="K5" s="178" t="inlineStr">
        <is>
          <t>Kan gi villedende eller upassende output i pilotfasen, men begrenset skadepotensial uten sensitive data.</t>
        </is>
      </c>
      <c r="L5" s="122" t="inlineStr">
        <is>
          <t>Moderat</t>
        </is>
      </c>
      <c r="M5" s="173" t="inlineStr">
        <is>
          <t>Åpen tjeneste øker eksponering, men strukturert input-form begrenser angrepsflate.</t>
        </is>
      </c>
      <c r="N5" s="126">
        <f>IF(NOT(E5=""),IFERROR(VLOOKUP(A5,Akseptkriterier!$C$33:$H$37,MATCH(B5,Akseptkriterier!$D$32:$H$32,0)+1,FALSE),""),"")</f>
        <v/>
      </c>
      <c r="O5" s="124" t="inlineStr">
        <is>
          <t>Redusere</t>
        </is>
      </c>
      <c r="P5" s="173" t="inlineStr">
        <is>
          <t>Input-validering og sanitering i server-proxy
Whitelist på tillatte artsnavn (matchet mot iNaturalist/GBIF-respons)
Utgangsvalidering: avvis svar som inneholder instruksjonsbrudd
Logging av mistenkelig input</t>
        </is>
      </c>
      <c r="Q5" s="122" t="inlineStr">
        <is>
          <t>Lav</t>
        </is>
      </c>
      <c r="R5" s="122" t="inlineStr">
        <is>
          <t>Liten</t>
        </is>
      </c>
      <c r="S5" s="128">
        <f>IFERROR(VLOOKUP(C5,Akseptkriterier!$C$33:$H$37,MATCH(D5,Akseptkriterier!$D$32:$H$32,0)+1,FALSE),"")</f>
        <v/>
      </c>
    </row>
    <row r="6" ht="21" customHeight="1">
      <c r="A6" s="93">
        <f>IFERROR(VLOOKUP('Risikoanalyse'!L6,Akseptkriterier!$D$4:$E$8,2,FALSE),0)</f>
        <v/>
      </c>
      <c r="B6" s="93">
        <f>IFERROR(VLOOKUP('Risikoanalyse'!J6,Akseptkriterier!$F$4:$G$8,2,FALSE),0)</f>
        <v/>
      </c>
      <c r="C6" s="94">
        <f>IFERROR(VLOOKUP('Risikoanalyse'!R6,Akseptkriterier!$D$4:$E$8,2,FALSE),0)</f>
        <v/>
      </c>
      <c r="D6" s="93">
        <f>IFERROR(VLOOKUP('Risikoanalyse'!Q6,Akseptkriterier!$F$4:$G$8,2,FALSE),0)</f>
        <v/>
      </c>
      <c r="E6" s="131" t="inlineStr">
        <is>
          <t>R5</t>
        </is>
      </c>
      <c r="F6" s="171" t="inlineStr">
        <is>
          <t>Saksbehandler bruker KI-vurdering direkte i vedtak uten å gjennomføre fagverifisering.</t>
        </is>
      </c>
      <c r="G6" s="133" t="inlineStr">
        <is>
          <t>I</t>
        </is>
      </c>
      <c r="H6" s="171" t="inlineStr">
        <is>
          <t>Ingen formell prosess for kvalitetssikring av output
Mangelfull opplæring av tiltenkte brukere
UI signaliserer ikke tydelig nok at output er ufullstendig</t>
        </is>
      </c>
      <c r="I6" s="171" t="inlineStr">
        <is>
          <t>Pilot-merking i UI
Ingen utrulling til faktisk saksbehandling ennå</t>
        </is>
      </c>
      <c r="J6" s="142" t="inlineStr">
        <is>
          <t>Alvorlig</t>
        </is>
      </c>
      <c r="K6" s="172" t="inlineStr">
        <is>
          <t>Feil saksbehandling etter naturmangfoldloven kan føre til klagesaker, omgjøring av vedtak og dårligere naturvern.</t>
        </is>
      </c>
      <c r="L6" s="142" t="inlineStr">
        <is>
          <t>Stor</t>
        </is>
      </c>
      <c r="M6" s="171" t="inlineStr">
        <is>
          <t>Erfaring fra andre KI-piloter viser at brukere fester tillit til KI-output uten formelle barrierer.</t>
        </is>
      </c>
      <c r="N6" s="126">
        <f>IF(NOT(E6=""),IFERROR(VLOOKUP(A6,Akseptkriterier!$C$33:$H$37,MATCH(B6,Akseptkriterier!$D$32:$H$32,0)+1,FALSE),""),"")</f>
        <v/>
      </c>
      <c r="O6" s="124" t="inlineStr">
        <is>
          <t>Redusere</t>
        </is>
      </c>
      <c r="P6" s="176" t="inlineStr">
        <is>
          <t>Etabler obligatorisk fagverifiseringsprosess før output legges til grunn
Opplæring av saksbehandlere i KI-løsningens begrensninger
Utvidet disclaimer i UI og PDF-eksport
Bruken begrenses til informasjonsformål inntil PBE har godkjent prosessen</t>
        </is>
      </c>
      <c r="Q6" s="145" t="inlineStr">
        <is>
          <t>Moderat</t>
        </is>
      </c>
      <c r="R6" s="145" t="inlineStr">
        <is>
          <t>Moderat</t>
        </is>
      </c>
      <c r="S6" s="98">
        <f>IFERROR(VLOOKUP(C6,Akseptkriterier!$C$33:$H$37,MATCH(D6,Akseptkriterier!$D$32:$H$32,0)+1,FALSE),"")</f>
        <v/>
      </c>
    </row>
    <row r="7" ht="21" customHeight="1">
      <c r="A7" s="93">
        <f>IFERROR(VLOOKUP('Risikoanalyse'!L7,Akseptkriterier!$D$4:$E$8,2,FALSE),0)</f>
        <v/>
      </c>
      <c r="B7" s="93">
        <f>IFERROR(VLOOKUP('Risikoanalyse'!J7,Akseptkriterier!$F$4:$G$8,2,FALSE),0)</f>
        <v/>
      </c>
      <c r="C7" s="94">
        <f>IFERROR(VLOOKUP('Risikoanalyse'!R7,Akseptkriterier!$D$4:$E$8,2,FALSE),0)</f>
        <v/>
      </c>
      <c r="D7" s="93">
        <f>IFERROR(VLOOKUP('Risikoanalyse'!Q7,Akseptkriterier!$F$4:$G$8,2,FALSE),0)</f>
        <v/>
      </c>
      <c r="E7" s="103" t="inlineStr">
        <is>
          <t>R6</t>
        </is>
      </c>
      <c r="F7" s="174" t="inlineStr">
        <is>
          <t>Eksterne datakilder (Kartverket, iNaturalist, GBIF) er utilgjengelige eller endrer API.</t>
        </is>
      </c>
      <c r="G7" s="100" t="inlineStr">
        <is>
          <t>T</t>
        </is>
      </c>
      <c r="H7" s="174" t="inlineStr">
        <is>
          <t>Ingen kontrakt eller SLA med åpne API-leverandører
Ingen caching av tidligere svar
Bruddendrende API-versjonering kan inntreffe varsel</t>
        </is>
      </c>
      <c r="I7" s="174" t="inlineStr">
        <is>
          <t>Promise.allSettled-mønster i speciesAggregator gjør at delvis svar fungerer
iNaturalist primær, GBIF som fallback
Kartverket har historisk høy oppetid</t>
        </is>
      </c>
      <c r="J7" s="118" t="inlineStr">
        <is>
          <t>Lav</t>
        </is>
      </c>
      <c r="K7" s="175" t="inlineStr">
        <is>
          <t>Delvis tjenestebrudd — tjenesten kan vise reduserte resultater, men ikke total nedetid.</t>
        </is>
      </c>
      <c r="L7" s="118" t="inlineStr">
        <is>
          <t>Moderat</t>
        </is>
      </c>
      <c r="M7" s="174" t="inlineStr">
        <is>
          <t>Åpne API-er har sjelden langvarige utfall, men endringer skjer.</t>
        </is>
      </c>
      <c r="N7" s="126">
        <f>IF(NOT(E7=""),IFERROR(VLOOKUP(A7,Akseptkriterier!$C$33:$H$37,MATCH(B7,Akseptkriterier!$D$32:$H$32,0)+1,FALSE),""),"")</f>
        <v/>
      </c>
      <c r="O7" s="124" t="inlineStr">
        <is>
          <t>Redusere</t>
        </is>
      </c>
      <c r="P7" s="173" t="inlineStr">
        <is>
          <t>Innfør caching av nylige adresse- og artsoppslag
Degradert UI-visning med tydelig melding når kilde mangler
Abonner på endringsvarsel fra Kartverket
Kontraktsavklaring ved utrulling i Oslo kommune</t>
        </is>
      </c>
      <c r="Q7" s="129" t="inlineStr">
        <is>
          <t>Lav</t>
        </is>
      </c>
      <c r="R7" s="129" t="inlineStr">
        <is>
          <t>Liten</t>
        </is>
      </c>
      <c r="S7" s="98">
        <f>IFERROR(VLOOKUP(C7,Akseptkriterier!$C$33:$H$37,MATCH(D7,Akseptkriterier!$D$32:$H$32,0)+1,FALSE),"")</f>
        <v/>
      </c>
    </row>
    <row r="8" ht="21" customHeight="1">
      <c r="A8" s="93">
        <f>IFERROR(VLOOKUP('Risikoanalyse'!L8,Akseptkriterier!$D$4:$E$8,2,FALSE),0)</f>
        <v/>
      </c>
      <c r="B8" s="93">
        <f>IFERROR(VLOOKUP('Risikoanalyse'!J8,Akseptkriterier!$F$4:$G$8,2,FALSE),0)</f>
        <v/>
      </c>
      <c r="C8" s="94">
        <f>IFERROR(VLOOKUP('Risikoanalyse'!R8,Akseptkriterier!$D$4:$E$8,2,FALSE),0)</f>
        <v/>
      </c>
      <c r="D8" s="93">
        <f>IFERROR(VLOOKUP('Risikoanalyse'!Q8,Akseptkriterier!$F$4:$G$8,2,FALSE),0)</f>
        <v/>
      </c>
      <c r="E8" s="131" t="inlineStr">
        <is>
          <t>R7</t>
        </is>
      </c>
      <c r="F8" s="171" t="inlineStr">
        <is>
          <t>Live datakilder (Artsdatabanken, NiN, Miljødirektoratet) er ufullstendige eller har feil status for konkrete arter eller områder.</t>
        </is>
      </c>
      <c r="G8" s="133" t="inlineStr">
        <is>
          <t>I</t>
        </is>
      </c>
      <c r="H8" s="171" t="inlineStr">
        <is>
          <t>Selv autoritative kilder kan ha lokal udekning eller etterslep i registrering
Endringer i API-format kan stoppe oppdateringer
Funksjonelle bugs i integrasjonen kan vise foreldede cache-verdier</t>
        </is>
      </c>
      <c r="I8" s="171" t="inlineStr">
        <is>
          <t>Artsdatabanken API integrert (forutsetning)
NiN-kobling for naturtyper (forutsetning)
Miljødirektoratet, Plankart Oslo / FKB og MGS Oslo planlagt integrert iht. opprinnelig plan
Kildedato vises i UI (planlagt)</t>
        </is>
      </c>
      <c r="J8" s="142" t="inlineStr">
        <is>
          <t>Moderat</t>
        </is>
      </c>
      <c r="K8" s="172" t="inlineStr">
        <is>
          <t>Kan gi feil prioritering av arter eller naturtyper, men avgrenset effekt fordi flere kilder kryssvalideres.</t>
        </is>
      </c>
      <c r="L8" s="142" t="inlineStr">
        <is>
          <t>Liten</t>
        </is>
      </c>
      <c r="M8" s="171" t="inlineStr">
        <is>
          <t>Live oppslag mot autoritative kilder gjør utdatert informasjon vesentlig mindre sannsynlig.</t>
        </is>
      </c>
      <c r="N8" s="126">
        <f>IF(NOT(E8=""),IFERROR(VLOOKUP(A8,Akseptkriterier!$C$33:$H$37,MATCH(B8,Akseptkriterier!$D$32:$H$32,0)+1,FALSE),""),"")</f>
        <v/>
      </c>
      <c r="O8" s="124" t="inlineStr">
        <is>
          <t>Redusere</t>
        </is>
      </c>
      <c r="P8" s="176" t="inlineStr">
        <is>
          <t>Visning av siste oppdateringsdato per kilde i UI
Manuell overstyring i fagverifiseringssteget
Alarm ved API-format-endringer
Abonnement på endringsvarsel fra Artsdatabanken</t>
        </is>
      </c>
      <c r="Q8" s="145" t="inlineStr">
        <is>
          <t>Lav</t>
        </is>
      </c>
      <c r="R8" s="145" t="inlineStr">
        <is>
          <t>Meget liten</t>
        </is>
      </c>
      <c r="S8" s="98">
        <f>IFERROR(VLOOKUP(C8,Akseptkriterier!$C$33:$H$37,MATCH(D8,Akseptkriterier!$D$32:$H$32,0)+1,FALSE),"")</f>
        <v/>
      </c>
    </row>
    <row r="9" ht="21" customHeight="1">
      <c r="A9" s="93">
        <f>IFERROR(VLOOKUP('Risikoanalyse'!L9,Akseptkriterier!$D$4:$E$8,2,FALSE),0)</f>
        <v/>
      </c>
      <c r="B9" s="93">
        <f>IFERROR(VLOOKUP('Risikoanalyse'!J9,Akseptkriterier!$F$4:$G$8,2,FALSE),0)</f>
        <v/>
      </c>
      <c r="C9" s="94">
        <f>IFERROR(VLOOKUP('Risikoanalyse'!R9,Akseptkriterier!$D$4:$E$8,2,FALSE),0)</f>
        <v/>
      </c>
      <c r="D9" s="93">
        <f>IFERROR(VLOOKUP('Risikoanalyse'!Q9,Akseptkriterier!$F$4:$G$8,2,FALSE),0)</f>
        <v/>
      </c>
      <c r="E9" s="103" t="inlineStr">
        <is>
          <t>R8</t>
        </is>
      </c>
      <c r="F9" s="174" t="inlineStr">
        <is>
          <t>Søkelogger (adresser, IP-adresser) lagres og oppbevares uten formell personvernvurdering, i strid med GDPR.</t>
        </is>
      </c>
      <c r="G9" s="100" t="inlineStr">
        <is>
          <t>K</t>
        </is>
      </c>
      <c r="H9" s="174" t="inlineStr">
        <is>
          <t>Ingen DPIA gjennomført
Server-logging ikke formelt vurdert
Adresse kan utgjøre personopplysning ved kobling til eier
Ingen retningslinje for sletting</t>
        </is>
      </c>
      <c r="I9" s="174" t="inlineStr">
        <is>
          <t>Tjenesten lagrer i dag ikke søkene strukturert (kun standard Express-/Railway-driftslogger)
Ingen brukerautentisering</t>
        </is>
      </c>
      <c r="J9" s="118" t="inlineStr">
        <is>
          <t>Moderat</t>
        </is>
      </c>
      <c r="K9" s="175" t="inlineStr">
        <is>
          <t>Personvernbrudd vil utløse meldeplikt til Datatilsynet og kan svekke tillit til PBE som behandlingsansvarlig.</t>
        </is>
      </c>
      <c r="L9" s="118" t="inlineStr">
        <is>
          <t>Moderat</t>
        </is>
      </c>
      <c r="M9" s="174" t="inlineStr">
        <is>
          <t>Lave volumer i pilot, men formell vurdering mangler — risiko øker ved utrulling.</t>
        </is>
      </c>
      <c r="N9" s="126">
        <f>IF(NOT(E9=""),IFERROR(VLOOKUP(A9,Akseptkriterier!$C$33:$H$37,MATCH(B9,Akseptkriterier!$D$32:$H$32,0)+1,FALSE),""),"")</f>
        <v/>
      </c>
      <c r="O9" s="124" t="inlineStr">
        <is>
          <t>Redusere</t>
        </is>
      </c>
      <c r="P9" s="173" t="inlineStr">
        <is>
          <t>Gjennomføre DPIA før produksjonssetting
Definer og dokumenter hva som logges, hvor lenge, og hvem som har tilgang
Anonymisere/forkorte IP i logger
Dataminimering — ikke lagre adresseinput utover sesjonen i klart format</t>
        </is>
      </c>
      <c r="Q9" s="129" t="inlineStr">
        <is>
          <t>Lav</t>
        </is>
      </c>
      <c r="R9" s="129" t="inlineStr">
        <is>
          <t>Liten</t>
        </is>
      </c>
      <c r="S9" s="98">
        <f>IFERROR(VLOOKUP(C9,Akseptkriterier!$C$33:$H$37,MATCH(D9,Akseptkriterier!$D$32:$H$32,0)+1,FALSE),"")</f>
        <v/>
      </c>
    </row>
    <row r="10" ht="21" customHeight="1">
      <c r="A10" s="93">
        <f>IFERROR(VLOOKUP('Risikoanalyse'!L10,Akseptkriterier!$D$4:$E$8,2,FALSE),0)</f>
        <v/>
      </c>
      <c r="B10" s="93">
        <f>IFERROR(VLOOKUP('Risikoanalyse'!J10,Akseptkriterier!$F$4:$G$8,2,FALSE),0)</f>
        <v/>
      </c>
      <c r="C10" s="94">
        <f>IFERROR(VLOOKUP('Risikoanalyse'!R10,Akseptkriterier!$D$4:$E$8,2,FALSE),0)</f>
        <v/>
      </c>
      <c r="D10" s="93">
        <f>IFERROR(VLOOKUP('Risikoanalyse'!Q10,Akseptkriterier!$F$4:$G$8,2,FALSE),0)</f>
        <v/>
      </c>
      <c r="E10" s="136" t="inlineStr">
        <is>
          <t>R9</t>
        </is>
      </c>
      <c r="F10" s="171" t="inlineStr">
        <is>
          <t>Tjenesten oppfyller ikke krav til universell utforming (WCAG 2.1 AA) ved offentlig utrulling.</t>
        </is>
      </c>
      <c r="G10" s="133" t="inlineStr">
        <is>
          <t>T</t>
        </is>
      </c>
      <c r="H10" s="171" t="inlineStr">
        <is>
          <t>Ingen formell WCAG-test gjennomført
UI bygget uten systematisk tilgjengelighetsfokus
Ingen tilgjengelighetserklæring publisert</t>
        </is>
      </c>
      <c r="I10" s="171" t="inlineStr">
        <is>
          <t>Bygget på Oslo Punkt designsystem (følger Oslos UU-prinsipper)
Semantisk HTML i React-komponenter</t>
        </is>
      </c>
      <c r="J10" s="142" t="inlineStr">
        <is>
          <t>Moderat</t>
        </is>
      </c>
      <c r="K10" s="172" t="inlineStr">
        <is>
          <t>Brudd på likestillings- og diskrimineringsloven og forskrift om universell utforming av IKT. Krav fra Tilsynet for universell utforming av IKT.</t>
        </is>
      </c>
      <c r="L10" s="142" t="inlineStr">
        <is>
          <t>Stor</t>
        </is>
      </c>
      <c r="M10" s="171" t="inlineStr">
        <is>
          <t>Uten formell audit er sannsynligheten for funn høy, særlig på kontrast, tastatur og skjermleser.</t>
        </is>
      </c>
      <c r="N10" s="126">
        <f>IF(NOT(E10=""),IFERROR(VLOOKUP(A10,Akseptkriterier!$C$33:$H$37,MATCH(B10,Akseptkriterier!$D$32:$H$32,0)+1,FALSE),""),"")</f>
        <v/>
      </c>
      <c r="O10" s="124" t="inlineStr">
        <is>
          <t>Redusere</t>
        </is>
      </c>
      <c r="P10" s="176" t="inlineStr">
        <is>
          <t>Gjennomføre WCAG 2.1 AA-audit (intern eller ekstern)
Utbedre identifiserte mangler før utrulling
Publiser tilgjengelighetserklæring
Legg WCAG-test i CI-pipeline</t>
        </is>
      </c>
      <c r="Q10" s="145" t="inlineStr">
        <is>
          <t>Lav</t>
        </is>
      </c>
      <c r="R10" s="145" t="inlineStr">
        <is>
          <t>Moderat</t>
        </is>
      </c>
      <c r="S10" s="98">
        <f>IFERROR(VLOOKUP(C10,Akseptkriterier!$C$33:$H$37,MATCH(D10,Akseptkriterier!$D$32:$H$32,0)+1,FALSE),"")</f>
        <v/>
      </c>
    </row>
    <row r="11" ht="21" customHeight="1">
      <c r="A11" s="93">
        <f>IFERROR(VLOOKUP('Risikoanalyse'!L11,Akseptkriterier!$D$4:$E$8,2,FALSE),0)</f>
        <v/>
      </c>
      <c r="B11" s="93">
        <f>IFERROR(VLOOKUP('Risikoanalyse'!J11,Akseptkriterier!$F$4:$G$8,2,FALSE),0)</f>
        <v/>
      </c>
      <c r="C11" s="94">
        <f>IFERROR(VLOOKUP('Risikoanalyse'!R11,Akseptkriterier!$D$4:$E$8,2,FALSE),0)</f>
        <v/>
      </c>
      <c r="D11" s="93">
        <f>IFERROR(VLOOKUP('Risikoanalyse'!Q11,Akseptkriterier!$F$4:$G$8,2,FALSE),0)</f>
        <v/>
      </c>
      <c r="E11" s="121" t="inlineStr">
        <is>
          <t>R10</t>
        </is>
      </c>
      <c r="F11" s="174" t="inlineStr">
        <is>
          <t>Leverandørbinding til Anthropic vanskeliggjør planlagt portering til Microsoft Copilot på kommunens domene.</t>
        </is>
      </c>
      <c r="G11" s="100" t="inlineStr">
        <is>
          <t>T</t>
        </is>
      </c>
      <c r="H11" s="174" t="inlineStr">
        <is>
          <t>Prompts og response-håndtering er bygget mot Anthropic SDK
Ulik tokenisering, modellatferd og responsformat mellom Anthropic og Copilot</t>
        </is>
      </c>
      <c r="I11" s="174" t="inlineStr">
        <is>
          <t>Server-proxy-arkitektur isolerer KI-kall til server/routes/claude.js
Strukturert JSON-output reduserer modellsensitivitet</t>
        </is>
      </c>
      <c r="J11" s="118" t="inlineStr">
        <is>
          <t>Moderat</t>
        </is>
      </c>
      <c r="K11" s="175" t="inlineStr">
        <is>
          <t>Portering kan kreve omarbeiding av prompts, output-validering og evt. kvalitetsregresjon i AI-vurderinger.</t>
        </is>
      </c>
      <c r="L11" s="118" t="inlineStr">
        <is>
          <t>Stor</t>
        </is>
      </c>
      <c r="M11" s="174" t="inlineStr">
        <is>
          <t>Portering er planlagt og eksplisitt forutsatt — risikoen er at den krever mer arbeid enn anslått.</t>
        </is>
      </c>
      <c r="N11" s="126">
        <f>IF(NOT(E11=""),IFERROR(VLOOKUP(A11,Akseptkriterier!$C$33:$H$37,MATCH(B11,Akseptkriterier!$D$32:$H$32,0)+1,FALSE),""),"")</f>
        <v/>
      </c>
      <c r="O11" s="124" t="inlineStr">
        <is>
          <t>Redusere</t>
        </is>
      </c>
      <c r="P11" s="173" t="inlineStr">
        <is>
          <t>Innfør abstraksjonslag for KI-klient (model-agnostic interface) i server-proxy
Tidlig prototyping mot Copilot-API
Gjennomfør sammenligningstest av output-kvalitet før full overgang
Dokumentere prompt-versjoner og evalueringsdata</t>
        </is>
      </c>
      <c r="Q11" s="129" t="inlineStr">
        <is>
          <t>Lav</t>
        </is>
      </c>
      <c r="R11" s="129" t="inlineStr">
        <is>
          <t>Moderat</t>
        </is>
      </c>
      <c r="S11" s="98">
        <f>IFERROR(VLOOKUP(C11,Akseptkriterier!$C$33:$H$37,MATCH(D11,Akseptkriterier!$D$32:$H$32,0)+1,FALSE),"")</f>
        <v/>
      </c>
    </row>
    <row r="12" ht="21" customHeight="1">
      <c r="A12" s="93">
        <f>IFERROR(VLOOKUP('Risikoanalyse'!L12,Akseptkriterier!$D$4:$E$8,2,FALSE),0)</f>
        <v/>
      </c>
      <c r="B12" s="93">
        <f>IFERROR(VLOOKUP('Risikoanalyse'!J12,Akseptkriterier!$F$4:$G$8,2,FALSE),0)</f>
        <v/>
      </c>
      <c r="C12" s="94">
        <f>IFERROR(VLOOKUP('Risikoanalyse'!R12,Akseptkriterier!$D$4:$E$8,2,FALSE),0)</f>
        <v/>
      </c>
      <c r="D12" s="93">
        <f>IFERROR(VLOOKUP('Risikoanalyse'!Q12,Akseptkriterier!$F$4:$G$8,2,FALSE),0)</f>
        <v/>
      </c>
      <c r="E12" s="136" t="inlineStr">
        <is>
          <t>R11</t>
        </is>
      </c>
      <c r="F12" s="171" t="inlineStr">
        <is>
          <t>Misbruk eller DDoS mot åpen tjeneste fører til oppbrukt KI-budsjett eller nedetid.</t>
        </is>
      </c>
      <c r="G12" s="133" t="inlineStr">
        <is>
          <t>T</t>
        </is>
      </c>
      <c r="H12" s="171" t="inlineStr">
        <is>
          <t>Ingen autentisering eller rate limiting
Ingen captcha eller WAF
Anthropic-budsjett kan tømmes raskt ved automatisert misbruk</t>
        </is>
      </c>
      <c r="I12" s="171" t="inlineStr">
        <is>
          <t>Pilotbudsjett hos Anthropic begrenset
Railway har grunnleggende DDoS-beskyttelse på edge</t>
        </is>
      </c>
      <c r="J12" s="142" t="inlineStr">
        <is>
          <t>Lav</t>
        </is>
      </c>
      <c r="K12" s="172" t="inlineStr">
        <is>
          <t>I pilotfasen er forbruket lavt (&lt; 0,15 USD/sesjon) og angrep antas usannsynlig på en ukjent prototype.</t>
        </is>
      </c>
      <c r="L12" s="142" t="inlineStr">
        <is>
          <t>Liten</t>
        </is>
      </c>
      <c r="M12" s="171" t="inlineStr">
        <is>
          <t>Ingen kjent eksponering av tjenesten utover kontrollerte demoer.</t>
        </is>
      </c>
      <c r="N12" s="126">
        <f>IF(NOT(E12=""),IFERROR(VLOOKUP(A12,Akseptkriterier!$C$33:$H$37,MATCH(B12,Akseptkriterier!$D$32:$H$32,0)+1,FALSE),""),"")</f>
        <v/>
      </c>
      <c r="O12" s="124" t="inlineStr">
        <is>
          <t>Akseptere</t>
        </is>
      </c>
      <c r="P12" s="176" t="inlineStr">
        <is>
          <t>Innfør rate limiting per IP i Express-proxy før utrulling
Usage cap-alarm hos Anthropic
Vurder Cloudflare Turnstile eller tilsvarende ved utrulling</t>
        </is>
      </c>
      <c r="Q12" s="145" t="inlineStr">
        <is>
          <t>Lav</t>
        </is>
      </c>
      <c r="R12" s="145" t="inlineStr">
        <is>
          <t>Meget liten</t>
        </is>
      </c>
      <c r="S12" s="98">
        <f>IFERROR(VLOOKUP(C12,Akseptkriterier!$C$33:$H$37,MATCH(D12,Akseptkriterier!$D$32:$H$32,0)+1,FALSE),"")</f>
        <v/>
      </c>
    </row>
    <row r="13" ht="21" customHeight="1">
      <c r="A13" s="93">
        <f>IFERROR(VLOOKUP('Risikoanalyse'!L13,Akseptkriterier!$D$4:$E$8,2,FALSE),0)</f>
        <v/>
      </c>
      <c r="B13" s="93">
        <f>IFERROR(VLOOKUP('Risikoanalyse'!J13,Akseptkriterier!$F$4:$G$8,2,FALSE),0)</f>
        <v/>
      </c>
      <c r="C13" s="94">
        <f>IFERROR(VLOOKUP('Risikoanalyse'!R13,Akseptkriterier!$D$4:$E$8,2,FALSE),0)</f>
        <v/>
      </c>
      <c r="D13" s="93">
        <f>IFERROR(VLOOKUP('Risikoanalyse'!Q13,Akseptkriterier!$F$4:$G$8,2,FALSE),0)</f>
        <v/>
      </c>
      <c r="E13" s="121" t="inlineStr">
        <is>
          <t>R12</t>
        </is>
      </c>
      <c r="F13" s="174" t="inlineStr">
        <is>
          <t>Manglende dokumentert FRIA og DPIA er i strid med kommende KI-forordning og kommunens KI-prosess.</t>
        </is>
      </c>
      <c r="G13" s="100" t="inlineStr">
        <is>
          <t>I</t>
        </is>
      </c>
      <c r="H13" s="174" t="inlineStr">
        <is>
          <t>Ingen FRIA (Fundamental Rights Impact Assessment) gjennomført
Ingen DPIA gjennomført
Uavklart om Naturportrett kommer inn under høyrisiko-kategori i KI-forordningen</t>
        </is>
      </c>
      <c r="I13" s="174" t="inlineStr">
        <is>
          <t>Denne risikovurderingen (pilot)
Dokumentasjon av databehandling i CLAUDE.md og DEVLOG.md</t>
        </is>
      </c>
      <c r="J13" s="118" t="inlineStr">
        <is>
          <t>Moderat</t>
        </is>
      </c>
      <c r="K13" s="175" t="inlineStr">
        <is>
          <t>Manglende etterlevelse av kommende KI-forordning og Oslo kommunes prosess for KI-løsninger kan stoppe utrulling og gi tilsynsrisiko.</t>
        </is>
      </c>
      <c r="L13" s="118" t="inlineStr">
        <is>
          <t>Stor</t>
        </is>
      </c>
      <c r="M13" s="174" t="inlineStr">
        <is>
          <t>Vurderinger er ikke startet og er en forutsetning for utrulling i kommunens domene.</t>
        </is>
      </c>
      <c r="N13" s="126">
        <f>IF(NOT(E13=""),IFERROR(VLOOKUP(A13,Akseptkriterier!$C$33:$H$37,MATCH(B13,Akseptkriterier!$D$32:$H$32,0)+1,FALSE),""),"")</f>
        <v/>
      </c>
      <c r="O13" s="124" t="inlineStr">
        <is>
          <t>Redusere</t>
        </is>
      </c>
      <c r="P13" s="173" t="inlineStr">
        <is>
          <t>Gjennomføre FRIA (følger Digitaliseringsetatens mal når tilgjengelig)
Gjennomføre DPIA i samråd med personvernombud
Klassifisere løsningen iht. KI-forordning
Følge Oslo kommunes prosess for etterlevelse for KI-løsninger</t>
        </is>
      </c>
      <c r="Q13" s="129" t="inlineStr">
        <is>
          <t>Lav</t>
        </is>
      </c>
      <c r="R13" s="129" t="inlineStr">
        <is>
          <t>Moderat</t>
        </is>
      </c>
      <c r="S13" s="98">
        <f>IFERROR(VLOOKUP(C13,Akseptkriterier!$C$33:$H$37,MATCH(D13,Akseptkriterier!$D$32:$H$32,0)+1,FALSE),"")</f>
        <v/>
      </c>
    </row>
    <row r="14" ht="21" customHeight="1">
      <c r="A14" s="93">
        <f>IFERROR(VLOOKUP('Risikoanalyse'!L14,Akseptkriterier!$D$4:$E$8,2,FALSE),0)</f>
        <v/>
      </c>
      <c r="B14" s="93">
        <f>IFERROR(VLOOKUP('Risikoanalyse'!J14,Akseptkriterier!$F$4:$G$8,2,FALSE),0)</f>
        <v/>
      </c>
      <c r="C14" s="94">
        <f>IFERROR(VLOOKUP('Risikoanalyse'!R14,Akseptkriterier!$D$4:$E$8,2,FALSE),0)</f>
        <v/>
      </c>
      <c r="D14" s="93">
        <f>IFERROR(VLOOKUP('Risikoanalyse'!Q14,Akseptkriterier!$F$4:$G$8,2,FALSE),0)</f>
        <v/>
      </c>
      <c r="E14" s="136" t="inlineStr">
        <is>
          <t>R13</t>
        </is>
      </c>
      <c r="F14" s="171" t="inlineStr">
        <is>
          <t>RAG-indeksen leverer utdaterte, irrelevante eller mangelfulle kilder til KI, slik at det kontekstuelle grunnlaget for vurderingen blir feil.</t>
        </is>
      </c>
      <c r="G14" s="133" t="inlineStr">
        <is>
          <t>I</t>
        </is>
      </c>
      <c r="H14" s="171" t="inlineStr">
        <is>
          <t>Manglende rutiner for re-indeksering når kunnskapsbasen oppdateres
Embedding-modellen kan misforstå norsk fagterminologi
Henting av kun topp-N biter kan utelate viktig kontekst
Kunnskapsbase-dokumentene kan i seg selv være utdaterte eller feil</t>
        </is>
      </c>
      <c r="I14" s="171" t="inlineStr">
        <is>
          <t>Initiell kunnskapsbase består av et avgrenset sett kvalitetssikrede dokumenter fra Oslo kommune
Strukturert RAG-arkitektur planlagt (kunnskapsbase → indeksering → semantisk søk → KI → kildebelagt portrett)</t>
        </is>
      </c>
      <c r="J14" s="142" t="inlineStr">
        <is>
          <t>Moderat</t>
        </is>
      </c>
      <c r="K14" s="172" t="inlineStr">
        <is>
          <t>Feil kontekst leder til feil syntese; fanges delvis opp av kildehenvisning og fagverifisering.</t>
        </is>
      </c>
      <c r="L14" s="142" t="inlineStr">
        <is>
          <t>Moderat</t>
        </is>
      </c>
      <c r="M14" s="171" t="inlineStr">
        <is>
          <t>Kjent problemområde ved RAG-implementasjon, særlig på norsk fagterminologi og ved første indeks-iterasjon.</t>
        </is>
      </c>
      <c r="N14" s="126">
        <f>IF(NOT(E14=""),IFERROR(VLOOKUP(A14,Akseptkriterier!$C$33:$H$37,MATCH(B14,Akseptkriterier!$D$32:$H$32,0)+1,FALSE),""),"")</f>
        <v/>
      </c>
      <c r="O14" s="124" t="inlineStr">
        <is>
          <t>Redusere</t>
        </is>
      </c>
      <c r="P14" s="176" t="inlineStr">
        <is>
          <t>Etabler rutine for re-indeksering ved oppdatering av kunnskapsbasen
Definer og kjør faste retrieval-evalueringer (gullspørsmål)
Vis kilder og scoring i UI for fagverifisering
Periodisk gjennomgang av RAG-kvalitet kvartalsvis
Vurder hybrid søk (semantisk + nøkkelord) ved presisjonsproblemer</t>
        </is>
      </c>
      <c r="Q14" s="145" t="inlineStr">
        <is>
          <t>Lav</t>
        </is>
      </c>
      <c r="R14" s="145" t="inlineStr">
        <is>
          <t>Liten</t>
        </is>
      </c>
      <c r="S14" s="98">
        <f>IFERROR(VLOOKUP(C14,Akseptkriterier!$C$33:$H$37,MATCH(D14,Akseptkriterier!$D$32:$H$32,0)+1,FALSE),"")</f>
        <v/>
      </c>
    </row>
    <row r="15" ht="21" customHeight="1">
      <c r="A15" s="93">
        <f>IFERROR(VLOOKUP('Risikoanalyse'!L15,Akseptkriterier!$D$4:$E$8,2,FALSE),0)</f>
        <v/>
      </c>
      <c r="B15" s="93">
        <f>IFERROR(VLOOKUP('Risikoanalyse'!J15,Akseptkriterier!$F$4:$G$8,2,FALSE),0)</f>
        <v/>
      </c>
      <c r="C15" s="94">
        <f>IFERROR(VLOOKUP('Risikoanalyse'!R15,Akseptkriterier!$D$4:$E$8,2,FALSE),0)</f>
        <v/>
      </c>
      <c r="D15" s="93">
        <f>IFERROR(VLOOKUP('Risikoanalyse'!Q15,Akseptkriterier!$F$4:$G$8,2,FALSE),0)</f>
        <v/>
      </c>
      <c r="E15" s="121" t="n"/>
      <c r="F15" s="104" t="n"/>
      <c r="G15" s="100" t="n"/>
      <c r="H15" s="100" t="n"/>
      <c r="I15" s="104" t="n"/>
      <c r="J15" s="118" t="n"/>
      <c r="K15" s="105" t="n"/>
      <c r="L15" s="118" t="n"/>
      <c r="M15" s="104" t="n"/>
      <c r="N15" s="126">
        <f>IF(NOT(E15=""),IFERROR(VLOOKUP(A15,Akseptkriterier!$C$33:$H$37,MATCH(B15,Akseptkriterier!$D$32:$H$32,0)+1,FALSE),""),"")</f>
        <v/>
      </c>
      <c r="O15" s="124" t="n"/>
      <c r="P15" s="70" t="n"/>
      <c r="Q15" s="129" t="n"/>
      <c r="R15" s="129" t="n"/>
      <c r="S15" s="98">
        <f>IFERROR(VLOOKUP(C15,Akseptkriterier!$C$33:$H$37,MATCH(D15,Akseptkriterier!$D$32:$H$32,0)+1,FALSE),"")</f>
        <v/>
      </c>
    </row>
    <row r="16" ht="21" customHeight="1">
      <c r="A16" s="93">
        <f>IFERROR(VLOOKUP('Risikoanalyse'!L16,Akseptkriterier!$D$4:$E$8,2,FALSE),0)</f>
        <v/>
      </c>
      <c r="B16" s="93">
        <f>IFERROR(VLOOKUP('Risikoanalyse'!J16,Akseptkriterier!$F$4:$G$8,2,FALSE),0)</f>
        <v/>
      </c>
      <c r="C16" s="94">
        <f>IFERROR(VLOOKUP('Risikoanalyse'!R16,Akseptkriterier!$D$4:$E$8,2,FALSE),0)</f>
        <v/>
      </c>
      <c r="D16" s="93">
        <f>IFERROR(VLOOKUP('Risikoanalyse'!Q16,Akseptkriterier!$F$4:$G$8,2,FALSE),0)</f>
        <v/>
      </c>
      <c r="E16" s="136" t="n"/>
      <c r="F16" s="141" t="n"/>
      <c r="G16" s="133" t="n"/>
      <c r="H16" s="133" t="n"/>
      <c r="I16" s="141" t="n"/>
      <c r="J16" s="142" t="n"/>
      <c r="K16" s="143" t="n"/>
      <c r="L16" s="142" t="n"/>
      <c r="M16" s="141" t="n"/>
      <c r="N16" s="126">
        <f>IF(NOT(E16=""),IFERROR(VLOOKUP(A16,Akseptkriterier!$C$33:$H$37,MATCH(B16,Akseptkriterier!$D$32:$H$32,0)+1,FALSE),""),"")</f>
        <v/>
      </c>
      <c r="O16" s="124" t="n"/>
      <c r="P16" s="144" t="n"/>
      <c r="Q16" s="145" t="n"/>
      <c r="R16" s="145" t="n"/>
      <c r="S16" s="98">
        <f>IFERROR(VLOOKUP(C16,Akseptkriterier!$C$33:$H$37,MATCH(D16,Akseptkriterier!$D$32:$H$32,0)+1,FALSE),"")</f>
        <v/>
      </c>
    </row>
    <row r="17" ht="21" customHeight="1">
      <c r="A17" s="93">
        <f>IFERROR(VLOOKUP('Risikoanalyse'!L17,Akseptkriterier!$D$4:$E$8,2,FALSE),0)</f>
        <v/>
      </c>
      <c r="B17" s="93">
        <f>IFERROR(VLOOKUP('Risikoanalyse'!J17,Akseptkriterier!$F$4:$G$8,2,FALSE),0)</f>
        <v/>
      </c>
      <c r="C17" s="94">
        <f>IFERROR(VLOOKUP('Risikoanalyse'!R17,Akseptkriterier!$D$4:$E$8,2,FALSE),0)</f>
        <v/>
      </c>
      <c r="D17" s="93">
        <f>IFERROR(VLOOKUP('Risikoanalyse'!Q17,Akseptkriterier!$F$4:$G$8,2,FALSE),0)</f>
        <v/>
      </c>
      <c r="E17" s="121" t="n"/>
      <c r="F17" s="104" t="n"/>
      <c r="G17" s="100" t="n"/>
      <c r="H17" s="100" t="n"/>
      <c r="I17" s="104" t="n"/>
      <c r="J17" s="118" t="n"/>
      <c r="K17" s="105" t="n"/>
      <c r="L17" s="118" t="n"/>
      <c r="M17" s="104" t="n"/>
      <c r="N17" s="126">
        <f>IF(NOT(E17=""),IFERROR(VLOOKUP(A17,Akseptkriterier!$C$33:$H$37,MATCH(B17,Akseptkriterier!$D$32:$H$32,0)+1,FALSE),""),"")</f>
        <v/>
      </c>
      <c r="O17" s="124" t="n"/>
      <c r="P17" s="70" t="n"/>
      <c r="Q17" s="129" t="n"/>
      <c r="R17" s="129" t="n"/>
      <c r="S17" s="98">
        <f>IFERROR(VLOOKUP(C17,Akseptkriterier!$C$33:$H$37,MATCH(D17,Akseptkriterier!$D$32:$H$32,0)+1,FALSE),"")</f>
        <v/>
      </c>
    </row>
    <row r="18" ht="21" customHeight="1">
      <c r="A18" s="93">
        <f>IFERROR(VLOOKUP('Risikoanalyse'!L18,Akseptkriterier!$D$4:$E$8,2,FALSE),0)</f>
        <v/>
      </c>
      <c r="B18" s="93">
        <f>IFERROR(VLOOKUP('Risikoanalyse'!J18,Akseptkriterier!$F$4:$G$8,2,FALSE),0)</f>
        <v/>
      </c>
      <c r="C18" s="94">
        <f>IFERROR(VLOOKUP('Risikoanalyse'!R18,Akseptkriterier!$D$4:$E$8,2,FALSE),0)</f>
        <v/>
      </c>
      <c r="D18" s="93">
        <f>IFERROR(VLOOKUP('Risikoanalyse'!Q18,Akseptkriterier!$F$4:$G$8,2,FALSE),0)</f>
        <v/>
      </c>
      <c r="E18" s="136" t="n"/>
      <c r="F18" s="141" t="n"/>
      <c r="G18" s="133" t="n"/>
      <c r="H18" s="133" t="n"/>
      <c r="I18" s="141" t="n"/>
      <c r="J18" s="142" t="n"/>
      <c r="K18" s="143" t="n"/>
      <c r="L18" s="142" t="n"/>
      <c r="M18" s="141" t="n"/>
      <c r="N18" s="126">
        <f>IF(NOT(E18=""),IFERROR(VLOOKUP(A18,Akseptkriterier!$C$33:$H$37,MATCH(B18,Akseptkriterier!$D$32:$H$32,0)+1,FALSE),""),"")</f>
        <v/>
      </c>
      <c r="O18" s="124" t="n"/>
      <c r="P18" s="144" t="n"/>
      <c r="Q18" s="145" t="n"/>
      <c r="R18" s="145" t="n"/>
      <c r="S18" s="98">
        <f>IFERROR(VLOOKUP(C18,Akseptkriterier!$C$33:$H$37,MATCH(D18,Akseptkriterier!$D$32:$H$32,0)+1,FALSE),"")</f>
        <v/>
      </c>
    </row>
    <row r="19" ht="21" customHeight="1">
      <c r="A19" s="93">
        <f>IFERROR(VLOOKUP('Risikoanalyse'!L19,Akseptkriterier!$D$4:$E$8,2,FALSE),0)</f>
        <v/>
      </c>
      <c r="B19" s="93">
        <f>IFERROR(VLOOKUP('Risikoanalyse'!J19,Akseptkriterier!$F$4:$G$8,2,FALSE),0)</f>
        <v/>
      </c>
      <c r="C19" s="94">
        <f>IFERROR(VLOOKUP('Risikoanalyse'!R19,Akseptkriterier!$D$4:$E$8,2,FALSE),0)</f>
        <v/>
      </c>
      <c r="D19" s="93">
        <f>IFERROR(VLOOKUP('Risikoanalyse'!Q19,Akseptkriterier!$F$4:$G$8,2,FALSE),0)</f>
        <v/>
      </c>
      <c r="E19" s="121" t="n"/>
      <c r="F19" s="104" t="n"/>
      <c r="G19" s="100" t="n"/>
      <c r="H19" s="100" t="n"/>
      <c r="I19" s="104" t="n"/>
      <c r="J19" s="118" t="n"/>
      <c r="K19" s="105" t="n"/>
      <c r="L19" s="118" t="n"/>
      <c r="M19" s="104" t="n"/>
      <c r="N19" s="126">
        <f>IF(NOT(E19=""),IFERROR(VLOOKUP(A19,Akseptkriterier!$C$33:$H$37,MATCH(B19,Akseptkriterier!$D$32:$H$32,0)+1,FALSE),""),"")</f>
        <v/>
      </c>
      <c r="O19" s="124" t="n"/>
      <c r="P19" s="70" t="n"/>
      <c r="Q19" s="129" t="n"/>
      <c r="R19" s="129" t="n"/>
      <c r="S19" s="98">
        <f>IFERROR(VLOOKUP(C19,Akseptkriterier!$C$33:$H$37,MATCH(D19,Akseptkriterier!$D$32:$H$32,0)+1,FALSE),"")</f>
        <v/>
      </c>
    </row>
    <row r="20" ht="21" customHeight="1">
      <c r="A20" s="93">
        <f>IFERROR(VLOOKUP('Risikoanalyse'!L20,Akseptkriterier!$D$4:$E$8,2,FALSE),0)</f>
        <v/>
      </c>
      <c r="B20" s="93">
        <f>IFERROR(VLOOKUP('Risikoanalyse'!J20,Akseptkriterier!$F$4:$G$8,2,FALSE),0)</f>
        <v/>
      </c>
      <c r="C20" s="94">
        <f>IFERROR(VLOOKUP('Risikoanalyse'!R20,Akseptkriterier!$D$4:$E$8,2,FALSE),0)</f>
        <v/>
      </c>
      <c r="D20" s="93">
        <f>IFERROR(VLOOKUP('Risikoanalyse'!Q20,Akseptkriterier!$F$4:$G$8,2,FALSE),0)</f>
        <v/>
      </c>
      <c r="E20" s="136" t="n"/>
      <c r="F20" s="141" t="n"/>
      <c r="G20" s="133" t="n"/>
      <c r="H20" s="133" t="n"/>
      <c r="I20" s="141" t="n"/>
      <c r="J20" s="142" t="n"/>
      <c r="K20" s="143" t="n"/>
      <c r="L20" s="142" t="n"/>
      <c r="M20" s="141" t="n"/>
      <c r="N20" s="126">
        <f>IF(NOT(E20=""),IFERROR(VLOOKUP(A20,Akseptkriterier!$C$33:$H$37,MATCH(B20,Akseptkriterier!$D$32:$H$32,0)+1,FALSE),""),"")</f>
        <v/>
      </c>
      <c r="O20" s="124" t="n"/>
      <c r="P20" s="144" t="n"/>
      <c r="Q20" s="145" t="n"/>
      <c r="R20" s="145" t="n"/>
      <c r="S20" s="98">
        <f>IFERROR(VLOOKUP(C20,Akseptkriterier!$C$33:$H$37,MATCH(D20,Akseptkriterier!$D$32:$H$32,0)+1,FALSE),"")</f>
        <v/>
      </c>
    </row>
    <row r="21" ht="21" customHeight="1">
      <c r="A21" s="93">
        <f>IFERROR(VLOOKUP('Risikoanalyse'!L21,Akseptkriterier!$D$4:$E$8,2,FALSE),0)</f>
        <v/>
      </c>
      <c r="B21" s="93">
        <f>IFERROR(VLOOKUP('Risikoanalyse'!J21,Akseptkriterier!$F$4:$G$8,2,FALSE),0)</f>
        <v/>
      </c>
      <c r="C21" s="94">
        <f>IFERROR(VLOOKUP('Risikoanalyse'!R21,Akseptkriterier!$D$4:$E$8,2,FALSE),0)</f>
        <v/>
      </c>
      <c r="D21" s="93">
        <f>IFERROR(VLOOKUP('Risikoanalyse'!Q21,Akseptkriterier!$F$4:$G$8,2,FALSE),0)</f>
        <v/>
      </c>
      <c r="E21" s="121" t="n"/>
      <c r="F21" s="104" t="n"/>
      <c r="G21" s="100" t="n"/>
      <c r="H21" s="100" t="n"/>
      <c r="I21" s="104" t="n"/>
      <c r="J21" s="118" t="n"/>
      <c r="K21" s="104" t="n"/>
      <c r="L21" s="118" t="n"/>
      <c r="M21" s="104" t="n"/>
      <c r="N21" s="126">
        <f>IF(NOT(E21=""),IFERROR(VLOOKUP(A21,Akseptkriterier!$C$33:$H$37,MATCH(B21,Akseptkriterier!$D$32:$H$32,0)+1,FALSE),""),"")</f>
        <v/>
      </c>
      <c r="O21" s="124" t="n"/>
      <c r="P21" s="70" t="n"/>
      <c r="Q21" s="129" t="n"/>
      <c r="R21" s="129" t="n"/>
      <c r="S21" s="98">
        <f>IFERROR(VLOOKUP(C21,Akseptkriterier!$C$33:$H$37,MATCH(D21,Akseptkriterier!$D$32:$H$32,0)+1,FALSE),"")</f>
        <v/>
      </c>
    </row>
    <row r="22" ht="21" customHeight="1">
      <c r="A22" s="93">
        <f>IFERROR(VLOOKUP('Risikoanalyse'!L22,Akseptkriterier!$D$4:$E$8,2,FALSE),0)</f>
        <v/>
      </c>
      <c r="B22" s="93">
        <f>IFERROR(VLOOKUP('Risikoanalyse'!J22,Akseptkriterier!$F$4:$G$8,2,FALSE),0)</f>
        <v/>
      </c>
      <c r="C22" s="94">
        <f>IFERROR(VLOOKUP('Risikoanalyse'!R22,Akseptkriterier!$D$4:$E$8,2,FALSE),0)</f>
        <v/>
      </c>
      <c r="D22" s="93">
        <f>IFERROR(VLOOKUP('Risikoanalyse'!Q22,Akseptkriterier!$F$4:$G$8,2,FALSE),0)</f>
        <v/>
      </c>
      <c r="E22" s="136" t="n"/>
      <c r="F22" s="141" t="n"/>
      <c r="G22" s="133" t="n"/>
      <c r="H22" s="133" t="n"/>
      <c r="I22" s="141" t="n"/>
      <c r="J22" s="142" t="n"/>
      <c r="K22" s="141" t="n"/>
      <c r="L22" s="142" t="n"/>
      <c r="M22" s="141" t="n"/>
      <c r="N22" s="126">
        <f>IF(NOT(E22=""),IFERROR(VLOOKUP(A22,Akseptkriterier!$C$33:$H$37,MATCH(B22,Akseptkriterier!$D$32:$H$32,0)+1,FALSE),""),"")</f>
        <v/>
      </c>
      <c r="O22" s="124" t="n"/>
      <c r="P22" s="144" t="n"/>
      <c r="Q22" s="145" t="n"/>
      <c r="R22" s="145" t="n"/>
      <c r="S22" s="98">
        <f>IFERROR(VLOOKUP(C22,Akseptkriterier!$C$33:$H$37,MATCH(D22,Akseptkriterier!$D$32:$H$32,0)+1,FALSE),"")</f>
        <v/>
      </c>
    </row>
    <row r="23" ht="21" customHeight="1">
      <c r="A23" s="93">
        <f>IFERROR(VLOOKUP('Risikoanalyse'!L23,Akseptkriterier!$D$4:$E$8,2,FALSE),0)</f>
        <v/>
      </c>
      <c r="B23" s="93">
        <f>IFERROR(VLOOKUP('Risikoanalyse'!J23,Akseptkriterier!$F$4:$G$8,2,FALSE),0)</f>
        <v/>
      </c>
      <c r="C23" s="94">
        <f>IFERROR(VLOOKUP('Risikoanalyse'!R23,Akseptkriterier!$D$4:$E$8,2,FALSE),0)</f>
        <v/>
      </c>
      <c r="D23" s="93">
        <f>IFERROR(VLOOKUP('Risikoanalyse'!Q23,Akseptkriterier!$F$4:$G$8,2,FALSE),0)</f>
        <v/>
      </c>
      <c r="E23" s="121" t="n"/>
      <c r="F23" s="104" t="n"/>
      <c r="G23" s="100" t="n"/>
      <c r="H23" s="100" t="n"/>
      <c r="I23" s="104" t="n"/>
      <c r="J23" s="118" t="n"/>
      <c r="K23" s="104" t="n"/>
      <c r="L23" s="118" t="n"/>
      <c r="M23" s="104" t="n"/>
      <c r="N23" s="126">
        <f>IF(NOT(E23=""),IFERROR(VLOOKUP(A23,Akseptkriterier!$C$33:$H$37,MATCH(B23,Akseptkriterier!$D$32:$H$32,0)+1,FALSE),""),"")</f>
        <v/>
      </c>
      <c r="O23" s="124" t="n"/>
      <c r="P23" s="70" t="n"/>
      <c r="Q23" s="129" t="n"/>
      <c r="R23" s="129" t="n"/>
      <c r="S23" s="98">
        <f>IFERROR(VLOOKUP(C23,Akseptkriterier!$C$33:$H$37,MATCH(D23,Akseptkriterier!$D$32:$H$32,0)+1,FALSE),"")</f>
        <v/>
      </c>
    </row>
    <row r="24" ht="21" customHeight="1">
      <c r="A24" s="93">
        <f>IFERROR(VLOOKUP('Risikoanalyse'!L24,Akseptkriterier!$D$4:$E$8,2,FALSE),0)</f>
        <v/>
      </c>
      <c r="B24" s="93">
        <f>IFERROR(VLOOKUP('Risikoanalyse'!J24,Akseptkriterier!$F$4:$G$8,2,FALSE),0)</f>
        <v/>
      </c>
      <c r="C24" s="94">
        <f>IFERROR(VLOOKUP('Risikoanalyse'!R24,Akseptkriterier!$D$4:$E$8,2,FALSE),0)</f>
        <v/>
      </c>
      <c r="D24" s="93">
        <f>IFERROR(VLOOKUP('Risikoanalyse'!Q24,Akseptkriterier!$F$4:$G$8,2,FALSE),0)</f>
        <v/>
      </c>
      <c r="E24" s="136" t="n"/>
      <c r="F24" s="141" t="n"/>
      <c r="G24" s="133" t="n"/>
      <c r="H24" s="133" t="n"/>
      <c r="I24" s="141" t="n"/>
      <c r="J24" s="142" t="n"/>
      <c r="K24" s="141" t="n"/>
      <c r="L24" s="142" t="n"/>
      <c r="M24" s="141" t="n"/>
      <c r="N24" s="126">
        <f>IF(NOT(E24=""),IFERROR(VLOOKUP(A24,Akseptkriterier!$C$33:$H$37,MATCH(B24,Akseptkriterier!$D$32:$H$32,0)+1,FALSE),""),"")</f>
        <v/>
      </c>
      <c r="O24" s="124" t="n"/>
      <c r="P24" s="144" t="n"/>
      <c r="Q24" s="145" t="n"/>
      <c r="R24" s="145" t="n"/>
      <c r="S24" s="98">
        <f>IFERROR(VLOOKUP(C24,Akseptkriterier!$C$33:$H$37,MATCH(D24,Akseptkriterier!$D$32:$H$32,0)+1,FALSE),"")</f>
        <v/>
      </c>
    </row>
    <row r="25" ht="21" customHeight="1">
      <c r="A25" s="93">
        <f>IFERROR(VLOOKUP('Risikoanalyse'!L25,Akseptkriterier!$D$4:$E$8,2,FALSE),0)</f>
        <v/>
      </c>
      <c r="B25" s="93">
        <f>IFERROR(VLOOKUP('Risikoanalyse'!J25,Akseptkriterier!$F$4:$G$8,2,FALSE),0)</f>
        <v/>
      </c>
      <c r="C25" s="94">
        <f>IFERROR(VLOOKUP('Risikoanalyse'!R25,Akseptkriterier!$D$4:$E$8,2,FALSE),0)</f>
        <v/>
      </c>
      <c r="D25" s="93">
        <f>IFERROR(VLOOKUP('Risikoanalyse'!Q25,Akseptkriterier!$F$4:$G$8,2,FALSE),0)</f>
        <v/>
      </c>
      <c r="E25" s="121" t="n"/>
      <c r="F25" s="104" t="n"/>
      <c r="G25" s="100" t="n"/>
      <c r="H25" s="100" t="n"/>
      <c r="I25" s="104" t="n"/>
      <c r="J25" s="118" t="n"/>
      <c r="K25" s="104" t="n"/>
      <c r="L25" s="118" t="n"/>
      <c r="M25" s="104" t="n"/>
      <c r="N25" s="126">
        <f>IF(NOT(E25=""),IFERROR(VLOOKUP(A25,Akseptkriterier!$C$33:$H$37,MATCH(B25,Akseptkriterier!$D$32:$H$32,0)+1,FALSE),""),"")</f>
        <v/>
      </c>
      <c r="O25" s="124" t="n"/>
      <c r="P25" s="70" t="n"/>
      <c r="Q25" s="129" t="n"/>
      <c r="R25" s="129" t="n"/>
      <c r="S25" s="98">
        <f>IFERROR(VLOOKUP(C25,Akseptkriterier!$C$33:$H$37,MATCH(D25,Akseptkriterier!$D$32:$H$32,0)+1,FALSE),"")</f>
        <v/>
      </c>
    </row>
    <row r="26" ht="21" customHeight="1">
      <c r="A26" s="93">
        <f>IFERROR(VLOOKUP('Risikoanalyse'!L26,Akseptkriterier!$D$4:$E$8,2,FALSE),0)</f>
        <v/>
      </c>
      <c r="B26" s="93">
        <f>IFERROR(VLOOKUP('Risikoanalyse'!J26,Akseptkriterier!$F$4:$G$8,2,FALSE),0)</f>
        <v/>
      </c>
      <c r="C26" s="94">
        <f>IFERROR(VLOOKUP('Risikoanalyse'!R26,Akseptkriterier!$D$4:$E$8,2,FALSE),0)</f>
        <v/>
      </c>
      <c r="D26" s="93">
        <f>IFERROR(VLOOKUP('Risikoanalyse'!Q26,Akseptkriterier!$F$4:$G$8,2,FALSE),0)</f>
        <v/>
      </c>
      <c r="E26" s="136" t="n"/>
      <c r="F26" s="141" t="n"/>
      <c r="G26" s="133" t="n"/>
      <c r="H26" s="133" t="n"/>
      <c r="I26" s="141" t="n"/>
      <c r="J26" s="142" t="n"/>
      <c r="K26" s="141" t="n"/>
      <c r="L26" s="142" t="n"/>
      <c r="M26" s="141" t="n"/>
      <c r="N26" s="126">
        <f>IF(NOT(E26=""),IFERROR(VLOOKUP(A26,Akseptkriterier!$C$33:$H$37,MATCH(B26,Akseptkriterier!$D$32:$H$32,0)+1,FALSE),""),"")</f>
        <v/>
      </c>
      <c r="O26" s="124" t="n"/>
      <c r="P26" s="144" t="n"/>
      <c r="Q26" s="145" t="n"/>
      <c r="R26" s="145" t="n"/>
      <c r="S26" s="98">
        <f>IFERROR(VLOOKUP(C26,Akseptkriterier!$C$33:$H$37,MATCH(D26,Akseptkriterier!$D$32:$H$32,0)+1,FALSE),"")</f>
        <v/>
      </c>
    </row>
    <row r="27" ht="21" customHeight="1">
      <c r="A27" s="93">
        <f>IFERROR(VLOOKUP('Risikoanalyse'!L27,Akseptkriterier!$D$4:$E$8,2,FALSE),0)</f>
        <v/>
      </c>
      <c r="B27" s="93">
        <f>IFERROR(VLOOKUP('Risikoanalyse'!J27,Akseptkriterier!$F$4:$G$8,2,FALSE),0)</f>
        <v/>
      </c>
      <c r="C27" s="94">
        <f>IFERROR(VLOOKUP('Risikoanalyse'!R27,Akseptkriterier!$D$4:$E$8,2,FALSE),0)</f>
        <v/>
      </c>
      <c r="D27" s="93">
        <f>IFERROR(VLOOKUP('Risikoanalyse'!Q27,Akseptkriterier!$F$4:$G$8,2,FALSE),0)</f>
        <v/>
      </c>
      <c r="E27" s="121" t="n"/>
      <c r="F27" s="104" t="n"/>
      <c r="G27" s="100" t="n"/>
      <c r="H27" s="100" t="n"/>
      <c r="I27" s="104" t="n"/>
      <c r="J27" s="118" t="n"/>
      <c r="K27" s="104" t="n"/>
      <c r="L27" s="118" t="n"/>
      <c r="M27" s="104" t="n"/>
      <c r="N27" s="126">
        <f>IF(NOT(E27=""),IFERROR(VLOOKUP(A27,Akseptkriterier!$C$33:$H$37,MATCH(B27,Akseptkriterier!$D$32:$H$32,0)+1,FALSE),""),"")</f>
        <v/>
      </c>
      <c r="O27" s="124" t="n"/>
      <c r="P27" s="70" t="n"/>
      <c r="Q27" s="129" t="n"/>
      <c r="R27" s="129" t="n"/>
      <c r="S27" s="98">
        <f>IFERROR(VLOOKUP(C27,Akseptkriterier!$C$33:$H$37,MATCH(D27,Akseptkriterier!$D$32:$H$32,0)+1,FALSE),"")</f>
        <v/>
      </c>
    </row>
    <row r="28" ht="21" customHeight="1">
      <c r="A28" s="93">
        <f>IFERROR(VLOOKUP('Risikoanalyse'!L28,Akseptkriterier!$D$4:$E$8,2,FALSE),0)</f>
        <v/>
      </c>
      <c r="B28" s="93">
        <f>IFERROR(VLOOKUP('Risikoanalyse'!J28,Akseptkriterier!$F$4:$G$8,2,FALSE),0)</f>
        <v/>
      </c>
      <c r="C28" s="94">
        <f>IFERROR(VLOOKUP('Risikoanalyse'!R28,Akseptkriterier!$D$4:$E$8,2,FALSE),0)</f>
        <v/>
      </c>
      <c r="D28" s="93">
        <f>IFERROR(VLOOKUP('Risikoanalyse'!Q28,Akseptkriterier!$F$4:$G$8,2,FALSE),0)</f>
        <v/>
      </c>
      <c r="E28" s="136" t="n"/>
      <c r="F28" s="141" t="n"/>
      <c r="G28" s="133" t="n"/>
      <c r="H28" s="133" t="n"/>
      <c r="I28" s="141" t="n"/>
      <c r="J28" s="142" t="n"/>
      <c r="K28" s="141" t="n"/>
      <c r="L28" s="142" t="n"/>
      <c r="M28" s="141" t="n"/>
      <c r="N28" s="126">
        <f>IF(NOT(E28=""),IFERROR(VLOOKUP(A28,Akseptkriterier!$C$33:$H$37,MATCH(B28,Akseptkriterier!$D$32:$H$32,0)+1,FALSE),""),"")</f>
        <v/>
      </c>
      <c r="O28" s="124" t="n"/>
      <c r="P28" s="144" t="n"/>
      <c r="Q28" s="145" t="n"/>
      <c r="R28" s="145" t="n"/>
      <c r="S28" s="98">
        <f>IFERROR(VLOOKUP(C28,Akseptkriterier!$C$33:$H$37,MATCH(D28,Akseptkriterier!$D$32:$H$32,0)+1,FALSE),"")</f>
        <v/>
      </c>
    </row>
    <row r="29" ht="21" customHeight="1">
      <c r="A29" s="93">
        <f>IFERROR(VLOOKUP('Risikoanalyse'!L29,Akseptkriterier!$D$4:$E$8,2,FALSE),0)</f>
        <v/>
      </c>
      <c r="B29" s="93">
        <f>IFERROR(VLOOKUP('Risikoanalyse'!J29,Akseptkriterier!$F$4:$G$8,2,FALSE),0)</f>
        <v/>
      </c>
      <c r="C29" s="94">
        <f>IFERROR(VLOOKUP('Risikoanalyse'!R29,Akseptkriterier!$D$4:$E$8,2,FALSE),0)</f>
        <v/>
      </c>
      <c r="D29" s="93">
        <f>IFERROR(VLOOKUP('Risikoanalyse'!Q29,Akseptkriterier!$F$4:$G$8,2,FALSE),0)</f>
        <v/>
      </c>
      <c r="E29" s="121" t="n"/>
      <c r="F29" s="104" t="n"/>
      <c r="G29" s="100" t="n"/>
      <c r="H29" s="100" t="n"/>
      <c r="I29" s="104" t="n"/>
      <c r="J29" s="118" t="n"/>
      <c r="K29" s="104" t="n"/>
      <c r="L29" s="118" t="n"/>
      <c r="M29" s="104" t="n"/>
      <c r="N29" s="126">
        <f>IF(NOT(E29=""),IFERROR(VLOOKUP(A29,Akseptkriterier!$C$33:$H$37,MATCH(B29,Akseptkriterier!$D$32:$H$32,0)+1,FALSE),""),"")</f>
        <v/>
      </c>
      <c r="O29" s="124" t="n"/>
      <c r="P29" s="70" t="n"/>
      <c r="Q29" s="129" t="n"/>
      <c r="R29" s="129" t="n"/>
      <c r="S29" s="98">
        <f>IFERROR(VLOOKUP(C29,Akseptkriterier!$C$33:$H$37,MATCH(D29,Akseptkriterier!$D$32:$H$32,0)+1,FALSE),"")</f>
        <v/>
      </c>
    </row>
    <row r="30" ht="21" customHeight="1">
      <c r="A30" s="93">
        <f>IFERROR(VLOOKUP('Risikoanalyse'!L30,Akseptkriterier!$D$4:$E$8,2,FALSE),0)</f>
        <v/>
      </c>
      <c r="B30" s="93">
        <f>IFERROR(VLOOKUP('Risikoanalyse'!J30,Akseptkriterier!$F$4:$G$8,2,FALSE),0)</f>
        <v/>
      </c>
      <c r="C30" s="94">
        <f>IFERROR(VLOOKUP('Risikoanalyse'!R30,Akseptkriterier!$D$4:$E$8,2,FALSE),0)</f>
        <v/>
      </c>
      <c r="D30" s="93">
        <f>IFERROR(VLOOKUP('Risikoanalyse'!Q30,Akseptkriterier!$F$4:$G$8,2,FALSE),0)</f>
        <v/>
      </c>
      <c r="E30" s="136" t="n"/>
      <c r="F30" s="141" t="n"/>
      <c r="G30" s="133" t="n"/>
      <c r="H30" s="133" t="n"/>
      <c r="I30" s="141" t="n"/>
      <c r="J30" s="142" t="n"/>
      <c r="K30" s="141" t="n"/>
      <c r="L30" s="142" t="n"/>
      <c r="M30" s="141" t="n"/>
      <c r="N30" s="126">
        <f>IF(NOT(E30=""),IFERROR(VLOOKUP(A30,Akseptkriterier!$C$33:$H$37,MATCH(B30,Akseptkriterier!$D$32:$H$32,0)+1,FALSE),""),"")</f>
        <v/>
      </c>
      <c r="O30" s="124" t="n"/>
      <c r="P30" s="144" t="n"/>
      <c r="Q30" s="145" t="n"/>
      <c r="R30" s="145" t="n"/>
      <c r="S30" s="98">
        <f>IFERROR(VLOOKUP(C30,Akseptkriterier!$C$33:$H$37,MATCH(D30,Akseptkriterier!$D$32:$H$32,0)+1,FALSE),"")</f>
        <v/>
      </c>
    </row>
    <row r="31" ht="21" customHeight="1">
      <c r="A31" s="93">
        <f>IFERROR(VLOOKUP('Risikoanalyse'!L31,Akseptkriterier!$D$4:$E$8,2,FALSE),0)</f>
        <v/>
      </c>
      <c r="B31" s="93">
        <f>IFERROR(VLOOKUP('Risikoanalyse'!J31,Akseptkriterier!$F$4:$G$8,2,FALSE),0)</f>
        <v/>
      </c>
      <c r="C31" s="94">
        <f>IFERROR(VLOOKUP('Risikoanalyse'!R31,Akseptkriterier!$D$4:$E$8,2,FALSE),0)</f>
        <v/>
      </c>
      <c r="D31" s="93">
        <f>IFERROR(VLOOKUP('Risikoanalyse'!Q31,Akseptkriterier!$F$4:$G$8,2,FALSE),0)</f>
        <v/>
      </c>
      <c r="E31" s="121" t="n"/>
      <c r="F31" s="104" t="n"/>
      <c r="G31" s="100" t="n"/>
      <c r="H31" s="100" t="n"/>
      <c r="I31" s="104" t="n"/>
      <c r="J31" s="118" t="n"/>
      <c r="K31" s="104" t="n"/>
      <c r="L31" s="118" t="n"/>
      <c r="M31" s="104" t="n"/>
      <c r="N31" s="126">
        <f>IF(NOT(E31=""),IFERROR(VLOOKUP(A31,Akseptkriterier!$C$33:$H$37,MATCH(B31,Akseptkriterier!$D$32:$H$32,0)+1,FALSE),""),"")</f>
        <v/>
      </c>
      <c r="O31" s="124" t="n"/>
      <c r="P31" s="70" t="n"/>
      <c r="Q31" s="129" t="n"/>
      <c r="R31" s="129" t="n"/>
      <c r="S31" s="98">
        <f>IFERROR(VLOOKUP(C31,Akseptkriterier!$C$33:$H$37,MATCH(D31,Akseptkriterier!$D$32:$H$32,0)+1,FALSE),"")</f>
        <v/>
      </c>
    </row>
    <row r="32" ht="21" customHeight="1">
      <c r="A32" s="93">
        <f>IFERROR(VLOOKUP('Risikoanalyse'!L32,Akseptkriterier!$D$4:$E$8,2,FALSE),0)</f>
        <v/>
      </c>
      <c r="B32" s="93">
        <f>IFERROR(VLOOKUP('Risikoanalyse'!J32,Akseptkriterier!$F$4:$G$8,2,FALSE),0)</f>
        <v/>
      </c>
      <c r="C32" s="94">
        <f>IFERROR(VLOOKUP('Risikoanalyse'!R32,Akseptkriterier!$D$4:$E$8,2,FALSE),0)</f>
        <v/>
      </c>
      <c r="D32" s="93">
        <f>IFERROR(VLOOKUP('Risikoanalyse'!Q32,Akseptkriterier!$F$4:$G$8,2,FALSE),0)</f>
        <v/>
      </c>
      <c r="E32" s="136" t="n"/>
      <c r="F32" s="141" t="n"/>
      <c r="G32" s="133" t="n"/>
      <c r="H32" s="133" t="n"/>
      <c r="I32" s="141" t="n"/>
      <c r="J32" s="142" t="n"/>
      <c r="K32" s="141" t="n"/>
      <c r="L32" s="142" t="n"/>
      <c r="M32" s="141" t="n"/>
      <c r="N32" s="126">
        <f>IF(NOT(E32=""),IFERROR(VLOOKUP(A32,Akseptkriterier!$C$33:$H$37,MATCH(B32,Akseptkriterier!$D$32:$H$32,0)+1,FALSE),""),"")</f>
        <v/>
      </c>
      <c r="O32" s="124" t="n"/>
      <c r="P32" s="144" t="n"/>
      <c r="Q32" s="145" t="n"/>
      <c r="R32" s="145" t="n"/>
      <c r="S32" s="98">
        <f>IFERROR(VLOOKUP(C32,Akseptkriterier!$C$33:$H$37,MATCH(D32,Akseptkriterier!$D$32:$H$32,0)+1,FALSE),"")</f>
        <v/>
      </c>
    </row>
    <row r="33" ht="21" customHeight="1">
      <c r="A33" s="93">
        <f>IFERROR(VLOOKUP('Risikoanalyse'!L33,Akseptkriterier!$D$4:$E$8,2,FALSE),0)</f>
        <v/>
      </c>
      <c r="B33" s="93">
        <f>IFERROR(VLOOKUP('Risikoanalyse'!J33,Akseptkriterier!$F$4:$G$8,2,FALSE),0)</f>
        <v/>
      </c>
      <c r="C33" s="94">
        <f>IFERROR(VLOOKUP('Risikoanalyse'!R33,Akseptkriterier!$D$4:$E$8,2,FALSE),0)</f>
        <v/>
      </c>
      <c r="D33" s="93">
        <f>IFERROR(VLOOKUP('Risikoanalyse'!Q33,Akseptkriterier!$F$4:$G$8,2,FALSE),0)</f>
        <v/>
      </c>
      <c r="E33" s="121" t="n"/>
      <c r="F33" s="104" t="n"/>
      <c r="G33" s="100" t="n"/>
      <c r="H33" s="100" t="n"/>
      <c r="I33" s="104" t="n"/>
      <c r="J33" s="118" t="n"/>
      <c r="K33" s="104" t="n"/>
      <c r="L33" s="118" t="n"/>
      <c r="M33" s="104" t="n"/>
      <c r="N33" s="126">
        <f>IF(NOT(E33=""),IFERROR(VLOOKUP(A33,Akseptkriterier!$C$33:$H$37,MATCH(B33,Akseptkriterier!$D$32:$H$32,0)+1,FALSE),""),"")</f>
        <v/>
      </c>
      <c r="O33" s="124" t="n"/>
      <c r="P33" s="70" t="n"/>
      <c r="Q33" s="129" t="n"/>
      <c r="R33" s="129" t="n"/>
      <c r="S33" s="98">
        <f>IFERROR(VLOOKUP(C33,Akseptkriterier!$C$33:$H$37,MATCH(D33,Akseptkriterier!$D$32:$H$32,0)+1,FALSE),"")</f>
        <v/>
      </c>
    </row>
    <row r="34" ht="21" customHeight="1">
      <c r="A34" s="93">
        <f>IFERROR(VLOOKUP('Risikoanalyse'!L34,Akseptkriterier!$D$4:$E$8,2,FALSE),0)</f>
        <v/>
      </c>
      <c r="B34" s="93">
        <f>IFERROR(VLOOKUP('Risikoanalyse'!J34,Akseptkriterier!$F$4:$G$8,2,FALSE),0)</f>
        <v/>
      </c>
      <c r="C34" s="94">
        <f>IFERROR(VLOOKUP('Risikoanalyse'!R34,Akseptkriterier!$D$4:$E$8,2,FALSE),0)</f>
        <v/>
      </c>
      <c r="D34" s="93">
        <f>IFERROR(VLOOKUP('Risikoanalyse'!Q34,Akseptkriterier!$F$4:$G$8,2,FALSE),0)</f>
        <v/>
      </c>
      <c r="E34" s="136" t="n"/>
      <c r="F34" s="141" t="n"/>
      <c r="G34" s="133" t="n"/>
      <c r="H34" s="133" t="n"/>
      <c r="I34" s="141" t="n"/>
      <c r="J34" s="142" t="n"/>
      <c r="K34" s="141" t="n"/>
      <c r="L34" s="142" t="n"/>
      <c r="M34" s="141" t="n"/>
      <c r="N34" s="126">
        <f>IF(NOT(E34=""),IFERROR(VLOOKUP(A34,Akseptkriterier!$C$33:$H$37,MATCH(B34,Akseptkriterier!$D$32:$H$32,0)+1,FALSE),""),"")</f>
        <v/>
      </c>
      <c r="O34" s="124" t="n"/>
      <c r="P34" s="144" t="n"/>
      <c r="Q34" s="145" t="n"/>
      <c r="R34" s="145" t="n"/>
      <c r="S34" s="98">
        <f>IFERROR(VLOOKUP(C34,Akseptkriterier!$C$33:$H$37,MATCH(D34,Akseptkriterier!$D$32:$H$32,0)+1,FALSE),"")</f>
        <v/>
      </c>
    </row>
    <row r="35" ht="21" customHeight="1">
      <c r="A35" s="93">
        <f>IFERROR(VLOOKUP('Risikoanalyse'!L35,Akseptkriterier!$D$4:$E$8,2,FALSE),0)</f>
        <v/>
      </c>
      <c r="B35" s="93">
        <f>IFERROR(VLOOKUP('Risikoanalyse'!J35,Akseptkriterier!$F$4:$G$8,2,FALSE),0)</f>
        <v/>
      </c>
      <c r="C35" s="94">
        <f>IFERROR(VLOOKUP('Risikoanalyse'!R35,Akseptkriterier!$D$4:$E$8,2,FALSE),0)</f>
        <v/>
      </c>
      <c r="D35" s="93">
        <f>IFERROR(VLOOKUP('Risikoanalyse'!Q35,Akseptkriterier!$F$4:$G$8,2,FALSE),0)</f>
        <v/>
      </c>
      <c r="E35" s="121" t="n"/>
      <c r="F35" s="104" t="n"/>
      <c r="G35" s="100" t="n"/>
      <c r="H35" s="100" t="n"/>
      <c r="I35" s="104" t="n"/>
      <c r="J35" s="118" t="n"/>
      <c r="K35" s="104" t="n"/>
      <c r="L35" s="118" t="n"/>
      <c r="M35" s="104" t="n"/>
      <c r="N35" s="126">
        <f>IF(NOT(E35=""),IFERROR(VLOOKUP(A35,Akseptkriterier!$C$33:$H$37,MATCH(B35,Akseptkriterier!$D$32:$H$32,0)+1,FALSE),""),"")</f>
        <v/>
      </c>
      <c r="O35" s="124" t="n"/>
      <c r="P35" s="70" t="n"/>
      <c r="Q35" s="129" t="n"/>
      <c r="R35" s="129" t="n"/>
      <c r="S35" s="98">
        <f>IFERROR(VLOOKUP(C35,Akseptkriterier!$C$33:$H$37,MATCH(D35,Akseptkriterier!$D$32:$H$32,0)+1,FALSE),"")</f>
        <v/>
      </c>
    </row>
    <row r="36" ht="21" customHeight="1">
      <c r="A36" s="93">
        <f>IFERROR(VLOOKUP('Risikoanalyse'!L36,Akseptkriterier!$D$4:$E$8,2,FALSE),0)</f>
        <v/>
      </c>
      <c r="B36" s="93">
        <f>IFERROR(VLOOKUP('Risikoanalyse'!J36,Akseptkriterier!$F$4:$G$8,2,FALSE),0)</f>
        <v/>
      </c>
      <c r="C36" s="94">
        <f>IFERROR(VLOOKUP('Risikoanalyse'!R36,Akseptkriterier!$D$4:$E$8,2,FALSE),0)</f>
        <v/>
      </c>
      <c r="D36" s="93">
        <f>IFERROR(VLOOKUP('Risikoanalyse'!Q36,Akseptkriterier!$F$4:$G$8,2,FALSE),0)</f>
        <v/>
      </c>
      <c r="E36" s="136" t="n"/>
      <c r="F36" s="141" t="n"/>
      <c r="G36" s="133" t="n"/>
      <c r="H36" s="133" t="n"/>
      <c r="I36" s="141" t="n"/>
      <c r="J36" s="142" t="n"/>
      <c r="K36" s="141" t="n"/>
      <c r="L36" s="142" t="n"/>
      <c r="M36" s="141" t="n"/>
      <c r="N36" s="126">
        <f>IF(NOT(E36=""),IFERROR(VLOOKUP(A36,Akseptkriterier!$C$33:$H$37,MATCH(B36,Akseptkriterier!$D$32:$H$32,0)+1,FALSE),""),"")</f>
        <v/>
      </c>
      <c r="O36" s="124" t="n"/>
      <c r="P36" s="144" t="n"/>
      <c r="Q36" s="145" t="n"/>
      <c r="R36" s="145" t="n"/>
      <c r="S36" s="98">
        <f>IFERROR(VLOOKUP(C36,Akseptkriterier!$C$33:$H$37,MATCH(D36,Akseptkriterier!$D$32:$H$32,0)+1,FALSE),"")</f>
        <v/>
      </c>
    </row>
    <row r="37" ht="21" customHeight="1">
      <c r="A37" s="93">
        <f>IFERROR(VLOOKUP('Risikoanalyse'!L37,Akseptkriterier!$D$4:$E$8,2,FALSE),0)</f>
        <v/>
      </c>
      <c r="B37" s="93">
        <f>IFERROR(VLOOKUP('Risikoanalyse'!J37,Akseptkriterier!$F$4:$G$8,2,FALSE),0)</f>
        <v/>
      </c>
      <c r="C37" s="94">
        <f>IFERROR(VLOOKUP('Risikoanalyse'!R37,Akseptkriterier!$D$4:$E$8,2,FALSE),0)</f>
        <v/>
      </c>
      <c r="D37" s="93">
        <f>IFERROR(VLOOKUP('Risikoanalyse'!Q37,Akseptkriterier!$F$4:$G$8,2,FALSE),0)</f>
        <v/>
      </c>
      <c r="E37" s="121" t="n"/>
      <c r="F37" s="104" t="n"/>
      <c r="G37" s="100" t="n"/>
      <c r="H37" s="100" t="n"/>
      <c r="I37" s="104" t="n"/>
      <c r="J37" s="118" t="n"/>
      <c r="K37" s="104" t="n"/>
      <c r="L37" s="118" t="n"/>
      <c r="M37" s="104" t="n"/>
      <c r="N37" s="126">
        <f>IF(NOT(E37=""),IFERROR(VLOOKUP(A37,Akseptkriterier!$C$33:$H$37,MATCH(B37,Akseptkriterier!$D$32:$H$32,0)+1,FALSE),""),"")</f>
        <v/>
      </c>
      <c r="O37" s="124" t="n"/>
      <c r="P37" s="70" t="n"/>
      <c r="Q37" s="129" t="n"/>
      <c r="R37" s="129" t="n"/>
      <c r="S37" s="98">
        <f>IFERROR(VLOOKUP(C37,Akseptkriterier!$C$33:$H$37,MATCH(D37,Akseptkriterier!$D$32:$H$32,0)+1,FALSE),"")</f>
        <v/>
      </c>
    </row>
    <row r="38" ht="21" customHeight="1">
      <c r="A38" s="93">
        <f>IFERROR(VLOOKUP('Risikoanalyse'!L38,Akseptkriterier!$D$4:$E$8,2,FALSE),0)</f>
        <v/>
      </c>
      <c r="B38" s="93">
        <f>IFERROR(VLOOKUP('Risikoanalyse'!J38,Akseptkriterier!$F$4:$G$8,2,FALSE),0)</f>
        <v/>
      </c>
      <c r="C38" s="94">
        <f>IFERROR(VLOOKUP('Risikoanalyse'!R38,Akseptkriterier!$D$4:$E$8,2,FALSE),0)</f>
        <v/>
      </c>
      <c r="D38" s="93">
        <f>IFERROR(VLOOKUP('Risikoanalyse'!Q38,Akseptkriterier!$F$4:$G$8,2,FALSE),0)</f>
        <v/>
      </c>
      <c r="E38" s="136" t="n"/>
      <c r="F38" s="141" t="n"/>
      <c r="G38" s="133" t="n"/>
      <c r="H38" s="133" t="n"/>
      <c r="I38" s="141" t="n"/>
      <c r="J38" s="142" t="n"/>
      <c r="K38" s="141" t="n"/>
      <c r="L38" s="142" t="n"/>
      <c r="M38" s="141" t="n"/>
      <c r="N38" s="126">
        <f>IF(NOT(E38=""),IFERROR(VLOOKUP(A38,Akseptkriterier!$C$33:$H$37,MATCH(B38,Akseptkriterier!$D$32:$H$32,0)+1,FALSE),""),"")</f>
        <v/>
      </c>
      <c r="O38" s="124" t="n"/>
      <c r="P38" s="144" t="n"/>
      <c r="Q38" s="145" t="n"/>
      <c r="R38" s="145" t="n"/>
      <c r="S38" s="98">
        <f>IFERROR(VLOOKUP(C38,Akseptkriterier!$C$33:$H$37,MATCH(D38,Akseptkriterier!$D$32:$H$32,0)+1,FALSE),"")</f>
        <v/>
      </c>
    </row>
    <row r="39" ht="21" customHeight="1">
      <c r="A39" s="93">
        <f>IFERROR(VLOOKUP('Risikoanalyse'!L39,Akseptkriterier!$D$4:$E$8,2,FALSE),0)</f>
        <v/>
      </c>
      <c r="B39" s="93">
        <f>IFERROR(VLOOKUP('Risikoanalyse'!J39,Akseptkriterier!$F$4:$G$8,2,FALSE),0)</f>
        <v/>
      </c>
      <c r="C39" s="94">
        <f>IFERROR(VLOOKUP('Risikoanalyse'!R39,Akseptkriterier!$D$4:$E$8,2,FALSE),0)</f>
        <v/>
      </c>
      <c r="D39" s="93">
        <f>IFERROR(VLOOKUP('Risikoanalyse'!Q39,Akseptkriterier!$F$4:$G$8,2,FALSE),0)</f>
        <v/>
      </c>
      <c r="E39" s="121" t="n"/>
      <c r="F39" s="104" t="n"/>
      <c r="G39" s="100" t="n"/>
      <c r="H39" s="100" t="n"/>
      <c r="I39" s="104" t="n"/>
      <c r="J39" s="118" t="n"/>
      <c r="K39" s="104" t="n"/>
      <c r="L39" s="118" t="n"/>
      <c r="M39" s="104" t="n"/>
      <c r="N39" s="126">
        <f>IF(NOT(E39=""),IFERROR(VLOOKUP(A39,Akseptkriterier!$C$33:$H$37,MATCH(B39,Akseptkriterier!$D$32:$H$32,0)+1,FALSE),""),"")</f>
        <v/>
      </c>
      <c r="O39" s="124" t="n"/>
      <c r="P39" s="70" t="n"/>
      <c r="Q39" s="129" t="n"/>
      <c r="R39" s="129" t="n"/>
      <c r="S39" s="98">
        <f>IFERROR(VLOOKUP(C39,Akseptkriterier!$C$33:$H$37,MATCH(D39,Akseptkriterier!$D$32:$H$32,0)+1,FALSE),"")</f>
        <v/>
      </c>
    </row>
    <row r="40" ht="21" customHeight="1">
      <c r="A40" s="93">
        <f>IFERROR(VLOOKUP('Risikoanalyse'!L40,Akseptkriterier!$D$4:$E$8,2,FALSE),0)</f>
        <v/>
      </c>
      <c r="B40" s="93">
        <f>IFERROR(VLOOKUP('Risikoanalyse'!J40,Akseptkriterier!$F$4:$G$8,2,FALSE),0)</f>
        <v/>
      </c>
      <c r="C40" s="94">
        <f>IFERROR(VLOOKUP('Risikoanalyse'!R40,Akseptkriterier!$D$4:$E$8,2,FALSE),0)</f>
        <v/>
      </c>
      <c r="D40" s="93">
        <f>IFERROR(VLOOKUP('Risikoanalyse'!Q40,Akseptkriterier!$F$4:$G$8,2,FALSE),0)</f>
        <v/>
      </c>
      <c r="E40" s="136" t="n"/>
      <c r="F40" s="141" t="n"/>
      <c r="G40" s="133" t="n"/>
      <c r="H40" s="133" t="n"/>
      <c r="I40" s="141" t="n"/>
      <c r="J40" s="142" t="n"/>
      <c r="K40" s="141" t="n"/>
      <c r="L40" s="142" t="n"/>
      <c r="M40" s="141" t="n"/>
      <c r="N40" s="126">
        <f>IF(NOT(E40=""),IFERROR(VLOOKUP(A40,Akseptkriterier!$C$33:$H$37,MATCH(B40,Akseptkriterier!$D$32:$H$32,0)+1,FALSE),""),"")</f>
        <v/>
      </c>
      <c r="O40" s="124" t="n"/>
      <c r="P40" s="144" t="n"/>
      <c r="Q40" s="145" t="n"/>
      <c r="R40" s="145" t="n"/>
      <c r="S40" s="98">
        <f>IFERROR(VLOOKUP(C40,Akseptkriterier!$C$33:$H$37,MATCH(D40,Akseptkriterier!$D$32:$H$32,0)+1,FALSE),"")</f>
        <v/>
      </c>
    </row>
    <row r="41" ht="21" customHeight="1">
      <c r="A41" s="93">
        <f>IFERROR(VLOOKUP('Risikoanalyse'!L41,Akseptkriterier!$D$4:$E$8,2,FALSE),0)</f>
        <v/>
      </c>
      <c r="B41" s="93">
        <f>IFERROR(VLOOKUP('Risikoanalyse'!J41,Akseptkriterier!$F$4:$G$8,2,FALSE),0)</f>
        <v/>
      </c>
      <c r="C41" s="94">
        <f>IFERROR(VLOOKUP('Risikoanalyse'!R41,Akseptkriterier!$D$4:$E$8,2,FALSE),0)</f>
        <v/>
      </c>
      <c r="D41" s="93">
        <f>IFERROR(VLOOKUP('Risikoanalyse'!Q41,Akseptkriterier!$F$4:$G$8,2,FALSE),0)</f>
        <v/>
      </c>
      <c r="E41" s="121" t="n"/>
      <c r="F41" s="104" t="n"/>
      <c r="G41" s="100" t="n"/>
      <c r="H41" s="100" t="n"/>
      <c r="I41" s="104" t="n"/>
      <c r="J41" s="118" t="n"/>
      <c r="K41" s="104" t="n"/>
      <c r="L41" s="118" t="n"/>
      <c r="M41" s="104" t="n"/>
      <c r="N41" s="126">
        <f>IF(NOT(E41=""),IFERROR(VLOOKUP(A41,Akseptkriterier!$C$33:$H$37,MATCH(B41,Akseptkriterier!$D$32:$H$32,0)+1,FALSE),""),"")</f>
        <v/>
      </c>
      <c r="O41" s="124" t="n"/>
      <c r="P41" s="70" t="n"/>
      <c r="Q41" s="129" t="n"/>
      <c r="R41" s="129" t="n"/>
      <c r="S41" s="98">
        <f>IFERROR(VLOOKUP(C41,Akseptkriterier!$C$33:$H$37,MATCH(D41,Akseptkriterier!$D$32:$H$32,0)+1,FALSE),"")</f>
        <v/>
      </c>
    </row>
    <row r="42" ht="21" customHeight="1">
      <c r="A42" s="93">
        <f>IFERROR(VLOOKUP('Risikoanalyse'!L42,Akseptkriterier!$D$4:$E$8,2,FALSE),0)</f>
        <v/>
      </c>
      <c r="B42" s="93">
        <f>IFERROR(VLOOKUP('Risikoanalyse'!J42,Akseptkriterier!$F$4:$G$8,2,FALSE),0)</f>
        <v/>
      </c>
      <c r="C42" s="94">
        <f>IFERROR(VLOOKUP('Risikoanalyse'!R42,Akseptkriterier!$D$4:$E$8,2,FALSE),0)</f>
        <v/>
      </c>
      <c r="D42" s="93">
        <f>IFERROR(VLOOKUP('Risikoanalyse'!Q42,Akseptkriterier!$F$4:$G$8,2,FALSE),0)</f>
        <v/>
      </c>
      <c r="E42" s="136" t="n"/>
      <c r="F42" s="141" t="n"/>
      <c r="G42" s="133" t="n"/>
      <c r="H42" s="133" t="n"/>
      <c r="I42" s="141" t="n"/>
      <c r="J42" s="142" t="n"/>
      <c r="K42" s="141" t="n"/>
      <c r="L42" s="142" t="n"/>
      <c r="M42" s="141" t="n"/>
      <c r="N42" s="126">
        <f>IF(NOT(E42=""),IFERROR(VLOOKUP(A42,Akseptkriterier!$C$33:$H$37,MATCH(B42,Akseptkriterier!$D$32:$H$32,0)+1,FALSE),""),"")</f>
        <v/>
      </c>
      <c r="O42" s="124" t="n"/>
      <c r="P42" s="144" t="n"/>
      <c r="Q42" s="145" t="n"/>
      <c r="R42" s="145" t="n"/>
      <c r="S42" s="98">
        <f>IFERROR(VLOOKUP(C42,Akseptkriterier!$C$33:$H$37,MATCH(D42,Akseptkriterier!$D$32:$H$32,0)+1,FALSE),"")</f>
        <v/>
      </c>
    </row>
    <row r="43" ht="21" customHeight="1">
      <c r="A43" s="93">
        <f>IFERROR(VLOOKUP('Risikoanalyse'!L43,Akseptkriterier!$D$4:$E$8,2,FALSE),0)</f>
        <v/>
      </c>
      <c r="B43" s="93">
        <f>IFERROR(VLOOKUP('Risikoanalyse'!J43,Akseptkriterier!$F$4:$G$8,2,FALSE),0)</f>
        <v/>
      </c>
      <c r="C43" s="94">
        <f>IFERROR(VLOOKUP('Risikoanalyse'!R43,Akseptkriterier!$D$4:$E$8,2,FALSE),0)</f>
        <v/>
      </c>
      <c r="D43" s="93">
        <f>IFERROR(VLOOKUP('Risikoanalyse'!Q43,Akseptkriterier!$F$4:$G$8,2,FALSE),0)</f>
        <v/>
      </c>
      <c r="E43" s="121" t="n"/>
      <c r="F43" s="104" t="n"/>
      <c r="G43" s="100" t="n"/>
      <c r="H43" s="100" t="n"/>
      <c r="I43" s="104" t="n"/>
      <c r="J43" s="118" t="n"/>
      <c r="K43" s="104" t="n"/>
      <c r="L43" s="118" t="n"/>
      <c r="M43" s="104" t="n"/>
      <c r="N43" s="126">
        <f>IF(NOT(E43=""),IFERROR(VLOOKUP(A43,Akseptkriterier!$C$33:$H$37,MATCH(B43,Akseptkriterier!$D$32:$H$32,0)+1,FALSE),""),"")</f>
        <v/>
      </c>
      <c r="O43" s="124" t="n"/>
      <c r="P43" s="70" t="n"/>
      <c r="Q43" s="129" t="n"/>
      <c r="R43" s="129" t="n"/>
      <c r="S43" s="98">
        <f>IFERROR(VLOOKUP(C43,Akseptkriterier!$C$33:$H$37,MATCH(D43,Akseptkriterier!$D$32:$H$32,0)+1,FALSE),"")</f>
        <v/>
      </c>
    </row>
    <row r="44" ht="21" customHeight="1">
      <c r="A44" s="93">
        <f>IFERROR(VLOOKUP('Risikoanalyse'!L44,Akseptkriterier!$D$4:$E$8,2,FALSE),0)</f>
        <v/>
      </c>
      <c r="B44" s="93">
        <f>IFERROR(VLOOKUP('Risikoanalyse'!J44,Akseptkriterier!$F$4:$G$8,2,FALSE),0)</f>
        <v/>
      </c>
      <c r="C44" s="94">
        <f>IFERROR(VLOOKUP('Risikoanalyse'!R44,Akseptkriterier!$D$4:$E$8,2,FALSE),0)</f>
        <v/>
      </c>
      <c r="D44" s="93">
        <f>IFERROR(VLOOKUP('Risikoanalyse'!Q44,Akseptkriterier!$F$4:$G$8,2,FALSE),0)</f>
        <v/>
      </c>
      <c r="E44" s="136" t="n"/>
      <c r="F44" s="141" t="n"/>
      <c r="G44" s="133" t="n"/>
      <c r="H44" s="133" t="n"/>
      <c r="I44" s="141" t="n"/>
      <c r="J44" s="142" t="n"/>
      <c r="K44" s="141" t="n"/>
      <c r="L44" s="142" t="n"/>
      <c r="M44" s="141" t="n"/>
      <c r="N44" s="126">
        <f>IF(NOT(E44=""),IFERROR(VLOOKUP(A44,Akseptkriterier!$C$33:$H$37,MATCH(B44,Akseptkriterier!$D$32:$H$32,0)+1,FALSE),""),"")</f>
        <v/>
      </c>
      <c r="O44" s="124" t="n"/>
      <c r="P44" s="144" t="n"/>
      <c r="Q44" s="145" t="n"/>
      <c r="R44" s="145" t="n"/>
      <c r="S44" s="98">
        <f>IFERROR(VLOOKUP(C44,Akseptkriterier!$C$33:$H$37,MATCH(D44,Akseptkriterier!$D$32:$H$32,0)+1,FALSE),"")</f>
        <v/>
      </c>
    </row>
    <row r="45" ht="21" customHeight="1">
      <c r="A45" s="93">
        <f>IFERROR(VLOOKUP('Risikoanalyse'!L45,Akseptkriterier!$D$4:$E$8,2,FALSE),0)</f>
        <v/>
      </c>
      <c r="B45" s="93">
        <f>IFERROR(VLOOKUP('Risikoanalyse'!J45,Akseptkriterier!$F$4:$G$8,2,FALSE),0)</f>
        <v/>
      </c>
      <c r="C45" s="94">
        <f>IFERROR(VLOOKUP('Risikoanalyse'!R45,Akseptkriterier!$D$4:$E$8,2,FALSE),0)</f>
        <v/>
      </c>
      <c r="D45" s="93">
        <f>IFERROR(VLOOKUP('Risikoanalyse'!Q45,Akseptkriterier!$F$4:$G$8,2,FALSE),0)</f>
        <v/>
      </c>
      <c r="E45" s="121" t="n"/>
      <c r="F45" s="104" t="n"/>
      <c r="G45" s="100" t="n"/>
      <c r="H45" s="100" t="n"/>
      <c r="I45" s="104" t="n"/>
      <c r="J45" s="118" t="n"/>
      <c r="K45" s="104" t="n"/>
      <c r="L45" s="118" t="n"/>
      <c r="M45" s="104" t="n"/>
      <c r="N45" s="126">
        <f>IF(NOT(E45=""),IFERROR(VLOOKUP(A45,Akseptkriterier!$C$33:$H$37,MATCH(B45,Akseptkriterier!$D$32:$H$32,0)+1,FALSE),""),"")</f>
        <v/>
      </c>
      <c r="O45" s="124" t="n"/>
      <c r="P45" s="70" t="n"/>
      <c r="Q45" s="129" t="n"/>
      <c r="R45" s="129" t="n"/>
      <c r="S45" s="98">
        <f>IFERROR(VLOOKUP(C45,Akseptkriterier!$C$33:$H$37,MATCH(D45,Akseptkriterier!$D$32:$H$32,0)+1,FALSE),"")</f>
        <v/>
      </c>
    </row>
    <row r="46" ht="21" customHeight="1">
      <c r="A46" s="93">
        <f>IFERROR(VLOOKUP('Risikoanalyse'!L46,Akseptkriterier!$D$4:$E$8,2,FALSE),0)</f>
        <v/>
      </c>
      <c r="B46" s="93">
        <f>IFERROR(VLOOKUP('Risikoanalyse'!J46,Akseptkriterier!$F$4:$G$8,2,FALSE),0)</f>
        <v/>
      </c>
      <c r="C46" s="94">
        <f>IFERROR(VLOOKUP('Risikoanalyse'!R46,Akseptkriterier!$D$4:$E$8,2,FALSE),0)</f>
        <v/>
      </c>
      <c r="D46" s="93">
        <f>IFERROR(VLOOKUP('Risikoanalyse'!Q46,Akseptkriterier!$F$4:$G$8,2,FALSE),0)</f>
        <v/>
      </c>
      <c r="E46" s="136" t="n"/>
      <c r="F46" s="141" t="n"/>
      <c r="G46" s="133" t="n"/>
      <c r="H46" s="133" t="n"/>
      <c r="I46" s="141" t="n"/>
      <c r="J46" s="142" t="n"/>
      <c r="K46" s="141" t="n"/>
      <c r="L46" s="142" t="n"/>
      <c r="M46" s="141" t="n"/>
      <c r="N46" s="126">
        <f>IF(NOT(E46=""),IFERROR(VLOOKUP(A46,Akseptkriterier!$C$33:$H$37,MATCH(B46,Akseptkriterier!$D$32:$H$32,0)+1,FALSE),""),"")</f>
        <v/>
      </c>
      <c r="O46" s="124" t="n"/>
      <c r="P46" s="144" t="n"/>
      <c r="Q46" s="145" t="n"/>
      <c r="R46" s="145" t="n"/>
      <c r="S46" s="98">
        <f>IFERROR(VLOOKUP(C46,Akseptkriterier!$C$33:$H$37,MATCH(D46,Akseptkriterier!$D$32:$H$32,0)+1,FALSE),"")</f>
        <v/>
      </c>
    </row>
    <row r="47" ht="21" customHeight="1">
      <c r="A47" s="93">
        <f>IFERROR(VLOOKUP('Risikoanalyse'!L47,Akseptkriterier!$D$4:$E$8,2,FALSE),0)</f>
        <v/>
      </c>
      <c r="B47" s="93">
        <f>IFERROR(VLOOKUP('Risikoanalyse'!J47,Akseptkriterier!$F$4:$G$8,2,FALSE),0)</f>
        <v/>
      </c>
      <c r="C47" s="94">
        <f>IFERROR(VLOOKUP('Risikoanalyse'!R47,Akseptkriterier!$D$4:$E$8,2,FALSE),0)</f>
        <v/>
      </c>
      <c r="D47" s="93">
        <f>IFERROR(VLOOKUP('Risikoanalyse'!Q47,Akseptkriterier!$F$4:$G$8,2,FALSE),0)</f>
        <v/>
      </c>
      <c r="E47" s="121" t="n"/>
      <c r="F47" s="104" t="n"/>
      <c r="G47" s="100" t="n"/>
      <c r="H47" s="100" t="n"/>
      <c r="I47" s="104" t="n"/>
      <c r="J47" s="118" t="n"/>
      <c r="K47" s="104" t="n"/>
      <c r="L47" s="118" t="n"/>
      <c r="M47" s="104" t="n"/>
      <c r="N47" s="126">
        <f>IF(NOT(E47=""),IFERROR(VLOOKUP(A47,Akseptkriterier!$C$33:$H$37,MATCH(B47,Akseptkriterier!$D$32:$H$32,0)+1,FALSE),""),"")</f>
        <v/>
      </c>
      <c r="O47" s="124" t="n"/>
      <c r="P47" s="70" t="n"/>
      <c r="Q47" s="129" t="n"/>
      <c r="R47" s="129" t="n"/>
      <c r="S47" s="98">
        <f>IFERROR(VLOOKUP(C47,Akseptkriterier!$C$33:$H$37,MATCH(D47,Akseptkriterier!$D$32:$H$32,0)+1,FALSE),"")</f>
        <v/>
      </c>
    </row>
    <row r="48" ht="21" customHeight="1">
      <c r="A48" s="93">
        <f>IFERROR(VLOOKUP('Risikoanalyse'!L48,Akseptkriterier!$D$4:$E$8,2,FALSE),0)</f>
        <v/>
      </c>
      <c r="B48" s="93">
        <f>IFERROR(VLOOKUP('Risikoanalyse'!J48,Akseptkriterier!$F$4:$G$8,2,FALSE),0)</f>
        <v/>
      </c>
      <c r="C48" s="94">
        <f>IFERROR(VLOOKUP('Risikoanalyse'!R48,Akseptkriterier!$D$4:$E$8,2,FALSE),0)</f>
        <v/>
      </c>
      <c r="D48" s="93">
        <f>IFERROR(VLOOKUP('Risikoanalyse'!Q48,Akseptkriterier!$F$4:$G$8,2,FALSE),0)</f>
        <v/>
      </c>
      <c r="E48" s="136" t="n"/>
      <c r="F48" s="141" t="n"/>
      <c r="G48" s="133" t="n"/>
      <c r="H48" s="133" t="n"/>
      <c r="I48" s="141" t="n"/>
      <c r="J48" s="142" t="n"/>
      <c r="K48" s="141" t="n"/>
      <c r="L48" s="142" t="n"/>
      <c r="M48" s="141" t="n"/>
      <c r="N48" s="126">
        <f>IF(NOT(E48=""),IFERROR(VLOOKUP(A48,Akseptkriterier!$C$33:$H$37,MATCH(B48,Akseptkriterier!$D$32:$H$32,0)+1,FALSE),""),"")</f>
        <v/>
      </c>
      <c r="O48" s="124" t="n"/>
      <c r="P48" s="144" t="n"/>
      <c r="Q48" s="145" t="n"/>
      <c r="R48" s="145" t="n"/>
      <c r="S48" s="98">
        <f>IFERROR(VLOOKUP(C48,Akseptkriterier!$C$33:$H$37,MATCH(D48,Akseptkriterier!$D$32:$H$32,0)+1,FALSE),"")</f>
        <v/>
      </c>
    </row>
    <row r="49" ht="21" customHeight="1">
      <c r="A49" s="93">
        <f>IFERROR(VLOOKUP('Risikoanalyse'!L49,Akseptkriterier!$D$4:$E$8,2,FALSE),0)</f>
        <v/>
      </c>
      <c r="B49" s="93">
        <f>IFERROR(VLOOKUP('Risikoanalyse'!J49,Akseptkriterier!$F$4:$G$8,2,FALSE),0)</f>
        <v/>
      </c>
      <c r="C49" s="94">
        <f>IFERROR(VLOOKUP('Risikoanalyse'!R49,Akseptkriterier!$D$4:$E$8,2,FALSE),0)</f>
        <v/>
      </c>
      <c r="D49" s="93">
        <f>IFERROR(VLOOKUP('Risikoanalyse'!Q49,Akseptkriterier!$F$4:$G$8,2,FALSE),0)</f>
        <v/>
      </c>
      <c r="E49" s="121" t="n"/>
      <c r="F49" s="104" t="n"/>
      <c r="G49" s="100" t="n"/>
      <c r="H49" s="100" t="n"/>
      <c r="I49" s="104" t="n"/>
      <c r="J49" s="118" t="n"/>
      <c r="K49" s="104" t="n"/>
      <c r="L49" s="118" t="n"/>
      <c r="M49" s="104" t="n"/>
      <c r="N49" s="97">
        <f>IF(NOT(E49=""),IFERROR(VLOOKUP(A49,Akseptkriterier!$C$33:$H$37,MATCH(B49,Akseptkriterier!$D$32:$H$32,0)+1,FALSE),""),"")</f>
        <v/>
      </c>
      <c r="O49" s="124" t="n"/>
      <c r="P49" s="70" t="n"/>
      <c r="Q49" s="129" t="n"/>
      <c r="R49" s="129" t="n"/>
      <c r="S49" s="98">
        <f>IFERROR(VLOOKUP(C49,Akseptkriterier!$C$33:$H$37,MATCH(D49,Akseptkriterier!$D$32:$H$32,0)+1,FALSE),"")</f>
        <v/>
      </c>
    </row>
    <row r="50" ht="21" customHeight="1">
      <c r="A50" s="93">
        <f>IFERROR(VLOOKUP('Risikoanalyse'!L50,Akseptkriterier!$D$4:$E$8,2,FALSE),0)</f>
        <v/>
      </c>
      <c r="B50" s="93">
        <f>IFERROR(VLOOKUP('Risikoanalyse'!J50,Akseptkriterier!$F$4:$G$8,2,FALSE),0)</f>
        <v/>
      </c>
      <c r="C50" s="94">
        <f>IFERROR(VLOOKUP('Risikoanalyse'!R50,Akseptkriterier!$D$4:$E$8,2,FALSE),0)</f>
        <v/>
      </c>
      <c r="D50" s="93">
        <f>IFERROR(VLOOKUP('Risikoanalyse'!Q50,Akseptkriterier!$F$4:$G$8,2,FALSE),0)</f>
        <v/>
      </c>
      <c r="E50" s="136" t="n"/>
      <c r="F50" s="141" t="n"/>
      <c r="G50" s="133" t="n"/>
      <c r="H50" s="133" t="n"/>
      <c r="I50" s="141" t="n"/>
      <c r="J50" s="142" t="n"/>
      <c r="K50" s="141" t="n"/>
      <c r="L50" s="142" t="n"/>
      <c r="M50" s="141" t="n"/>
      <c r="N50" s="97">
        <f>IF(NOT(E50=""),IFERROR(VLOOKUP(A50,Akseptkriterier!$C$33:$H$37,MATCH(B50,Akseptkriterier!$D$32:$H$32,0)+1,FALSE),""),"")</f>
        <v/>
      </c>
      <c r="O50" s="124" t="n"/>
      <c r="P50" s="144" t="n"/>
      <c r="Q50" s="145" t="n"/>
      <c r="R50" s="145" t="n"/>
      <c r="S50" s="98">
        <f>IFERROR(VLOOKUP(C50,Akseptkriterier!$C$33:$H$37,MATCH(D50,Akseptkriterier!$D$32:$H$32,0)+1,FALSE),"")</f>
        <v/>
      </c>
    </row>
    <row r="51" ht="21" customHeight="1">
      <c r="A51" s="93">
        <f>IFERROR(VLOOKUP('Risikoanalyse'!L51,Akseptkriterier!$D$4:$E$8,2,FALSE),0)</f>
        <v/>
      </c>
      <c r="B51" s="93">
        <f>IFERROR(VLOOKUP('Risikoanalyse'!J51,Akseptkriterier!$F$4:$G$8,2,FALSE),0)</f>
        <v/>
      </c>
      <c r="C51" s="94">
        <f>IFERROR(VLOOKUP('Risikoanalyse'!R51,Akseptkriterier!$D$4:$E$8,2,FALSE),0)</f>
        <v/>
      </c>
      <c r="D51" s="93">
        <f>IFERROR(VLOOKUP('Risikoanalyse'!Q51,Akseptkriterier!$F$4:$G$8,2,FALSE),0)</f>
        <v/>
      </c>
      <c r="E51" s="121" t="n"/>
      <c r="F51" s="104" t="n"/>
      <c r="G51" s="100" t="n"/>
      <c r="H51" s="100" t="n"/>
      <c r="I51" s="104" t="n"/>
      <c r="J51" s="118" t="n"/>
      <c r="K51" s="104" t="n"/>
      <c r="L51" s="118" t="n"/>
      <c r="M51" s="104" t="n"/>
      <c r="N51" s="97">
        <f>IF(NOT(E51=""),IFERROR(VLOOKUP(A51,Akseptkriterier!$C$33:$H$37,MATCH(B51,Akseptkriterier!$D$32:$H$32,0)+1,FALSE),""),"")</f>
        <v/>
      </c>
      <c r="O51" s="124" t="n"/>
      <c r="P51" s="70" t="n"/>
      <c r="Q51" s="129" t="n"/>
      <c r="R51" s="129" t="n"/>
      <c r="S51" s="98">
        <f>IFERROR(VLOOKUP(C51,Akseptkriterier!$C$33:$H$37,MATCH(D51,Akseptkriterier!$D$32:$H$32,0)+1,FALSE),"")</f>
        <v/>
      </c>
    </row>
    <row r="52" ht="21" customHeight="1">
      <c r="A52" s="93">
        <f>IFERROR(VLOOKUP('Risikoanalyse'!L52,Akseptkriterier!$D$4:$E$8,2,FALSE),0)</f>
        <v/>
      </c>
      <c r="B52" s="93">
        <f>IFERROR(VLOOKUP('Risikoanalyse'!J52,Akseptkriterier!$F$4:$G$8,2,FALSE),0)</f>
        <v/>
      </c>
      <c r="C52" s="94">
        <f>IFERROR(VLOOKUP('Risikoanalyse'!R52,Akseptkriterier!$D$4:$E$8,2,FALSE),0)</f>
        <v/>
      </c>
      <c r="D52" s="93">
        <f>IFERROR(VLOOKUP('Risikoanalyse'!Q52,Akseptkriterier!$F$4:$G$8,2,FALSE),0)</f>
        <v/>
      </c>
      <c r="E52" s="136" t="n"/>
      <c r="F52" s="141" t="n"/>
      <c r="G52" s="133" t="n"/>
      <c r="H52" s="133" t="n"/>
      <c r="I52" s="141" t="n"/>
      <c r="J52" s="142" t="n"/>
      <c r="K52" s="141" t="n"/>
      <c r="L52" s="142" t="n"/>
      <c r="M52" s="141" t="n"/>
      <c r="N52" s="97">
        <f>IF(NOT(E52=""),IFERROR(VLOOKUP(A52,Akseptkriterier!$C$33:$H$37,MATCH(B52,Akseptkriterier!$D$32:$H$32,0)+1,FALSE),""),"")</f>
        <v/>
      </c>
      <c r="O52" s="124" t="n"/>
      <c r="P52" s="144" t="n"/>
      <c r="Q52" s="145" t="n"/>
      <c r="R52" s="145" t="n"/>
      <c r="S52" s="98">
        <f>IFERROR(VLOOKUP(C52,Akseptkriterier!$C$33:$H$37,MATCH(D52,Akseptkriterier!$D$32:$H$32,0)+1,FALSE),"")</f>
        <v/>
      </c>
    </row>
    <row r="53" ht="21" customHeight="1">
      <c r="A53" s="93">
        <f>IFERROR(VLOOKUP('Risikoanalyse'!L53,Akseptkriterier!$D$4:$E$8,2,FALSE),0)</f>
        <v/>
      </c>
      <c r="B53" s="93">
        <f>IFERROR(VLOOKUP('Risikoanalyse'!J53,Akseptkriterier!$F$4:$G$8,2,FALSE),0)</f>
        <v/>
      </c>
      <c r="C53" s="94">
        <f>IFERROR(VLOOKUP('Risikoanalyse'!R53,Akseptkriterier!$D$4:$E$8,2,FALSE),0)</f>
        <v/>
      </c>
      <c r="D53" s="93">
        <f>IFERROR(VLOOKUP('Risikoanalyse'!Q53,Akseptkriterier!$F$4:$G$8,2,FALSE),0)</f>
        <v/>
      </c>
      <c r="E53" s="121" t="n"/>
      <c r="F53" s="104" t="n"/>
      <c r="G53" s="100" t="n"/>
      <c r="H53" s="100" t="n"/>
      <c r="I53" s="104" t="n"/>
      <c r="J53" s="118" t="n"/>
      <c r="K53" s="104" t="n"/>
      <c r="L53" s="118" t="n"/>
      <c r="M53" s="104" t="n"/>
      <c r="N53" s="97">
        <f>IF(NOT(E53=""),IFERROR(VLOOKUP(A53,Akseptkriterier!$C$33:$H$37,MATCH(B53,Akseptkriterier!$D$32:$H$32,0)+1,FALSE),""),"")</f>
        <v/>
      </c>
      <c r="O53" s="124" t="n"/>
      <c r="P53" s="70" t="n"/>
      <c r="Q53" s="129" t="n"/>
      <c r="R53" s="129" t="n"/>
      <c r="S53" s="98">
        <f>IFERROR(VLOOKUP(C53,Akseptkriterier!$C$33:$H$37,MATCH(D53,Akseptkriterier!$D$32:$H$32,0)+1,FALSE),"")</f>
        <v/>
      </c>
    </row>
    <row r="54" ht="21" customHeight="1">
      <c r="A54" s="93">
        <f>IFERROR(VLOOKUP('Risikoanalyse'!L54,Akseptkriterier!$D$4:$E$8,2,FALSE),0)</f>
        <v/>
      </c>
      <c r="B54" s="93">
        <f>IFERROR(VLOOKUP('Risikoanalyse'!J54,Akseptkriterier!$F$4:$G$8,2,FALSE),0)</f>
        <v/>
      </c>
      <c r="C54" s="94">
        <f>IFERROR(VLOOKUP('Risikoanalyse'!R54,Akseptkriterier!$D$4:$E$8,2,FALSE),0)</f>
        <v/>
      </c>
      <c r="D54" s="93">
        <f>IFERROR(VLOOKUP('Risikoanalyse'!Q54,Akseptkriterier!$F$4:$G$8,2,FALSE),0)</f>
        <v/>
      </c>
      <c r="E54" s="136" t="n"/>
      <c r="F54" s="141" t="n"/>
      <c r="G54" s="133" t="n"/>
      <c r="H54" s="133" t="n"/>
      <c r="I54" s="141" t="n"/>
      <c r="J54" s="142" t="n"/>
      <c r="K54" s="141" t="n"/>
      <c r="L54" s="142" t="n"/>
      <c r="M54" s="141" t="n"/>
      <c r="N54" s="97">
        <f>IF(NOT(E54=""),IFERROR(VLOOKUP(A54,Akseptkriterier!$C$33:$H$37,MATCH(B54,Akseptkriterier!$D$32:$H$32,0)+1,FALSE),""),"")</f>
        <v/>
      </c>
      <c r="O54" s="124" t="n"/>
      <c r="P54" s="144" t="n"/>
      <c r="Q54" s="145" t="n"/>
      <c r="R54" s="145" t="n"/>
      <c r="S54" s="98">
        <f>IFERROR(VLOOKUP(C54,Akseptkriterier!$C$33:$H$37,MATCH(D54,Akseptkriterier!$D$32:$H$32,0)+1,FALSE),"")</f>
        <v/>
      </c>
    </row>
    <row r="55" ht="21" customHeight="1">
      <c r="A55" s="93">
        <f>IFERROR(VLOOKUP('Risikoanalyse'!L55,Akseptkriterier!$D$4:$E$8,2,FALSE),0)</f>
        <v/>
      </c>
      <c r="B55" s="93">
        <f>IFERROR(VLOOKUP('Risikoanalyse'!J55,Akseptkriterier!$F$4:$G$8,2,FALSE),0)</f>
        <v/>
      </c>
      <c r="C55" s="94">
        <f>IFERROR(VLOOKUP('Risikoanalyse'!R55,Akseptkriterier!$D$4:$E$8,2,FALSE),0)</f>
        <v/>
      </c>
      <c r="D55" s="93">
        <f>IFERROR(VLOOKUP('Risikoanalyse'!Q55,Akseptkriterier!$F$4:$G$8,2,FALSE),0)</f>
        <v/>
      </c>
      <c r="E55" s="121" t="n"/>
      <c r="F55" s="104" t="n"/>
      <c r="G55" s="100" t="n"/>
      <c r="H55" s="100" t="n"/>
      <c r="I55" s="104" t="n"/>
      <c r="J55" s="118" t="n"/>
      <c r="K55" s="104" t="n"/>
      <c r="L55" s="118" t="n"/>
      <c r="M55" s="104" t="n"/>
      <c r="N55" s="97">
        <f>IF(NOT(E55=""),IFERROR(VLOOKUP(A55,Akseptkriterier!$C$33:$H$37,MATCH(B55,Akseptkriterier!$D$32:$H$32,0)+1,FALSE),""),"")</f>
        <v/>
      </c>
      <c r="O55" s="124" t="n"/>
      <c r="P55" s="70" t="n"/>
      <c r="Q55" s="129" t="n"/>
      <c r="R55" s="129" t="n"/>
      <c r="S55" s="98">
        <f>IFERROR(VLOOKUP(C55,Akseptkriterier!$C$33:$H$37,MATCH(D55,Akseptkriterier!$D$32:$H$32,0)+1,FALSE),"")</f>
        <v/>
      </c>
    </row>
    <row r="56" ht="21" customHeight="1">
      <c r="A56" s="93">
        <f>IFERROR(VLOOKUP('Risikoanalyse'!L56,Akseptkriterier!$D$4:$E$8,2,FALSE),0)</f>
        <v/>
      </c>
      <c r="B56" s="93">
        <f>IFERROR(VLOOKUP('Risikoanalyse'!J56,Akseptkriterier!$F$4:$G$8,2,FALSE),0)</f>
        <v/>
      </c>
      <c r="C56" s="94">
        <f>IFERROR(VLOOKUP('Risikoanalyse'!R56,Akseptkriterier!$D$4:$E$8,2,FALSE),0)</f>
        <v/>
      </c>
      <c r="D56" s="93">
        <f>IFERROR(VLOOKUP('Risikoanalyse'!Q56,Akseptkriterier!$F$4:$G$8,2,FALSE),0)</f>
        <v/>
      </c>
      <c r="E56" s="136" t="n"/>
      <c r="F56" s="141" t="n"/>
      <c r="G56" s="133" t="n"/>
      <c r="H56" s="133" t="n"/>
      <c r="I56" s="141" t="n"/>
      <c r="J56" s="142" t="n"/>
      <c r="K56" s="141" t="n"/>
      <c r="L56" s="142" t="n"/>
      <c r="M56" s="141" t="n"/>
      <c r="N56" s="97">
        <f>IF(NOT(E56=""),IFERROR(VLOOKUP(A56,Akseptkriterier!$C$33:$H$37,MATCH(B56,Akseptkriterier!$D$32:$H$32,0)+1,FALSE),""),"")</f>
        <v/>
      </c>
      <c r="O56" s="124" t="n"/>
      <c r="P56" s="144" t="n"/>
      <c r="Q56" s="145" t="n"/>
      <c r="R56" s="145" t="n"/>
      <c r="S56" s="98">
        <f>IFERROR(VLOOKUP(C56,Akseptkriterier!$C$33:$H$37,MATCH(D56,Akseptkriterier!$D$32:$H$32,0)+1,FALSE),"")</f>
        <v/>
      </c>
    </row>
    <row r="57" ht="21" customHeight="1">
      <c r="A57" s="93">
        <f>IFERROR(VLOOKUP('Risikoanalyse'!L57,Akseptkriterier!$D$4:$E$8,2,FALSE),0)</f>
        <v/>
      </c>
      <c r="B57" s="93">
        <f>IFERROR(VLOOKUP('Risikoanalyse'!J57,Akseptkriterier!$F$4:$G$8,2,FALSE),0)</f>
        <v/>
      </c>
      <c r="C57" s="94">
        <f>IFERROR(VLOOKUP('Risikoanalyse'!R57,Akseptkriterier!$D$4:$E$8,2,FALSE),0)</f>
        <v/>
      </c>
      <c r="D57" s="93">
        <f>IFERROR(VLOOKUP('Risikoanalyse'!Q57,Akseptkriterier!$F$4:$G$8,2,FALSE),0)</f>
        <v/>
      </c>
      <c r="E57" s="121" t="n"/>
      <c r="F57" s="104" t="n"/>
      <c r="G57" s="100" t="n"/>
      <c r="H57" s="100" t="n"/>
      <c r="I57" s="104" t="n"/>
      <c r="J57" s="118" t="n"/>
      <c r="K57" s="104" t="n"/>
      <c r="L57" s="118" t="n"/>
      <c r="M57" s="104" t="n"/>
      <c r="N57" s="97">
        <f>IF(NOT(E57=""),IFERROR(VLOOKUP(A57,Akseptkriterier!$C$33:$H$37,MATCH(B57,Akseptkriterier!$D$32:$H$32,0)+1,FALSE),""),"")</f>
        <v/>
      </c>
      <c r="O57" s="124" t="n"/>
      <c r="P57" s="70" t="n"/>
      <c r="Q57" s="129" t="n"/>
      <c r="R57" s="129" t="n"/>
      <c r="S57" s="98">
        <f>IFERROR(VLOOKUP(C57,Akseptkriterier!$C$33:$H$37,MATCH(D57,Akseptkriterier!$D$32:$H$32,0)+1,FALSE),"")</f>
        <v/>
      </c>
    </row>
    <row r="58" ht="21" customHeight="1">
      <c r="A58" s="93">
        <f>IFERROR(VLOOKUP('Risikoanalyse'!L58,Akseptkriterier!$D$4:$E$8,2,FALSE),0)</f>
        <v/>
      </c>
      <c r="B58" s="93">
        <f>IFERROR(VLOOKUP('Risikoanalyse'!J58,Akseptkriterier!$F$4:$G$8,2,FALSE),0)</f>
        <v/>
      </c>
      <c r="C58" s="94">
        <f>IFERROR(VLOOKUP('Risikoanalyse'!R58,Akseptkriterier!$D$4:$E$8,2,FALSE),0)</f>
        <v/>
      </c>
      <c r="D58" s="93">
        <f>IFERROR(VLOOKUP('Risikoanalyse'!Q58,Akseptkriterier!$F$4:$G$8,2,FALSE),0)</f>
        <v/>
      </c>
      <c r="E58" s="136" t="n"/>
      <c r="F58" s="141" t="n"/>
      <c r="G58" s="133" t="n"/>
      <c r="H58" s="133" t="n"/>
      <c r="I58" s="141" t="n"/>
      <c r="J58" s="142" t="n"/>
      <c r="K58" s="141" t="n"/>
      <c r="L58" s="142" t="n"/>
      <c r="M58" s="141" t="n"/>
      <c r="N58" s="97">
        <f>IF(NOT(E58=""),IFERROR(VLOOKUP(A58,Akseptkriterier!$C$33:$H$37,MATCH(B58,Akseptkriterier!$D$32:$H$32,0)+1,FALSE),""),"")</f>
        <v/>
      </c>
      <c r="O58" s="124" t="n"/>
      <c r="P58" s="144" t="n"/>
      <c r="Q58" s="145" t="n"/>
      <c r="R58" s="145" t="n"/>
      <c r="S58" s="98">
        <f>IFERROR(VLOOKUP(C58,Akseptkriterier!$C$33:$H$37,MATCH(D58,Akseptkriterier!$D$32:$H$32,0)+1,FALSE),"")</f>
        <v/>
      </c>
    </row>
    <row r="59" ht="21" customHeight="1">
      <c r="A59" s="93">
        <f>IFERROR(VLOOKUP('Risikoanalyse'!L59,Akseptkriterier!$D$4:$E$8,2,FALSE),0)</f>
        <v/>
      </c>
      <c r="B59" s="93">
        <f>IFERROR(VLOOKUP('Risikoanalyse'!J59,Akseptkriterier!$F$4:$G$8,2,FALSE),0)</f>
        <v/>
      </c>
      <c r="C59" s="94">
        <f>IFERROR(VLOOKUP('Risikoanalyse'!R59,Akseptkriterier!$D$4:$E$8,2,FALSE),0)</f>
        <v/>
      </c>
      <c r="D59" s="93">
        <f>IFERROR(VLOOKUP('Risikoanalyse'!Q59,Akseptkriterier!$F$4:$G$8,2,FALSE),0)</f>
        <v/>
      </c>
      <c r="E59" s="121" t="n"/>
      <c r="F59" s="104" t="n"/>
      <c r="G59" s="100" t="n"/>
      <c r="H59" s="100" t="n"/>
      <c r="I59" s="104" t="n"/>
      <c r="J59" s="118" t="n"/>
      <c r="K59" s="104" t="n"/>
      <c r="L59" s="118" t="n"/>
      <c r="M59" s="104" t="n"/>
      <c r="N59" s="97">
        <f>IF(NOT(E59=""),IFERROR(VLOOKUP(A59,Akseptkriterier!$C$33:$H$37,MATCH(B59,Akseptkriterier!$D$32:$H$32,0)+1,FALSE),""),"")</f>
        <v/>
      </c>
      <c r="O59" s="124" t="n"/>
      <c r="P59" s="70" t="n"/>
      <c r="Q59" s="129" t="n"/>
      <c r="R59" s="129" t="n"/>
      <c r="S59" s="98">
        <f>IFERROR(VLOOKUP(C59,Akseptkriterier!$C$33:$H$37,MATCH(D59,Akseptkriterier!$D$32:$H$32,0)+1,FALSE),"")</f>
        <v/>
      </c>
    </row>
    <row r="60" ht="21" customHeight="1">
      <c r="A60" s="93">
        <f>IFERROR(VLOOKUP('Risikoanalyse'!L60,Akseptkriterier!$D$4:$E$8,2,FALSE),0)</f>
        <v/>
      </c>
      <c r="B60" s="93">
        <f>IFERROR(VLOOKUP('Risikoanalyse'!J60,Akseptkriterier!$F$4:$G$8,2,FALSE),0)</f>
        <v/>
      </c>
      <c r="C60" s="94">
        <f>IFERROR(VLOOKUP('Risikoanalyse'!R60,Akseptkriterier!$D$4:$E$8,2,FALSE),0)</f>
        <v/>
      </c>
      <c r="D60" s="93">
        <f>IFERROR(VLOOKUP('Risikoanalyse'!Q60,Akseptkriterier!$F$4:$G$8,2,FALSE),0)</f>
        <v/>
      </c>
      <c r="E60" s="136" t="n"/>
      <c r="F60" s="141" t="n"/>
      <c r="G60" s="133" t="n"/>
      <c r="H60" s="133" t="n"/>
      <c r="I60" s="141" t="n"/>
      <c r="J60" s="142" t="n"/>
      <c r="K60" s="141" t="n"/>
      <c r="L60" s="142" t="n"/>
      <c r="M60" s="141" t="n"/>
      <c r="N60" s="97">
        <f>IF(NOT(E60=""),IFERROR(VLOOKUP(A60,Akseptkriterier!$C$33:$H$37,MATCH(B60,Akseptkriterier!$D$32:$H$32,0)+1,FALSE),""),"")</f>
        <v/>
      </c>
      <c r="O60" s="124" t="n"/>
      <c r="P60" s="144" t="n"/>
      <c r="Q60" s="145" t="n"/>
      <c r="R60" s="145" t="n"/>
      <c r="S60" s="98">
        <f>IFERROR(VLOOKUP(C60,Akseptkriterier!$C$33:$H$37,MATCH(D60,Akseptkriterier!$D$32:$H$32,0)+1,FALSE),"")</f>
        <v/>
      </c>
    </row>
    <row r="61" ht="21" customHeight="1">
      <c r="A61" s="93">
        <f>IFERROR(VLOOKUP('Risikoanalyse'!L61,Akseptkriterier!$D$4:$E$8,2,FALSE),0)</f>
        <v/>
      </c>
      <c r="B61" s="93">
        <f>IFERROR(VLOOKUP('Risikoanalyse'!J61,Akseptkriterier!$F$4:$G$8,2,FALSE),0)</f>
        <v/>
      </c>
      <c r="C61" s="94">
        <f>IFERROR(VLOOKUP('Risikoanalyse'!R61,Akseptkriterier!$D$4:$E$8,2,FALSE),0)</f>
        <v/>
      </c>
      <c r="D61" s="93">
        <f>IFERROR(VLOOKUP('Risikoanalyse'!Q61,Akseptkriterier!$F$4:$G$8,2,FALSE),0)</f>
        <v/>
      </c>
      <c r="E61" s="121" t="n"/>
      <c r="F61" s="104" t="n"/>
      <c r="G61" s="100" t="n"/>
      <c r="H61" s="100" t="n"/>
      <c r="I61" s="104" t="n"/>
      <c r="J61" s="118" t="n"/>
      <c r="K61" s="104" t="n"/>
      <c r="L61" s="118" t="n"/>
      <c r="M61" s="104" t="n"/>
      <c r="N61" s="97">
        <f>IF(NOT(E61=""),IFERROR(VLOOKUP(A61,Akseptkriterier!$C$33:$H$37,MATCH(B61,Akseptkriterier!$D$32:$H$32,0)+1,FALSE),""),"")</f>
        <v/>
      </c>
      <c r="O61" s="124" t="n"/>
      <c r="P61" s="70" t="n"/>
      <c r="Q61" s="129" t="n"/>
      <c r="R61" s="129" t="n"/>
      <c r="S61" s="98">
        <f>IFERROR(VLOOKUP(C61,Akseptkriterier!$C$33:$H$37,MATCH(D61,Akseptkriterier!$D$32:$H$32,0)+1,FALSE),"")</f>
        <v/>
      </c>
    </row>
    <row r="62" ht="21" customHeight="1">
      <c r="A62" s="93">
        <f>IFERROR(VLOOKUP('Risikoanalyse'!L62,Akseptkriterier!$D$4:$E$8,2,FALSE),0)</f>
        <v/>
      </c>
      <c r="B62" s="93">
        <f>IFERROR(VLOOKUP('Risikoanalyse'!J62,Akseptkriterier!$F$4:$G$8,2,FALSE),0)</f>
        <v/>
      </c>
      <c r="C62" s="94">
        <f>IFERROR(VLOOKUP('Risikoanalyse'!R62,Akseptkriterier!$D$4:$E$8,2,FALSE),0)</f>
        <v/>
      </c>
      <c r="D62" s="93">
        <f>IFERROR(VLOOKUP('Risikoanalyse'!Q62,Akseptkriterier!$F$4:$G$8,2,FALSE),0)</f>
        <v/>
      </c>
      <c r="E62" s="136" t="n"/>
      <c r="F62" s="141" t="n"/>
      <c r="G62" s="133" t="n"/>
      <c r="H62" s="133" t="n"/>
      <c r="I62" s="141" t="n"/>
      <c r="J62" s="142" t="n"/>
      <c r="K62" s="141" t="n"/>
      <c r="L62" s="142" t="n"/>
      <c r="M62" s="141" t="n"/>
      <c r="N62" s="97">
        <f>IF(NOT(E62=""),IFERROR(VLOOKUP(A62,Akseptkriterier!$C$33:$H$37,MATCH(B62,Akseptkriterier!$D$32:$H$32,0)+1,FALSE),""),"")</f>
        <v/>
      </c>
      <c r="O62" s="124" t="n"/>
      <c r="P62" s="144" t="n"/>
      <c r="Q62" s="145" t="n"/>
      <c r="R62" s="145" t="n"/>
      <c r="S62" s="98">
        <f>IFERROR(VLOOKUP(C62,Akseptkriterier!$C$33:$H$37,MATCH(D62,Akseptkriterier!$D$32:$H$32,0)+1,FALSE),"")</f>
        <v/>
      </c>
    </row>
    <row r="63" ht="21" customHeight="1">
      <c r="A63" s="93">
        <f>IFERROR(VLOOKUP('Risikoanalyse'!L63,Akseptkriterier!$D$4:$E$8,2,FALSE),0)</f>
        <v/>
      </c>
      <c r="B63" s="93">
        <f>IFERROR(VLOOKUP('Risikoanalyse'!J63,Akseptkriterier!$F$4:$G$8,2,FALSE),0)</f>
        <v/>
      </c>
      <c r="C63" s="94">
        <f>IFERROR(VLOOKUP('Risikoanalyse'!R63,Akseptkriterier!$D$4:$E$8,2,FALSE),0)</f>
        <v/>
      </c>
      <c r="D63" s="93">
        <f>IFERROR(VLOOKUP('Risikoanalyse'!Q63,Akseptkriterier!$F$4:$G$8,2,FALSE),0)</f>
        <v/>
      </c>
      <c r="E63" s="121" t="n"/>
      <c r="F63" s="104" t="n"/>
      <c r="G63" s="100" t="n"/>
      <c r="H63" s="100" t="n"/>
      <c r="I63" s="104" t="n"/>
      <c r="J63" s="118" t="n"/>
      <c r="K63" s="104" t="n"/>
      <c r="L63" s="118" t="n"/>
      <c r="M63" s="104" t="n"/>
      <c r="N63" s="97">
        <f>IF(NOT(E63=""),IFERROR(VLOOKUP(A63,Akseptkriterier!$C$33:$H$37,MATCH(B63,Akseptkriterier!$D$32:$H$32,0)+1,FALSE),""),"")</f>
        <v/>
      </c>
      <c r="O63" s="124" t="n"/>
      <c r="P63" s="70" t="n"/>
      <c r="Q63" s="129" t="n"/>
      <c r="R63" s="129" t="n"/>
      <c r="S63" s="98">
        <f>IFERROR(VLOOKUP(C63,Akseptkriterier!$C$33:$H$37,MATCH(D63,Akseptkriterier!$D$32:$H$32,0)+1,FALSE),"")</f>
        <v/>
      </c>
    </row>
    <row r="64" ht="21" customHeight="1">
      <c r="A64" s="93">
        <f>IFERROR(VLOOKUP('Risikoanalyse'!L64,Akseptkriterier!$D$4:$E$8,2,FALSE),0)</f>
        <v/>
      </c>
      <c r="B64" s="93">
        <f>IFERROR(VLOOKUP('Risikoanalyse'!J64,Akseptkriterier!$F$4:$G$8,2,FALSE),0)</f>
        <v/>
      </c>
      <c r="C64" s="94">
        <f>IFERROR(VLOOKUP('Risikoanalyse'!R64,Akseptkriterier!$D$4:$E$8,2,FALSE),0)</f>
        <v/>
      </c>
      <c r="D64" s="93">
        <f>IFERROR(VLOOKUP('Risikoanalyse'!Q64,Akseptkriterier!$F$4:$G$8,2,FALSE),0)</f>
        <v/>
      </c>
      <c r="E64" s="136" t="n"/>
      <c r="F64" s="141" t="n"/>
      <c r="G64" s="133" t="n"/>
      <c r="H64" s="133" t="n"/>
      <c r="I64" s="141" t="n"/>
      <c r="J64" s="142" t="n"/>
      <c r="K64" s="141" t="n"/>
      <c r="L64" s="142" t="n"/>
      <c r="M64" s="141" t="n"/>
      <c r="N64" s="97">
        <f>IF(NOT(E64=""),IFERROR(VLOOKUP(A64,Akseptkriterier!$C$33:$H$37,MATCH(B64,Akseptkriterier!$D$32:$H$32,0)+1,FALSE),""),"")</f>
        <v/>
      </c>
      <c r="O64" s="124" t="n"/>
      <c r="P64" s="144" t="n"/>
      <c r="Q64" s="145" t="n"/>
      <c r="R64" s="145" t="n"/>
      <c r="S64" s="98">
        <f>IFERROR(VLOOKUP(C64,Akseptkriterier!$C$33:$H$37,MATCH(D64,Akseptkriterier!$D$32:$H$32,0)+1,FALSE),"")</f>
        <v/>
      </c>
    </row>
    <row r="65" ht="21" customHeight="1">
      <c r="A65" s="93">
        <f>IFERROR(VLOOKUP('Risikoanalyse'!L65,Akseptkriterier!$D$4:$E$8,2,FALSE),0)</f>
        <v/>
      </c>
      <c r="B65" s="93">
        <f>IFERROR(VLOOKUP('Risikoanalyse'!J65,Akseptkriterier!$F$4:$G$8,2,FALSE),0)</f>
        <v/>
      </c>
      <c r="C65" s="94">
        <f>IFERROR(VLOOKUP('Risikoanalyse'!R65,Akseptkriterier!$D$4:$E$8,2,FALSE),0)</f>
        <v/>
      </c>
      <c r="D65" s="93">
        <f>IFERROR(VLOOKUP('Risikoanalyse'!Q65,Akseptkriterier!$F$4:$G$8,2,FALSE),0)</f>
        <v/>
      </c>
      <c r="E65" s="121" t="n"/>
      <c r="F65" s="104" t="n"/>
      <c r="G65" s="100" t="n"/>
      <c r="H65" s="100" t="n"/>
      <c r="I65" s="104" t="n"/>
      <c r="J65" s="118" t="n"/>
      <c r="K65" s="104" t="n"/>
      <c r="L65" s="118" t="n"/>
      <c r="M65" s="104" t="n"/>
      <c r="N65" s="97">
        <f>IF(NOT(E65=""),IFERROR(VLOOKUP(A65,Akseptkriterier!$C$33:$H$37,MATCH(B65,Akseptkriterier!$D$32:$H$32,0)+1,FALSE),""),"")</f>
        <v/>
      </c>
      <c r="O65" s="124" t="n"/>
      <c r="P65" s="70" t="n"/>
      <c r="Q65" s="129" t="n"/>
      <c r="R65" s="129" t="n"/>
      <c r="S65" s="98">
        <f>IFERROR(VLOOKUP(C65,Akseptkriterier!$C$33:$H$37,MATCH(D65,Akseptkriterier!$D$32:$H$32,0)+1,FALSE),"")</f>
        <v/>
      </c>
    </row>
    <row r="66" ht="21" customHeight="1">
      <c r="A66" s="93">
        <f>IFERROR(VLOOKUP('Risikoanalyse'!L66,Akseptkriterier!$D$4:$E$8,2,FALSE),0)</f>
        <v/>
      </c>
      <c r="B66" s="93">
        <f>IFERROR(VLOOKUP('Risikoanalyse'!J66,Akseptkriterier!$F$4:$G$8,2,FALSE),0)</f>
        <v/>
      </c>
      <c r="C66" s="94">
        <f>IFERROR(VLOOKUP('Risikoanalyse'!R66,Akseptkriterier!$D$4:$E$8,2,FALSE),0)</f>
        <v/>
      </c>
      <c r="D66" s="93">
        <f>IFERROR(VLOOKUP('Risikoanalyse'!Q66,Akseptkriterier!$F$4:$G$8,2,FALSE),0)</f>
        <v/>
      </c>
      <c r="E66" s="136" t="n"/>
      <c r="F66" s="141" t="n"/>
      <c r="G66" s="133" t="n"/>
      <c r="H66" s="133" t="n"/>
      <c r="I66" s="141" t="n"/>
      <c r="J66" s="142" t="n"/>
      <c r="K66" s="141" t="n"/>
      <c r="L66" s="142" t="n"/>
      <c r="M66" s="141" t="n"/>
      <c r="N66" s="97">
        <f>IF(NOT(E66=""),IFERROR(VLOOKUP(A66,Akseptkriterier!$C$33:$H$37,MATCH(B66,Akseptkriterier!$D$32:$H$32,0)+1,FALSE),""),"")</f>
        <v/>
      </c>
      <c r="O66" s="124" t="n"/>
      <c r="P66" s="144" t="n"/>
      <c r="Q66" s="145" t="n"/>
      <c r="R66" s="145" t="n"/>
      <c r="S66" s="98">
        <f>IFERROR(VLOOKUP(C66,Akseptkriterier!$C$33:$H$37,MATCH(D66,Akseptkriterier!$D$32:$H$32,0)+1,FALSE),"")</f>
        <v/>
      </c>
    </row>
    <row r="67" ht="21" customHeight="1">
      <c r="A67" s="93">
        <f>IFERROR(VLOOKUP('Risikoanalyse'!L67,Akseptkriterier!$D$4:$E$8,2,FALSE),0)</f>
        <v/>
      </c>
      <c r="B67" s="93">
        <f>IFERROR(VLOOKUP('Risikoanalyse'!J67,Akseptkriterier!$F$4:$G$8,2,FALSE),0)</f>
        <v/>
      </c>
      <c r="C67" s="94">
        <f>IFERROR(VLOOKUP('Risikoanalyse'!R67,Akseptkriterier!$D$4:$E$8,2,FALSE),0)</f>
        <v/>
      </c>
      <c r="D67" s="93">
        <f>IFERROR(VLOOKUP('Risikoanalyse'!Q67,Akseptkriterier!$F$4:$G$8,2,FALSE),0)</f>
        <v/>
      </c>
      <c r="E67" s="121" t="n"/>
      <c r="F67" s="104" t="n"/>
      <c r="G67" s="100" t="n"/>
      <c r="H67" s="100" t="n"/>
      <c r="I67" s="104" t="n"/>
      <c r="J67" s="118" t="n"/>
      <c r="K67" s="104" t="n"/>
      <c r="L67" s="118" t="n"/>
      <c r="M67" s="104" t="n"/>
      <c r="N67" s="97">
        <f>IF(NOT(E67=""),IFERROR(VLOOKUP(A67,Akseptkriterier!$C$33:$H$37,MATCH(B67,Akseptkriterier!$D$32:$H$32,0)+1,FALSE),""),"")</f>
        <v/>
      </c>
      <c r="O67" s="124" t="n"/>
      <c r="P67" s="70" t="n"/>
      <c r="Q67" s="129" t="n"/>
      <c r="R67" s="129" t="n"/>
      <c r="S67" s="98">
        <f>IFERROR(VLOOKUP(C67,Akseptkriterier!$C$33:$H$37,MATCH(D67,Akseptkriterier!$D$32:$H$32,0)+1,FALSE),"")</f>
        <v/>
      </c>
    </row>
    <row r="68" ht="21" customHeight="1">
      <c r="A68" s="93">
        <f>IFERROR(VLOOKUP('Risikoanalyse'!L68,Akseptkriterier!$D$4:$E$8,2,FALSE),0)</f>
        <v/>
      </c>
      <c r="B68" s="93">
        <f>IFERROR(VLOOKUP('Risikoanalyse'!J68,Akseptkriterier!$F$4:$G$8,2,FALSE),0)</f>
        <v/>
      </c>
      <c r="C68" s="94">
        <f>IFERROR(VLOOKUP('Risikoanalyse'!R68,Akseptkriterier!$D$4:$E$8,2,FALSE),0)</f>
        <v/>
      </c>
      <c r="D68" s="93">
        <f>IFERROR(VLOOKUP('Risikoanalyse'!Q68,Akseptkriterier!$F$4:$G$8,2,FALSE),0)</f>
        <v/>
      </c>
      <c r="E68" s="136" t="n"/>
      <c r="F68" s="141" t="n"/>
      <c r="G68" s="133" t="n"/>
      <c r="H68" s="133" t="n"/>
      <c r="I68" s="141" t="n"/>
      <c r="J68" s="142" t="n"/>
      <c r="K68" s="141" t="n"/>
      <c r="L68" s="142" t="n"/>
      <c r="M68" s="141" t="n"/>
      <c r="N68" s="97">
        <f>IF(NOT(E68=""),IFERROR(VLOOKUP(A68,Akseptkriterier!$C$33:$H$37,MATCH(B68,Akseptkriterier!$D$32:$H$32,0)+1,FALSE),""),"")</f>
        <v/>
      </c>
      <c r="O68" s="124" t="n"/>
      <c r="P68" s="144" t="n"/>
      <c r="Q68" s="145" t="n"/>
      <c r="R68" s="145" t="n"/>
      <c r="S68" s="98">
        <f>IFERROR(VLOOKUP(C68,Akseptkriterier!$C$33:$H$37,MATCH(D68,Akseptkriterier!$D$32:$H$32,0)+1,FALSE),"")</f>
        <v/>
      </c>
    </row>
    <row r="69" ht="21" customHeight="1">
      <c r="A69" s="93">
        <f>IFERROR(VLOOKUP('Risikoanalyse'!L69,Akseptkriterier!$D$4:$E$8,2,FALSE),0)</f>
        <v/>
      </c>
      <c r="B69" s="93">
        <f>IFERROR(VLOOKUP('Risikoanalyse'!J69,Akseptkriterier!$F$4:$G$8,2,FALSE),0)</f>
        <v/>
      </c>
      <c r="C69" s="94">
        <f>IFERROR(VLOOKUP('Risikoanalyse'!R69,Akseptkriterier!$D$4:$E$8,2,FALSE),0)</f>
        <v/>
      </c>
      <c r="D69" s="93">
        <f>IFERROR(VLOOKUP('Risikoanalyse'!Q69,Akseptkriterier!$F$4:$G$8,2,FALSE),0)</f>
        <v/>
      </c>
      <c r="E69" s="121" t="n"/>
      <c r="F69" s="104" t="n"/>
      <c r="G69" s="100" t="n"/>
      <c r="H69" s="100" t="n"/>
      <c r="I69" s="104" t="n"/>
      <c r="J69" s="118" t="n"/>
      <c r="K69" s="104" t="n"/>
      <c r="L69" s="118" t="n"/>
      <c r="M69" s="104" t="n"/>
      <c r="N69" s="97">
        <f>IF(NOT(E69=""),IFERROR(VLOOKUP(A69,Akseptkriterier!$C$33:$H$37,MATCH(B69,Akseptkriterier!$D$32:$H$32,0)+1,FALSE),""),"")</f>
        <v/>
      </c>
      <c r="O69" s="124" t="n"/>
      <c r="P69" s="70" t="n"/>
      <c r="Q69" s="129" t="n"/>
      <c r="R69" s="129" t="n"/>
      <c r="S69" s="98">
        <f>IFERROR(VLOOKUP(C69,Akseptkriterier!$C$33:$H$37,MATCH(D69,Akseptkriterier!$D$32:$H$32,0)+1,FALSE),"")</f>
        <v/>
      </c>
    </row>
    <row r="70" ht="21" customHeight="1">
      <c r="A70" s="93">
        <f>IFERROR(VLOOKUP('Risikoanalyse'!L70,Akseptkriterier!$D$4:$E$8,2,FALSE),0)</f>
        <v/>
      </c>
      <c r="B70" s="93">
        <f>IFERROR(VLOOKUP('Risikoanalyse'!J70,Akseptkriterier!$F$4:$G$8,2,FALSE),0)</f>
        <v/>
      </c>
      <c r="C70" s="94">
        <f>IFERROR(VLOOKUP('Risikoanalyse'!R70,Akseptkriterier!$D$4:$E$8,2,FALSE),0)</f>
        <v/>
      </c>
      <c r="D70" s="93">
        <f>IFERROR(VLOOKUP('Risikoanalyse'!Q70,Akseptkriterier!$F$4:$G$8,2,FALSE),0)</f>
        <v/>
      </c>
      <c r="E70" s="136" t="n"/>
      <c r="F70" s="141" t="n"/>
      <c r="G70" s="133" t="n"/>
      <c r="H70" s="133" t="n"/>
      <c r="I70" s="141" t="n"/>
      <c r="J70" s="142" t="n"/>
      <c r="K70" s="141" t="n"/>
      <c r="L70" s="142" t="n"/>
      <c r="M70" s="141" t="n"/>
      <c r="N70" s="97">
        <f>IF(NOT(E70=""),IFERROR(VLOOKUP(A70,Akseptkriterier!$C$33:$H$37,MATCH(B70,Akseptkriterier!$D$32:$H$32,0)+1,FALSE),""),"")</f>
        <v/>
      </c>
      <c r="O70" s="124" t="n"/>
      <c r="P70" s="144" t="n"/>
      <c r="Q70" s="145" t="n"/>
      <c r="R70" s="145" t="n"/>
      <c r="S70" s="98">
        <f>IFERROR(VLOOKUP(C70,Akseptkriterier!$C$33:$H$37,MATCH(D70,Akseptkriterier!$D$32:$H$32,0)+1,FALSE),"")</f>
        <v/>
      </c>
    </row>
    <row r="71" ht="21" customHeight="1">
      <c r="A71" s="93">
        <f>IFERROR(VLOOKUP('Risikoanalyse'!L71,Akseptkriterier!$D$4:$E$8,2,FALSE),0)</f>
        <v/>
      </c>
      <c r="B71" s="93">
        <f>IFERROR(VLOOKUP('Risikoanalyse'!J71,Akseptkriterier!$F$4:$G$8,2,FALSE),0)</f>
        <v/>
      </c>
      <c r="C71" s="94">
        <f>IFERROR(VLOOKUP('Risikoanalyse'!R71,Akseptkriterier!$D$4:$E$8,2,FALSE),0)</f>
        <v/>
      </c>
      <c r="D71" s="93">
        <f>IFERROR(VLOOKUP('Risikoanalyse'!Q71,Akseptkriterier!$F$4:$G$8,2,FALSE),0)</f>
        <v/>
      </c>
      <c r="E71" s="121" t="n"/>
      <c r="F71" s="104" t="n"/>
      <c r="G71" s="100" t="n"/>
      <c r="H71" s="100" t="n"/>
      <c r="I71" s="104" t="n"/>
      <c r="J71" s="118" t="n"/>
      <c r="K71" s="104" t="n"/>
      <c r="L71" s="118" t="n"/>
      <c r="M71" s="104" t="n"/>
      <c r="N71" s="97">
        <f>IF(NOT(E71=""),IFERROR(VLOOKUP(A71,Akseptkriterier!$C$33:$H$37,MATCH(B71,Akseptkriterier!$D$32:$H$32,0)+1,FALSE),""),"")</f>
        <v/>
      </c>
      <c r="O71" s="124" t="n"/>
      <c r="P71" s="70" t="n"/>
      <c r="Q71" s="129" t="n"/>
      <c r="R71" s="129" t="n"/>
      <c r="S71" s="98">
        <f>IFERROR(VLOOKUP(C71,Akseptkriterier!$C$33:$H$37,MATCH(D71,Akseptkriterier!$D$32:$H$32,0)+1,FALSE),"")</f>
        <v/>
      </c>
    </row>
    <row r="72" ht="21" customHeight="1">
      <c r="A72" s="93">
        <f>IFERROR(VLOOKUP('Risikoanalyse'!L72,Akseptkriterier!$D$4:$E$8,2,FALSE),0)</f>
        <v/>
      </c>
      <c r="B72" s="93">
        <f>IFERROR(VLOOKUP('Risikoanalyse'!J72,Akseptkriterier!$F$4:$G$8,2,FALSE),0)</f>
        <v/>
      </c>
      <c r="C72" s="94">
        <f>IFERROR(VLOOKUP('Risikoanalyse'!R72,Akseptkriterier!$D$4:$E$8,2,FALSE),0)</f>
        <v/>
      </c>
      <c r="D72" s="93">
        <f>IFERROR(VLOOKUP('Risikoanalyse'!Q72,Akseptkriterier!$F$4:$G$8,2,FALSE),0)</f>
        <v/>
      </c>
      <c r="E72" s="136" t="n"/>
      <c r="F72" s="141" t="n"/>
      <c r="G72" s="133" t="n"/>
      <c r="H72" s="133" t="n"/>
      <c r="I72" s="141" t="n"/>
      <c r="J72" s="142" t="n"/>
      <c r="K72" s="141" t="n"/>
      <c r="L72" s="142" t="n"/>
      <c r="M72" s="141" t="n"/>
      <c r="N72" s="97">
        <f>IF(NOT(E72=""),IFERROR(VLOOKUP(A72,Akseptkriterier!$C$33:$H$37,MATCH(B72,Akseptkriterier!$D$32:$H$32,0)+1,FALSE),""),"")</f>
        <v/>
      </c>
      <c r="O72" s="124" t="n"/>
      <c r="P72" s="144" t="n"/>
      <c r="Q72" s="145" t="n"/>
      <c r="R72" s="145" t="n"/>
      <c r="S72" s="98">
        <f>IFERROR(VLOOKUP(C72,Akseptkriterier!$C$33:$H$37,MATCH(D72,Akseptkriterier!$D$32:$H$32,0)+1,FALSE),"")</f>
        <v/>
      </c>
    </row>
    <row r="73" ht="21" customHeight="1">
      <c r="A73" s="93">
        <f>IFERROR(VLOOKUP('Risikoanalyse'!L73,Akseptkriterier!$D$4:$E$8,2,FALSE),0)</f>
        <v/>
      </c>
      <c r="B73" s="93">
        <f>IFERROR(VLOOKUP('Risikoanalyse'!J73,Akseptkriterier!$F$4:$G$8,2,FALSE),0)</f>
        <v/>
      </c>
      <c r="C73" s="94">
        <f>IFERROR(VLOOKUP('Risikoanalyse'!R73,Akseptkriterier!$D$4:$E$8,2,FALSE),0)</f>
        <v/>
      </c>
      <c r="D73" s="93">
        <f>IFERROR(VLOOKUP('Risikoanalyse'!Q73,Akseptkriterier!$F$4:$G$8,2,FALSE),0)</f>
        <v/>
      </c>
      <c r="E73" s="121" t="n"/>
      <c r="F73" s="104" t="n"/>
      <c r="G73" s="100" t="n"/>
      <c r="H73" s="100" t="n"/>
      <c r="I73" s="104" t="n"/>
      <c r="J73" s="118" t="n"/>
      <c r="K73" s="104" t="n"/>
      <c r="L73" s="118" t="n"/>
      <c r="M73" s="104" t="n"/>
      <c r="N73" s="97">
        <f>IF(NOT(E73=""),IFERROR(VLOOKUP(A73,Akseptkriterier!$C$33:$H$37,MATCH(B73,Akseptkriterier!$D$32:$H$32,0)+1,FALSE),""),"")</f>
        <v/>
      </c>
      <c r="O73" s="124" t="n"/>
      <c r="P73" s="70" t="n"/>
      <c r="Q73" s="129" t="n"/>
      <c r="R73" s="129" t="n"/>
      <c r="S73" s="98">
        <f>IFERROR(VLOOKUP(C73,Akseptkriterier!$C$33:$H$37,MATCH(D73,Akseptkriterier!$D$32:$H$32,0)+1,FALSE),"")</f>
        <v/>
      </c>
    </row>
    <row r="74" ht="21" customHeight="1">
      <c r="A74" s="93">
        <f>IFERROR(VLOOKUP('Risikoanalyse'!L74,Akseptkriterier!$D$4:$E$8,2,FALSE),0)</f>
        <v/>
      </c>
      <c r="B74" s="93">
        <f>IFERROR(VLOOKUP('Risikoanalyse'!J74,Akseptkriterier!$F$4:$G$8,2,FALSE),0)</f>
        <v/>
      </c>
      <c r="C74" s="94">
        <f>IFERROR(VLOOKUP('Risikoanalyse'!R74,Akseptkriterier!$D$4:$E$8,2,FALSE),0)</f>
        <v/>
      </c>
      <c r="D74" s="93">
        <f>IFERROR(VLOOKUP('Risikoanalyse'!Q74,Akseptkriterier!$F$4:$G$8,2,FALSE),0)</f>
        <v/>
      </c>
      <c r="E74" s="136" t="n"/>
      <c r="F74" s="141" t="n"/>
      <c r="G74" s="133" t="n"/>
      <c r="H74" s="133" t="n"/>
      <c r="I74" s="141" t="n"/>
      <c r="J74" s="142" t="n"/>
      <c r="K74" s="141" t="n"/>
      <c r="L74" s="142" t="n"/>
      <c r="M74" s="141" t="n"/>
      <c r="N74" s="97">
        <f>IF(NOT(E74=""),IFERROR(VLOOKUP(A74,Akseptkriterier!$C$33:$H$37,MATCH(B74,Akseptkriterier!$D$32:$H$32,0)+1,FALSE),""),"")</f>
        <v/>
      </c>
      <c r="O74" s="124" t="n"/>
      <c r="P74" s="144" t="n"/>
      <c r="Q74" s="145" t="n"/>
      <c r="R74" s="145" t="n"/>
      <c r="S74" s="98">
        <f>IFERROR(VLOOKUP(C74,Akseptkriterier!$C$33:$H$37,MATCH(D74,Akseptkriterier!$D$32:$H$32,0)+1,FALSE),"")</f>
        <v/>
      </c>
    </row>
    <row r="75" ht="21" customHeight="1">
      <c r="A75" s="93">
        <f>IFERROR(VLOOKUP('Risikoanalyse'!L75,Akseptkriterier!$D$4:$E$8,2,FALSE),0)</f>
        <v/>
      </c>
      <c r="B75" s="93">
        <f>IFERROR(VLOOKUP('Risikoanalyse'!J75,Akseptkriterier!$F$4:$G$8,2,FALSE),0)</f>
        <v/>
      </c>
      <c r="C75" s="94">
        <f>IFERROR(VLOOKUP('Risikoanalyse'!R75,Akseptkriterier!$D$4:$E$8,2,FALSE),0)</f>
        <v/>
      </c>
      <c r="D75" s="93">
        <f>IFERROR(VLOOKUP('Risikoanalyse'!Q75,Akseptkriterier!$F$4:$G$8,2,FALSE),0)</f>
        <v/>
      </c>
      <c r="E75" s="121" t="n"/>
      <c r="F75" s="104" t="n"/>
      <c r="G75" s="100" t="n"/>
      <c r="H75" s="100" t="n"/>
      <c r="I75" s="104" t="n"/>
      <c r="J75" s="118" t="n"/>
      <c r="K75" s="104" t="n"/>
      <c r="L75" s="118" t="n"/>
      <c r="M75" s="104" t="n"/>
      <c r="N75" s="97">
        <f>IF(NOT(E75=""),IFERROR(VLOOKUP(A75,Akseptkriterier!$C$33:$H$37,MATCH(B75,Akseptkriterier!$D$32:$H$32,0)+1,FALSE),""),"")</f>
        <v/>
      </c>
      <c r="O75" s="124" t="n"/>
      <c r="P75" s="70" t="n"/>
      <c r="Q75" s="129" t="n"/>
      <c r="R75" s="129" t="n"/>
      <c r="S75" s="98">
        <f>IFERROR(VLOOKUP(C75,Akseptkriterier!$C$33:$H$37,MATCH(D75,Akseptkriterier!$D$32:$H$32,0)+1,FALSE),"")</f>
        <v/>
      </c>
    </row>
    <row r="76" ht="21" customHeight="1">
      <c r="A76" s="93">
        <f>IFERROR(VLOOKUP('Risikoanalyse'!L76,Akseptkriterier!$D$4:$E$8,2,FALSE),0)</f>
        <v/>
      </c>
      <c r="B76" s="93">
        <f>IFERROR(VLOOKUP('Risikoanalyse'!J76,Akseptkriterier!$F$4:$G$8,2,FALSE),0)</f>
        <v/>
      </c>
      <c r="C76" s="94">
        <f>IFERROR(VLOOKUP('Risikoanalyse'!R76,Akseptkriterier!$D$4:$E$8,2,FALSE),0)</f>
        <v/>
      </c>
      <c r="D76" s="93">
        <f>IFERROR(VLOOKUP('Risikoanalyse'!Q76,Akseptkriterier!$F$4:$G$8,2,FALSE),0)</f>
        <v/>
      </c>
      <c r="E76" s="136" t="n"/>
      <c r="F76" s="141" t="n"/>
      <c r="G76" s="133" t="n"/>
      <c r="H76" s="133" t="n"/>
      <c r="I76" s="141" t="n"/>
      <c r="J76" s="142" t="n"/>
      <c r="K76" s="141" t="n"/>
      <c r="L76" s="142" t="n"/>
      <c r="M76" s="141" t="n"/>
      <c r="N76" s="97">
        <f>IF(NOT(E76=""),IFERROR(VLOOKUP(A76,Akseptkriterier!$C$33:$H$37,MATCH(B76,Akseptkriterier!$D$32:$H$32,0)+1,FALSE),""),"")</f>
        <v/>
      </c>
      <c r="O76" s="124" t="n"/>
      <c r="P76" s="144" t="n"/>
      <c r="Q76" s="145" t="n"/>
      <c r="R76" s="145" t="n"/>
      <c r="S76" s="98">
        <f>IFERROR(VLOOKUP(C76,Akseptkriterier!$C$33:$H$37,MATCH(D76,Akseptkriterier!$D$32:$H$32,0)+1,FALSE),"")</f>
        <v/>
      </c>
    </row>
    <row r="77" ht="21" customHeight="1">
      <c r="A77" s="93">
        <f>IFERROR(VLOOKUP('Risikoanalyse'!L77,Akseptkriterier!$D$4:$E$8,2,FALSE),0)</f>
        <v/>
      </c>
      <c r="B77" s="93">
        <f>IFERROR(VLOOKUP('Risikoanalyse'!J77,Akseptkriterier!$F$4:$G$8,2,FALSE),0)</f>
        <v/>
      </c>
      <c r="C77" s="94">
        <f>IFERROR(VLOOKUP('Risikoanalyse'!R77,Akseptkriterier!$D$4:$E$8,2,FALSE),0)</f>
        <v/>
      </c>
      <c r="D77" s="93">
        <f>IFERROR(VLOOKUP('Risikoanalyse'!Q77,Akseptkriterier!$F$4:$G$8,2,FALSE),0)</f>
        <v/>
      </c>
      <c r="E77" s="121" t="n"/>
      <c r="F77" s="104" t="n"/>
      <c r="G77" s="100" t="n"/>
      <c r="H77" s="100" t="n"/>
      <c r="I77" s="104" t="n"/>
      <c r="J77" s="118" t="n"/>
      <c r="K77" s="104" t="n"/>
      <c r="L77" s="118" t="n"/>
      <c r="M77" s="104" t="n"/>
      <c r="N77" s="97">
        <f>IF(NOT(E77=""),IFERROR(VLOOKUP(A77,Akseptkriterier!$C$33:$H$37,MATCH(B77,Akseptkriterier!$D$32:$H$32,0)+1,FALSE),""),"")</f>
        <v/>
      </c>
      <c r="O77" s="124" t="n"/>
      <c r="P77" s="70" t="n"/>
      <c r="Q77" s="129" t="n"/>
      <c r="R77" s="129" t="n"/>
      <c r="S77" s="98">
        <f>IFERROR(VLOOKUP(C77,Akseptkriterier!$C$33:$H$37,MATCH(D77,Akseptkriterier!$D$32:$H$32,0)+1,FALSE),"")</f>
        <v/>
      </c>
    </row>
    <row r="78" ht="21" customHeight="1">
      <c r="A78" s="93">
        <f>IFERROR(VLOOKUP('Risikoanalyse'!L78,Akseptkriterier!$D$4:$E$8,2,FALSE),0)</f>
        <v/>
      </c>
      <c r="B78" s="93">
        <f>IFERROR(VLOOKUP('Risikoanalyse'!J78,Akseptkriterier!$F$4:$G$8,2,FALSE),0)</f>
        <v/>
      </c>
      <c r="C78" s="94">
        <f>IFERROR(VLOOKUP('Risikoanalyse'!R78,Akseptkriterier!$D$4:$E$8,2,FALSE),0)</f>
        <v/>
      </c>
      <c r="D78" s="93">
        <f>IFERROR(VLOOKUP('Risikoanalyse'!Q78,Akseptkriterier!$F$4:$G$8,2,FALSE),0)</f>
        <v/>
      </c>
      <c r="E78" s="136" t="n"/>
      <c r="F78" s="141" t="n"/>
      <c r="G78" s="133" t="n"/>
      <c r="H78" s="133" t="n"/>
      <c r="I78" s="141" t="n"/>
      <c r="J78" s="142" t="n"/>
      <c r="K78" s="141" t="n"/>
      <c r="L78" s="142" t="n"/>
      <c r="M78" s="141" t="n"/>
      <c r="N78" s="97">
        <f>IF(NOT(E78=""),IFERROR(VLOOKUP(A78,Akseptkriterier!$C$33:$H$37,MATCH(B78,Akseptkriterier!$D$32:$H$32,0)+1,FALSE),""),"")</f>
        <v/>
      </c>
      <c r="O78" s="124" t="n"/>
      <c r="P78" s="144" t="n"/>
      <c r="Q78" s="145" t="n"/>
      <c r="R78" s="145" t="n"/>
      <c r="S78" s="98">
        <f>IFERROR(VLOOKUP(C78,Akseptkriterier!$C$33:$H$37,MATCH(D78,Akseptkriterier!$D$32:$H$32,0)+1,FALSE),"")</f>
        <v/>
      </c>
    </row>
    <row r="79" ht="21" customHeight="1">
      <c r="A79" s="93">
        <f>IFERROR(VLOOKUP('Risikoanalyse'!L79,Akseptkriterier!$D$4:$E$8,2,FALSE),0)</f>
        <v/>
      </c>
      <c r="B79" s="93">
        <f>IFERROR(VLOOKUP('Risikoanalyse'!J79,Akseptkriterier!$F$4:$G$8,2,FALSE),0)</f>
        <v/>
      </c>
      <c r="C79" s="94">
        <f>IFERROR(VLOOKUP('Risikoanalyse'!R79,Akseptkriterier!$D$4:$E$8,2,FALSE),0)</f>
        <v/>
      </c>
      <c r="D79" s="93">
        <f>IFERROR(VLOOKUP('Risikoanalyse'!Q79,Akseptkriterier!$F$4:$G$8,2,FALSE),0)</f>
        <v/>
      </c>
      <c r="E79" s="121" t="n"/>
      <c r="F79" s="104" t="n"/>
      <c r="G79" s="100" t="n"/>
      <c r="H79" s="100" t="n"/>
      <c r="I79" s="104" t="n"/>
      <c r="J79" s="118" t="n"/>
      <c r="K79" s="104" t="n"/>
      <c r="L79" s="118" t="n"/>
      <c r="M79" s="104" t="n"/>
      <c r="N79" s="97">
        <f>IF(NOT(E79=""),IFERROR(VLOOKUP(A79,Akseptkriterier!$C$33:$H$37,MATCH(B79,Akseptkriterier!$D$32:$H$32,0)+1,FALSE),""),"")</f>
        <v/>
      </c>
      <c r="O79" s="124" t="n"/>
      <c r="P79" s="70" t="n"/>
      <c r="Q79" s="129" t="n"/>
      <c r="R79" s="129" t="n"/>
      <c r="S79" s="98">
        <f>IFERROR(VLOOKUP(C79,Akseptkriterier!$C$33:$H$37,MATCH(D79,Akseptkriterier!$D$32:$H$32,0)+1,FALSE),"")</f>
        <v/>
      </c>
    </row>
    <row r="80" ht="21" customHeight="1">
      <c r="A80" s="93">
        <f>IFERROR(VLOOKUP('Risikoanalyse'!L80,Akseptkriterier!$D$4:$E$8,2,FALSE),0)</f>
        <v/>
      </c>
      <c r="B80" s="93">
        <f>IFERROR(VLOOKUP('Risikoanalyse'!J80,Akseptkriterier!$F$4:$G$8,2,FALSE),0)</f>
        <v/>
      </c>
      <c r="C80" s="94">
        <f>IFERROR(VLOOKUP('Risikoanalyse'!R80,Akseptkriterier!$D$4:$E$8,2,FALSE),0)</f>
        <v/>
      </c>
      <c r="D80" s="93">
        <f>IFERROR(VLOOKUP('Risikoanalyse'!Q80,Akseptkriterier!$F$4:$G$8,2,FALSE),0)</f>
        <v/>
      </c>
      <c r="E80" s="136" t="n"/>
      <c r="F80" s="141" t="n"/>
      <c r="G80" s="133" t="n"/>
      <c r="H80" s="133" t="n"/>
      <c r="I80" s="141" t="n"/>
      <c r="J80" s="142" t="n"/>
      <c r="K80" s="141" t="n"/>
      <c r="L80" s="142" t="n"/>
      <c r="M80" s="141" t="n"/>
      <c r="N80" s="97">
        <f>IF(NOT(E80=""),IFERROR(VLOOKUP(A80,Akseptkriterier!$C$33:$H$37,MATCH(B80,Akseptkriterier!$D$32:$H$32,0)+1,FALSE),""),"")</f>
        <v/>
      </c>
      <c r="O80" s="124" t="n"/>
      <c r="P80" s="144" t="n"/>
      <c r="Q80" s="145" t="n"/>
      <c r="R80" s="145" t="n"/>
      <c r="S80" s="98">
        <f>IFERROR(VLOOKUP(C80,Akseptkriterier!$C$33:$H$37,MATCH(D80,Akseptkriterier!$D$32:$H$32,0)+1,FALSE),"")</f>
        <v/>
      </c>
    </row>
    <row r="81" ht="21" customHeight="1">
      <c r="A81" s="93">
        <f>IFERROR(VLOOKUP('Risikoanalyse'!L81,Akseptkriterier!$D$4:$E$8,2,FALSE),0)</f>
        <v/>
      </c>
      <c r="B81" s="93">
        <f>IFERROR(VLOOKUP('Risikoanalyse'!J81,Akseptkriterier!$F$4:$G$8,2,FALSE),0)</f>
        <v/>
      </c>
      <c r="C81" s="94">
        <f>IFERROR(VLOOKUP('Risikoanalyse'!R81,Akseptkriterier!$D$4:$E$8,2,FALSE),0)</f>
        <v/>
      </c>
      <c r="D81" s="93">
        <f>IFERROR(VLOOKUP('Risikoanalyse'!Q81,Akseptkriterier!$F$4:$G$8,2,FALSE),0)</f>
        <v/>
      </c>
      <c r="E81" s="121" t="n"/>
      <c r="F81" s="104" t="n"/>
      <c r="G81" s="100" t="n"/>
      <c r="H81" s="100" t="n"/>
      <c r="I81" s="104" t="n"/>
      <c r="J81" s="118" t="n"/>
      <c r="K81" s="104" t="n"/>
      <c r="L81" s="118" t="n"/>
      <c r="M81" s="104" t="n"/>
      <c r="N81" s="97">
        <f>IF(NOT(E81=""),IFERROR(VLOOKUP(A81,Akseptkriterier!$C$33:$H$37,MATCH(B81,Akseptkriterier!$D$32:$H$32,0)+1,FALSE),""),"")</f>
        <v/>
      </c>
      <c r="O81" s="124" t="n"/>
      <c r="P81" s="70" t="n"/>
      <c r="Q81" s="129" t="n"/>
      <c r="R81" s="129" t="n"/>
      <c r="S81" s="98">
        <f>IFERROR(VLOOKUP(C81,Akseptkriterier!$C$33:$H$37,MATCH(D81,Akseptkriterier!$D$32:$H$32,0)+1,FALSE),"")</f>
        <v/>
      </c>
    </row>
    <row r="82" ht="21" customHeight="1">
      <c r="A82" s="93">
        <f>IFERROR(VLOOKUP('Risikoanalyse'!L82,Akseptkriterier!$D$4:$E$8,2,FALSE),0)</f>
        <v/>
      </c>
      <c r="B82" s="93">
        <f>IFERROR(VLOOKUP('Risikoanalyse'!J82,Akseptkriterier!$F$4:$G$8,2,FALSE),0)</f>
        <v/>
      </c>
      <c r="C82" s="94">
        <f>IFERROR(VLOOKUP('Risikoanalyse'!R82,Akseptkriterier!$D$4:$E$8,2,FALSE),0)</f>
        <v/>
      </c>
      <c r="D82" s="93">
        <f>IFERROR(VLOOKUP('Risikoanalyse'!Q82,Akseptkriterier!$F$4:$G$8,2,FALSE),0)</f>
        <v/>
      </c>
      <c r="E82" s="136" t="n"/>
      <c r="F82" s="141" t="n"/>
      <c r="G82" s="133" t="n"/>
      <c r="H82" s="133" t="n"/>
      <c r="I82" s="141" t="n"/>
      <c r="J82" s="142" t="n"/>
      <c r="K82" s="141" t="n"/>
      <c r="L82" s="142" t="n"/>
      <c r="M82" s="141" t="n"/>
      <c r="N82" s="97">
        <f>IF(NOT(E82=""),IFERROR(VLOOKUP(A82,Akseptkriterier!$C$33:$H$37,MATCH(B82,Akseptkriterier!$D$32:$H$32,0)+1,FALSE),""),"")</f>
        <v/>
      </c>
      <c r="O82" s="124" t="n"/>
      <c r="P82" s="144" t="n"/>
      <c r="Q82" s="145" t="n"/>
      <c r="R82" s="145" t="n"/>
      <c r="S82" s="98">
        <f>IFERROR(VLOOKUP(C82,Akseptkriterier!$C$33:$H$37,MATCH(D82,Akseptkriterier!$D$32:$H$32,0)+1,FALSE),"")</f>
        <v/>
      </c>
    </row>
    <row r="83" ht="21" customHeight="1">
      <c r="A83" s="93">
        <f>IFERROR(VLOOKUP('Risikoanalyse'!L83,Akseptkriterier!$D$4:$E$8,2,FALSE),0)</f>
        <v/>
      </c>
      <c r="B83" s="93">
        <f>IFERROR(VLOOKUP('Risikoanalyse'!J83,Akseptkriterier!$F$4:$G$8,2,FALSE),0)</f>
        <v/>
      </c>
      <c r="C83" s="94">
        <f>IFERROR(VLOOKUP('Risikoanalyse'!R83,Akseptkriterier!$D$4:$E$8,2,FALSE),0)</f>
        <v/>
      </c>
      <c r="D83" s="93">
        <f>IFERROR(VLOOKUP('Risikoanalyse'!Q83,Akseptkriterier!$F$4:$G$8,2,FALSE),0)</f>
        <v/>
      </c>
      <c r="E83" s="121" t="n"/>
      <c r="F83" s="104" t="n"/>
      <c r="G83" s="100" t="n"/>
      <c r="H83" s="100" t="n"/>
      <c r="I83" s="104" t="n"/>
      <c r="J83" s="118" t="n"/>
      <c r="K83" s="104" t="n"/>
      <c r="L83" s="118" t="n"/>
      <c r="M83" s="104" t="n"/>
      <c r="N83" s="97">
        <f>IF(NOT(E83=""),IFERROR(VLOOKUP(A83,Akseptkriterier!$C$33:$H$37,MATCH(B83,Akseptkriterier!$D$32:$H$32,0)+1,FALSE),""),"")</f>
        <v/>
      </c>
      <c r="O83" s="124" t="n"/>
      <c r="P83" s="70" t="n"/>
      <c r="Q83" s="129" t="n"/>
      <c r="R83" s="129" t="n"/>
      <c r="S83" s="98">
        <f>IFERROR(VLOOKUP(C83,Akseptkriterier!$C$33:$H$37,MATCH(D83,Akseptkriterier!$D$32:$H$32,0)+1,FALSE),"")</f>
        <v/>
      </c>
    </row>
    <row r="84" ht="21" customHeight="1">
      <c r="A84" s="93">
        <f>IFERROR(VLOOKUP('Risikoanalyse'!L84,Akseptkriterier!$D$4:$E$8,2,FALSE),0)</f>
        <v/>
      </c>
      <c r="B84" s="93">
        <f>IFERROR(VLOOKUP('Risikoanalyse'!J84,Akseptkriterier!$F$4:$G$8,2,FALSE),0)</f>
        <v/>
      </c>
      <c r="C84" s="94">
        <f>IFERROR(VLOOKUP('Risikoanalyse'!R84,Akseptkriterier!$D$4:$E$8,2,FALSE),0)</f>
        <v/>
      </c>
      <c r="D84" s="93">
        <f>IFERROR(VLOOKUP('Risikoanalyse'!Q84,Akseptkriterier!$F$4:$G$8,2,FALSE),0)</f>
        <v/>
      </c>
      <c r="E84" s="136" t="n"/>
      <c r="F84" s="141" t="n"/>
      <c r="G84" s="133" t="n"/>
      <c r="H84" s="133" t="n"/>
      <c r="I84" s="141" t="n"/>
      <c r="J84" s="142" t="n"/>
      <c r="K84" s="141" t="n"/>
      <c r="L84" s="142" t="n"/>
      <c r="M84" s="141" t="n"/>
      <c r="N84" s="97">
        <f>IF(NOT(E84=""),IFERROR(VLOOKUP(A84,Akseptkriterier!$C$33:$H$37,MATCH(B84,Akseptkriterier!$D$32:$H$32,0)+1,FALSE),""),"")</f>
        <v/>
      </c>
      <c r="O84" s="124" t="n"/>
      <c r="P84" s="144" t="n"/>
      <c r="Q84" s="145" t="n"/>
      <c r="R84" s="145" t="n"/>
      <c r="S84" s="98">
        <f>IFERROR(VLOOKUP(C84,Akseptkriterier!$C$33:$H$37,MATCH(D84,Akseptkriterier!$D$32:$H$32,0)+1,FALSE),"")</f>
        <v/>
      </c>
    </row>
    <row r="85" ht="21" customHeight="1">
      <c r="A85" s="93">
        <f>IFERROR(VLOOKUP('Risikoanalyse'!L85,Akseptkriterier!$D$4:$E$8,2,FALSE),0)</f>
        <v/>
      </c>
      <c r="B85" s="93">
        <f>IFERROR(VLOOKUP('Risikoanalyse'!J85,Akseptkriterier!$F$4:$G$8,2,FALSE),0)</f>
        <v/>
      </c>
      <c r="C85" s="94">
        <f>IFERROR(VLOOKUP('Risikoanalyse'!R85,Akseptkriterier!$D$4:$E$8,2,FALSE),0)</f>
        <v/>
      </c>
      <c r="D85" s="93">
        <f>IFERROR(VLOOKUP('Risikoanalyse'!Q85,Akseptkriterier!$F$4:$G$8,2,FALSE),0)</f>
        <v/>
      </c>
      <c r="E85" s="121" t="n"/>
      <c r="F85" s="104" t="n"/>
      <c r="G85" s="100" t="n"/>
      <c r="H85" s="100" t="n"/>
      <c r="I85" s="104" t="n"/>
      <c r="J85" s="118" t="n"/>
      <c r="K85" s="104" t="n"/>
      <c r="L85" s="118" t="n"/>
      <c r="M85" s="104" t="n"/>
      <c r="N85" s="97">
        <f>IF(NOT(E85=""),IFERROR(VLOOKUP(A85,Akseptkriterier!$C$33:$H$37,MATCH(B85,Akseptkriterier!$D$32:$H$32,0)+1,FALSE),""),"")</f>
        <v/>
      </c>
      <c r="O85" s="124" t="n"/>
      <c r="P85" s="70" t="n"/>
      <c r="Q85" s="129" t="n"/>
      <c r="R85" s="129" t="n"/>
      <c r="S85" s="98">
        <f>IFERROR(VLOOKUP(C85,Akseptkriterier!$C$33:$H$37,MATCH(D85,Akseptkriterier!$D$32:$H$32,0)+1,FALSE),"")</f>
        <v/>
      </c>
    </row>
    <row r="86" ht="21" customHeight="1">
      <c r="A86" s="93">
        <f>IFERROR(VLOOKUP('Risikoanalyse'!L86,Akseptkriterier!$D$4:$E$8,2,FALSE),0)</f>
        <v/>
      </c>
      <c r="B86" s="93">
        <f>IFERROR(VLOOKUP('Risikoanalyse'!J86,Akseptkriterier!$F$4:$G$8,2,FALSE),0)</f>
        <v/>
      </c>
      <c r="C86" s="94">
        <f>IFERROR(VLOOKUP('Risikoanalyse'!R86,Akseptkriterier!$D$4:$E$8,2,FALSE),0)</f>
        <v/>
      </c>
      <c r="D86" s="93">
        <f>IFERROR(VLOOKUP('Risikoanalyse'!Q86,Akseptkriterier!$F$4:$G$8,2,FALSE),0)</f>
        <v/>
      </c>
      <c r="E86" s="136" t="n"/>
      <c r="F86" s="141" t="n"/>
      <c r="G86" s="133" t="n"/>
      <c r="H86" s="133" t="n"/>
      <c r="I86" s="141" t="n"/>
      <c r="J86" s="142" t="n"/>
      <c r="K86" s="141" t="n"/>
      <c r="L86" s="142" t="n"/>
      <c r="M86" s="141" t="n"/>
      <c r="N86" s="97">
        <f>IF(NOT(E86=""),IFERROR(VLOOKUP(A86,Akseptkriterier!$C$33:$H$37,MATCH(B86,Akseptkriterier!$D$32:$H$32,0)+1,FALSE),""),"")</f>
        <v/>
      </c>
      <c r="O86" s="124" t="n"/>
      <c r="P86" s="144" t="n"/>
      <c r="Q86" s="145" t="n"/>
      <c r="R86" s="145" t="n"/>
      <c r="S86" s="98">
        <f>IFERROR(VLOOKUP(C86,Akseptkriterier!$C$33:$H$37,MATCH(D86,Akseptkriterier!$D$32:$H$32,0)+1,FALSE),"")</f>
        <v/>
      </c>
    </row>
    <row r="87" ht="21" customHeight="1">
      <c r="A87" s="93">
        <f>IFERROR(VLOOKUP('Risikoanalyse'!L87,Akseptkriterier!$D$4:$E$8,2,FALSE),0)</f>
        <v/>
      </c>
      <c r="B87" s="93">
        <f>IFERROR(VLOOKUP('Risikoanalyse'!J87,Akseptkriterier!$F$4:$G$8,2,FALSE),0)</f>
        <v/>
      </c>
      <c r="C87" s="94">
        <f>IFERROR(VLOOKUP('Risikoanalyse'!R87,Akseptkriterier!$D$4:$E$8,2,FALSE),0)</f>
        <v/>
      </c>
      <c r="D87" s="93">
        <f>IFERROR(VLOOKUP('Risikoanalyse'!Q87,Akseptkriterier!$F$4:$G$8,2,FALSE),0)</f>
        <v/>
      </c>
      <c r="E87" s="121" t="n"/>
      <c r="F87" s="104" t="n"/>
      <c r="G87" s="100" t="n"/>
      <c r="H87" s="100" t="n"/>
      <c r="I87" s="104" t="n"/>
      <c r="J87" s="118" t="n"/>
      <c r="K87" s="104" t="n"/>
      <c r="L87" s="118" t="n"/>
      <c r="M87" s="104" t="n"/>
      <c r="N87" s="97">
        <f>IF(NOT(E87=""),IFERROR(VLOOKUP(A87,Akseptkriterier!$C$33:$H$37,MATCH(B87,Akseptkriterier!$D$32:$H$32,0)+1,FALSE),""),"")</f>
        <v/>
      </c>
      <c r="O87" s="124" t="n"/>
      <c r="P87" s="70" t="n"/>
      <c r="Q87" s="129" t="n"/>
      <c r="R87" s="129" t="n"/>
      <c r="S87" s="98">
        <f>IFERROR(VLOOKUP(C87,Akseptkriterier!$C$33:$H$37,MATCH(D87,Akseptkriterier!$D$32:$H$32,0)+1,FALSE),"")</f>
        <v/>
      </c>
    </row>
    <row r="88" ht="21" customHeight="1">
      <c r="A88" s="93">
        <f>IFERROR(VLOOKUP('Risikoanalyse'!L88,Akseptkriterier!$D$4:$E$8,2,FALSE),0)</f>
        <v/>
      </c>
      <c r="B88" s="93">
        <f>IFERROR(VLOOKUP('Risikoanalyse'!J88,Akseptkriterier!$F$4:$G$8,2,FALSE),0)</f>
        <v/>
      </c>
      <c r="C88" s="94">
        <f>IFERROR(VLOOKUP('Risikoanalyse'!R88,Akseptkriterier!$D$4:$E$8,2,FALSE),0)</f>
        <v/>
      </c>
      <c r="D88" s="93">
        <f>IFERROR(VLOOKUP('Risikoanalyse'!Q88,Akseptkriterier!$F$4:$G$8,2,FALSE),0)</f>
        <v/>
      </c>
      <c r="E88" s="136" t="n"/>
      <c r="F88" s="141" t="n"/>
      <c r="G88" s="133" t="n"/>
      <c r="H88" s="133" t="n"/>
      <c r="I88" s="141" t="n"/>
      <c r="J88" s="142" t="n"/>
      <c r="K88" s="141" t="n"/>
      <c r="L88" s="142" t="n"/>
      <c r="M88" s="141" t="n"/>
      <c r="N88" s="97">
        <f>IF(NOT(E88=""),IFERROR(VLOOKUP(A88,Akseptkriterier!$C$33:$H$37,MATCH(B88,Akseptkriterier!$D$32:$H$32,0)+1,FALSE),""),"")</f>
        <v/>
      </c>
      <c r="O88" s="124" t="n"/>
      <c r="P88" s="144" t="n"/>
      <c r="Q88" s="145" t="n"/>
      <c r="R88" s="145" t="n"/>
      <c r="S88" s="98">
        <f>IFERROR(VLOOKUP(C88,Akseptkriterier!$C$33:$H$37,MATCH(D88,Akseptkriterier!$D$32:$H$32,0)+1,FALSE),"")</f>
        <v/>
      </c>
    </row>
    <row r="89" ht="21" customHeight="1">
      <c r="A89" s="93">
        <f>IFERROR(VLOOKUP('Risikoanalyse'!L89,Akseptkriterier!$D$4:$E$8,2,FALSE),0)</f>
        <v/>
      </c>
      <c r="B89" s="93">
        <f>IFERROR(VLOOKUP('Risikoanalyse'!J89,Akseptkriterier!$F$4:$G$8,2,FALSE),0)</f>
        <v/>
      </c>
      <c r="C89" s="94">
        <f>IFERROR(VLOOKUP('Risikoanalyse'!R89,Akseptkriterier!$D$4:$E$8,2,FALSE),0)</f>
        <v/>
      </c>
      <c r="D89" s="93">
        <f>IFERROR(VLOOKUP('Risikoanalyse'!Q89,Akseptkriterier!$F$4:$G$8,2,FALSE),0)</f>
        <v/>
      </c>
      <c r="E89" s="121" t="n"/>
      <c r="F89" s="104" t="n"/>
      <c r="G89" s="100" t="n"/>
      <c r="H89" s="100" t="n"/>
      <c r="I89" s="104" t="n"/>
      <c r="J89" s="118" t="n"/>
      <c r="K89" s="104" t="n"/>
      <c r="L89" s="118" t="n"/>
      <c r="M89" s="104" t="n"/>
      <c r="N89" s="97">
        <f>IF(NOT(E89=""),IFERROR(VLOOKUP(A89,Akseptkriterier!$C$33:$H$37,MATCH(B89,Akseptkriterier!$D$32:$H$32,0)+1,FALSE),""),"")</f>
        <v/>
      </c>
      <c r="O89" s="124" t="n"/>
      <c r="P89" s="70" t="n"/>
      <c r="Q89" s="129" t="n"/>
      <c r="R89" s="129" t="n"/>
      <c r="S89" s="98">
        <f>IFERROR(VLOOKUP(C89,Akseptkriterier!$C$33:$H$37,MATCH(D89,Akseptkriterier!$D$32:$H$32,0)+1,FALSE),"")</f>
        <v/>
      </c>
    </row>
    <row r="90" ht="21" customHeight="1">
      <c r="A90" s="93">
        <f>IFERROR(VLOOKUP('Risikoanalyse'!L90,Akseptkriterier!$D$4:$E$8,2,FALSE),0)</f>
        <v/>
      </c>
      <c r="B90" s="93">
        <f>IFERROR(VLOOKUP('Risikoanalyse'!J90,Akseptkriterier!$F$4:$G$8,2,FALSE),0)</f>
        <v/>
      </c>
      <c r="C90" s="94">
        <f>IFERROR(VLOOKUP('Risikoanalyse'!R90,Akseptkriterier!$D$4:$E$8,2,FALSE),0)</f>
        <v/>
      </c>
      <c r="D90" s="93">
        <f>IFERROR(VLOOKUP('Risikoanalyse'!Q90,Akseptkriterier!$F$4:$G$8,2,FALSE),0)</f>
        <v/>
      </c>
      <c r="E90" s="136" t="n"/>
      <c r="F90" s="141" t="n"/>
      <c r="G90" s="133" t="n"/>
      <c r="H90" s="133" t="n"/>
      <c r="I90" s="141" t="n"/>
      <c r="J90" s="142" t="n"/>
      <c r="K90" s="141" t="n"/>
      <c r="L90" s="142" t="n"/>
      <c r="M90" s="141" t="n"/>
      <c r="N90" s="97">
        <f>IF(NOT(E90=""),IFERROR(VLOOKUP(A90,Akseptkriterier!$C$33:$H$37,MATCH(B90,Akseptkriterier!$D$32:$H$32,0)+1,FALSE),""),"")</f>
        <v/>
      </c>
      <c r="O90" s="124" t="n"/>
      <c r="P90" s="144" t="n"/>
      <c r="Q90" s="145" t="n"/>
      <c r="R90" s="145" t="n"/>
      <c r="S90" s="98">
        <f>IFERROR(VLOOKUP(C90,Akseptkriterier!$C$33:$H$37,MATCH(D90,Akseptkriterier!$D$32:$H$32,0)+1,FALSE),"")</f>
        <v/>
      </c>
    </row>
    <row r="91" ht="21" customHeight="1">
      <c r="A91" s="93">
        <f>IFERROR(VLOOKUP('Risikoanalyse'!L91,Akseptkriterier!$D$4:$E$8,2,FALSE),0)</f>
        <v/>
      </c>
      <c r="B91" s="93">
        <f>IFERROR(VLOOKUP('Risikoanalyse'!J91,Akseptkriterier!$F$4:$G$8,2,FALSE),0)</f>
        <v/>
      </c>
      <c r="C91" s="94">
        <f>IFERROR(VLOOKUP('Risikoanalyse'!R91,Akseptkriterier!$D$4:$E$8,2,FALSE),0)</f>
        <v/>
      </c>
      <c r="D91" s="93">
        <f>IFERROR(VLOOKUP('Risikoanalyse'!Q91,Akseptkriterier!$F$4:$G$8,2,FALSE),0)</f>
        <v/>
      </c>
      <c r="E91" s="121" t="n"/>
      <c r="F91" s="104" t="n"/>
      <c r="G91" s="100" t="n"/>
      <c r="H91" s="100" t="n"/>
      <c r="I91" s="104" t="n"/>
      <c r="J91" s="118" t="n"/>
      <c r="K91" s="104" t="n"/>
      <c r="L91" s="118" t="n"/>
      <c r="M91" s="104" t="n"/>
      <c r="N91" s="97">
        <f>IF(NOT(E91=""),IFERROR(VLOOKUP(A91,Akseptkriterier!$C$33:$H$37,MATCH(B91,Akseptkriterier!$D$32:$H$32,0)+1,FALSE),""),"")</f>
        <v/>
      </c>
      <c r="O91" s="124" t="n"/>
      <c r="P91" s="70" t="n"/>
      <c r="Q91" s="129" t="n"/>
      <c r="R91" s="129" t="n"/>
      <c r="S91" s="98">
        <f>IFERROR(VLOOKUP(C91,Akseptkriterier!$C$33:$H$37,MATCH(D91,Akseptkriterier!$D$32:$H$32,0)+1,FALSE),"")</f>
        <v/>
      </c>
    </row>
    <row r="92" ht="21" customHeight="1">
      <c r="A92" s="93">
        <f>IFERROR(VLOOKUP('Risikoanalyse'!L92,Akseptkriterier!$D$4:$E$8,2,FALSE),0)</f>
        <v/>
      </c>
      <c r="B92" s="93">
        <f>IFERROR(VLOOKUP('Risikoanalyse'!J92,Akseptkriterier!$F$4:$G$8,2,FALSE),0)</f>
        <v/>
      </c>
      <c r="C92" s="94">
        <f>IFERROR(VLOOKUP('Risikoanalyse'!R92,Akseptkriterier!$D$4:$E$8,2,FALSE),0)</f>
        <v/>
      </c>
      <c r="D92" s="93">
        <f>IFERROR(VLOOKUP('Risikoanalyse'!Q92,Akseptkriterier!$F$4:$G$8,2,FALSE),0)</f>
        <v/>
      </c>
      <c r="E92" s="136" t="n"/>
      <c r="F92" s="141" t="n"/>
      <c r="G92" s="133" t="n"/>
      <c r="H92" s="133" t="n"/>
      <c r="I92" s="141" t="n"/>
      <c r="J92" s="142" t="n"/>
      <c r="K92" s="141" t="n"/>
      <c r="L92" s="142" t="n"/>
      <c r="M92" s="141" t="n"/>
      <c r="N92" s="97">
        <f>IF(NOT(E92=""),IFERROR(VLOOKUP(A92,Akseptkriterier!$C$33:$H$37,MATCH(B92,Akseptkriterier!$D$32:$H$32,0)+1,FALSE),""),"")</f>
        <v/>
      </c>
      <c r="O92" s="124" t="n"/>
      <c r="P92" s="144" t="n"/>
      <c r="Q92" s="145" t="n"/>
      <c r="R92" s="145" t="n"/>
      <c r="S92" s="98">
        <f>IFERROR(VLOOKUP(C92,Akseptkriterier!$C$33:$H$37,MATCH(D92,Akseptkriterier!$D$32:$H$32,0)+1,FALSE),"")</f>
        <v/>
      </c>
    </row>
    <row r="93" ht="21" customHeight="1">
      <c r="A93" s="93">
        <f>IFERROR(VLOOKUP('Risikoanalyse'!L93,Akseptkriterier!$D$4:$E$8,2,FALSE),0)</f>
        <v/>
      </c>
      <c r="B93" s="93">
        <f>IFERROR(VLOOKUP('Risikoanalyse'!J93,Akseptkriterier!$F$4:$G$8,2,FALSE),0)</f>
        <v/>
      </c>
      <c r="C93" s="94">
        <f>IFERROR(VLOOKUP('Risikoanalyse'!R93,Akseptkriterier!$D$4:$E$8,2,FALSE),0)</f>
        <v/>
      </c>
      <c r="D93" s="93">
        <f>IFERROR(VLOOKUP('Risikoanalyse'!Q93,Akseptkriterier!$F$4:$G$8,2,FALSE),0)</f>
        <v/>
      </c>
      <c r="E93" s="121" t="n"/>
      <c r="F93" s="104" t="n"/>
      <c r="G93" s="100" t="n"/>
      <c r="H93" s="100" t="n"/>
      <c r="I93" s="104" t="n"/>
      <c r="J93" s="118" t="n"/>
      <c r="K93" s="104" t="n"/>
      <c r="L93" s="118" t="n"/>
      <c r="M93" s="104" t="n"/>
      <c r="N93" s="97">
        <f>IF(NOT(E93=""),IFERROR(VLOOKUP(A93,Akseptkriterier!$C$33:$H$37,MATCH(B93,Akseptkriterier!$D$32:$H$32,0)+1,FALSE),""),"")</f>
        <v/>
      </c>
      <c r="O93" s="124" t="n"/>
      <c r="P93" s="70" t="n"/>
      <c r="Q93" s="129" t="n"/>
      <c r="R93" s="129" t="n"/>
      <c r="S93" s="98">
        <f>IFERROR(VLOOKUP(C93,Akseptkriterier!$C$33:$H$37,MATCH(D93,Akseptkriterier!$D$32:$H$32,0)+1,FALSE),"")</f>
        <v/>
      </c>
    </row>
    <row r="94" ht="21" customHeight="1">
      <c r="A94" s="93">
        <f>IFERROR(VLOOKUP('Risikoanalyse'!L94,Akseptkriterier!$D$4:$E$8,2,FALSE),0)</f>
        <v/>
      </c>
      <c r="B94" s="93">
        <f>IFERROR(VLOOKUP('Risikoanalyse'!J94,Akseptkriterier!$F$4:$G$8,2,FALSE),0)</f>
        <v/>
      </c>
      <c r="C94" s="94">
        <f>IFERROR(VLOOKUP('Risikoanalyse'!R94,Akseptkriterier!$D$4:$E$8,2,FALSE),0)</f>
        <v/>
      </c>
      <c r="D94" s="93">
        <f>IFERROR(VLOOKUP('Risikoanalyse'!Q94,Akseptkriterier!$F$4:$G$8,2,FALSE),0)</f>
        <v/>
      </c>
      <c r="E94" s="136" t="n"/>
      <c r="F94" s="141" t="n"/>
      <c r="G94" s="133" t="n"/>
      <c r="H94" s="133" t="n"/>
      <c r="I94" s="141" t="n"/>
      <c r="J94" s="142" t="n"/>
      <c r="K94" s="141" t="n"/>
      <c r="L94" s="142" t="n"/>
      <c r="M94" s="141" t="n"/>
      <c r="N94" s="97">
        <f>IF(NOT(E94=""),IFERROR(VLOOKUP(A94,Akseptkriterier!$C$33:$H$37,MATCH(B94,Akseptkriterier!$D$32:$H$32,0)+1,FALSE),""),"")</f>
        <v/>
      </c>
      <c r="O94" s="124" t="n"/>
      <c r="P94" s="144" t="n"/>
      <c r="Q94" s="145" t="n"/>
      <c r="R94" s="145" t="n"/>
      <c r="S94" s="98">
        <f>IFERROR(VLOOKUP(C94,Akseptkriterier!$C$33:$H$37,MATCH(D94,Akseptkriterier!$D$32:$H$32,0)+1,FALSE),"")</f>
        <v/>
      </c>
    </row>
    <row r="95" ht="21" customHeight="1">
      <c r="A95" s="93">
        <f>IFERROR(VLOOKUP('Risikoanalyse'!L95,Akseptkriterier!$D$4:$E$8,2,FALSE),0)</f>
        <v/>
      </c>
      <c r="B95" s="93">
        <f>IFERROR(VLOOKUP('Risikoanalyse'!J95,Akseptkriterier!$F$4:$G$8,2,FALSE),0)</f>
        <v/>
      </c>
      <c r="C95" s="94">
        <f>IFERROR(VLOOKUP('Risikoanalyse'!R95,Akseptkriterier!$D$4:$E$8,2,FALSE),0)</f>
        <v/>
      </c>
      <c r="D95" s="93">
        <f>IFERROR(VLOOKUP('Risikoanalyse'!Q95,Akseptkriterier!$F$4:$G$8,2,FALSE),0)</f>
        <v/>
      </c>
      <c r="E95" s="121" t="n"/>
      <c r="F95" s="104" t="n"/>
      <c r="G95" s="100" t="n"/>
      <c r="H95" s="100" t="n"/>
      <c r="I95" s="104" t="n"/>
      <c r="J95" s="118" t="n"/>
      <c r="K95" s="104" t="n"/>
      <c r="L95" s="118" t="n"/>
      <c r="M95" s="104" t="n"/>
      <c r="N95" s="97">
        <f>IF(NOT(E95=""),IFERROR(VLOOKUP(A95,Akseptkriterier!$C$33:$H$37,MATCH(B95,Akseptkriterier!$D$32:$H$32,0)+1,FALSE),""),"")</f>
        <v/>
      </c>
      <c r="O95" s="124" t="n"/>
      <c r="P95" s="70" t="n"/>
      <c r="Q95" s="129" t="n"/>
      <c r="R95" s="129" t="n"/>
      <c r="S95" s="98">
        <f>IFERROR(VLOOKUP(C95,Akseptkriterier!$C$33:$H$37,MATCH(D95,Akseptkriterier!$D$32:$H$32,0)+1,FALSE),"")</f>
        <v/>
      </c>
    </row>
    <row r="96" ht="21" customHeight="1">
      <c r="A96" s="93">
        <f>IFERROR(VLOOKUP('Risikoanalyse'!L96,Akseptkriterier!$D$4:$E$8,2,FALSE),0)</f>
        <v/>
      </c>
      <c r="B96" s="93">
        <f>IFERROR(VLOOKUP('Risikoanalyse'!J96,Akseptkriterier!$F$4:$G$8,2,FALSE),0)</f>
        <v/>
      </c>
      <c r="C96" s="94">
        <f>IFERROR(VLOOKUP('Risikoanalyse'!R96,Akseptkriterier!$D$4:$E$8,2,FALSE),0)</f>
        <v/>
      </c>
      <c r="D96" s="93">
        <f>IFERROR(VLOOKUP('Risikoanalyse'!Q96,Akseptkriterier!$F$4:$G$8,2,FALSE),0)</f>
        <v/>
      </c>
      <c r="E96" s="136" t="n"/>
      <c r="F96" s="141" t="n"/>
      <c r="G96" s="133" t="n"/>
      <c r="H96" s="133" t="n"/>
      <c r="I96" s="141" t="n"/>
      <c r="J96" s="142" t="n"/>
      <c r="K96" s="141" t="n"/>
      <c r="L96" s="142" t="n"/>
      <c r="M96" s="141" t="n"/>
      <c r="N96" s="97">
        <f>IF(NOT(E96=""),IFERROR(VLOOKUP(A96,Akseptkriterier!$C$33:$H$37,MATCH(B96,Akseptkriterier!$D$32:$H$32,0)+1,FALSE),""),"")</f>
        <v/>
      </c>
      <c r="O96" s="124" t="n"/>
      <c r="P96" s="144" t="n"/>
      <c r="Q96" s="145" t="n"/>
      <c r="R96" s="145" t="n"/>
      <c r="S96" s="98">
        <f>IFERROR(VLOOKUP(C96,Akseptkriterier!$C$33:$H$37,MATCH(D96,Akseptkriterier!$D$32:$H$32,0)+1,FALSE),"")</f>
        <v/>
      </c>
    </row>
    <row r="97" ht="21" customHeight="1">
      <c r="A97" s="93">
        <f>IFERROR(VLOOKUP('Risikoanalyse'!L97,Akseptkriterier!$D$4:$E$8,2,FALSE),0)</f>
        <v/>
      </c>
      <c r="B97" s="93">
        <f>IFERROR(VLOOKUP('Risikoanalyse'!J97,Akseptkriterier!$F$4:$G$8,2,FALSE),0)</f>
        <v/>
      </c>
      <c r="C97" s="94">
        <f>IFERROR(VLOOKUP('Risikoanalyse'!R97,Akseptkriterier!$D$4:$E$8,2,FALSE),0)</f>
        <v/>
      </c>
      <c r="D97" s="93">
        <f>IFERROR(VLOOKUP('Risikoanalyse'!Q97,Akseptkriterier!$F$4:$G$8,2,FALSE),0)</f>
        <v/>
      </c>
      <c r="E97" s="121" t="n"/>
      <c r="F97" s="104" t="n"/>
      <c r="G97" s="100" t="n"/>
      <c r="H97" s="100" t="n"/>
      <c r="I97" s="104" t="n"/>
      <c r="J97" s="118" t="n"/>
      <c r="K97" s="104" t="n"/>
      <c r="L97" s="118" t="n"/>
      <c r="M97" s="104" t="n"/>
      <c r="N97" s="97">
        <f>IF(NOT(E97=""),IFERROR(VLOOKUP(A97,Akseptkriterier!$C$33:$H$37,MATCH(B97,Akseptkriterier!$D$32:$H$32,0)+1,FALSE),""),"")</f>
        <v/>
      </c>
      <c r="O97" s="124" t="n"/>
      <c r="P97" s="70" t="n"/>
      <c r="Q97" s="129" t="n"/>
      <c r="R97" s="129" t="n"/>
      <c r="S97" s="98">
        <f>IFERROR(VLOOKUP(C97,Akseptkriterier!$C$33:$H$37,MATCH(D97,Akseptkriterier!$D$32:$H$32,0)+1,FALSE),"")</f>
        <v/>
      </c>
    </row>
    <row r="98" ht="21" customHeight="1">
      <c r="A98" s="93">
        <f>IFERROR(VLOOKUP('Risikoanalyse'!L98,Akseptkriterier!$D$4:$E$8,2,FALSE),0)</f>
        <v/>
      </c>
      <c r="B98" s="93">
        <f>IFERROR(VLOOKUP('Risikoanalyse'!J98,Akseptkriterier!$F$4:$G$8,2,FALSE),0)</f>
        <v/>
      </c>
      <c r="C98" s="94">
        <f>IFERROR(VLOOKUP('Risikoanalyse'!R98,Akseptkriterier!$D$4:$E$8,2,FALSE),0)</f>
        <v/>
      </c>
      <c r="D98" s="93">
        <f>IFERROR(VLOOKUP('Risikoanalyse'!Q98,Akseptkriterier!$F$4:$G$8,2,FALSE),0)</f>
        <v/>
      </c>
      <c r="E98" s="136" t="n"/>
      <c r="F98" s="141" t="n"/>
      <c r="G98" s="133" t="n"/>
      <c r="H98" s="133" t="n"/>
      <c r="I98" s="141" t="n"/>
      <c r="J98" s="142" t="n"/>
      <c r="K98" s="141" t="n"/>
      <c r="L98" s="142" t="n"/>
      <c r="M98" s="141" t="n"/>
      <c r="N98" s="97">
        <f>IF(NOT(E98=""),IFERROR(VLOOKUP(A98,Akseptkriterier!$C$33:$H$37,MATCH(B98,Akseptkriterier!$D$32:$H$32,0)+1,FALSE),""),"")</f>
        <v/>
      </c>
      <c r="O98" s="124" t="n"/>
      <c r="P98" s="144" t="n"/>
      <c r="Q98" s="145" t="n"/>
      <c r="R98" s="145" t="n"/>
      <c r="S98" s="98">
        <f>IFERROR(VLOOKUP(C98,Akseptkriterier!$C$33:$H$37,MATCH(D98,Akseptkriterier!$D$32:$H$32,0)+1,FALSE),"")</f>
        <v/>
      </c>
    </row>
    <row r="99" ht="21" customHeight="1">
      <c r="A99" s="93">
        <f>IFERROR(VLOOKUP('Risikoanalyse'!L99,Akseptkriterier!$D$4:$E$8,2,FALSE),0)</f>
        <v/>
      </c>
      <c r="B99" s="93">
        <f>IFERROR(VLOOKUP('Risikoanalyse'!J99,Akseptkriterier!$F$4:$G$8,2,FALSE),0)</f>
        <v/>
      </c>
      <c r="C99" s="94">
        <f>IFERROR(VLOOKUP('Risikoanalyse'!R99,Akseptkriterier!$D$4:$E$8,2,FALSE),0)</f>
        <v/>
      </c>
      <c r="D99" s="93">
        <f>IFERROR(VLOOKUP('Risikoanalyse'!Q99,Akseptkriterier!$F$4:$G$8,2,FALSE),0)</f>
        <v/>
      </c>
      <c r="E99" s="121" t="n"/>
      <c r="F99" s="104" t="n"/>
      <c r="G99" s="100" t="n"/>
      <c r="H99" s="100" t="n"/>
      <c r="I99" s="104" t="n"/>
      <c r="J99" s="118" t="n"/>
      <c r="K99" s="104" t="n"/>
      <c r="L99" s="118" t="n"/>
      <c r="M99" s="104" t="n"/>
      <c r="N99" s="97">
        <f>IF(NOT(E99=""),IFERROR(VLOOKUP(A99,Akseptkriterier!$C$33:$H$37,MATCH(B99,Akseptkriterier!$D$32:$H$32,0)+1,FALSE),""),"")</f>
        <v/>
      </c>
      <c r="O99" s="124" t="n"/>
      <c r="P99" s="70" t="n"/>
      <c r="Q99" s="129" t="n"/>
      <c r="R99" s="129" t="n"/>
      <c r="S99" s="98">
        <f>IFERROR(VLOOKUP(C99,Akseptkriterier!$C$33:$H$37,MATCH(D99,Akseptkriterier!$D$32:$H$32,0)+1,FALSE),"")</f>
        <v/>
      </c>
    </row>
    <row r="100" ht="21" customHeight="1">
      <c r="A100" s="93">
        <f>IFERROR(VLOOKUP('Risikoanalyse'!L100,Akseptkriterier!$D$4:$E$8,2,FALSE),0)</f>
        <v/>
      </c>
      <c r="B100" s="93">
        <f>IFERROR(VLOOKUP('Risikoanalyse'!J100,Akseptkriterier!$F$4:$G$8,2,FALSE),0)</f>
        <v/>
      </c>
      <c r="C100" s="94">
        <f>IFERROR(VLOOKUP('Risikoanalyse'!R100,Akseptkriterier!$D$4:$E$8,2,FALSE),0)</f>
        <v/>
      </c>
      <c r="D100" s="93">
        <f>IFERROR(VLOOKUP('Risikoanalyse'!Q100,Akseptkriterier!$F$4:$G$8,2,FALSE),0)</f>
        <v/>
      </c>
      <c r="E100" s="136" t="n"/>
      <c r="F100" s="141" t="n"/>
      <c r="G100" s="133" t="n"/>
      <c r="H100" s="133" t="n"/>
      <c r="I100" s="141" t="n"/>
      <c r="J100" s="142" t="n"/>
      <c r="K100" s="141" t="n"/>
      <c r="L100" s="142" t="n"/>
      <c r="M100" s="141" t="n"/>
      <c r="N100" s="97">
        <f>IF(NOT(E100=""),IFERROR(VLOOKUP(A100,Akseptkriterier!$C$33:$H$37,MATCH(B100,Akseptkriterier!$D$32:$H$32,0)+1,FALSE),""),"")</f>
        <v/>
      </c>
      <c r="O100" s="124" t="n"/>
      <c r="P100" s="144" t="n"/>
      <c r="Q100" s="145" t="n"/>
      <c r="R100" s="145" t="n"/>
      <c r="S100" s="98">
        <f>IFERROR(VLOOKUP(C100,Akseptkriterier!$C$33:$H$37,MATCH(D100,Akseptkriterier!$D$32:$H$32,0)+1,FALSE),"")</f>
        <v/>
      </c>
    </row>
    <row r="101" ht="21" customHeight="1">
      <c r="A101" s="93">
        <f>IFERROR(VLOOKUP('Risikoanalyse'!L101,Akseptkriterier!$D$4:$E$8,2,FALSE),0)</f>
        <v/>
      </c>
      <c r="B101" s="93">
        <f>IFERROR(VLOOKUP('Risikoanalyse'!J101,Akseptkriterier!$F$4:$G$8,2,FALSE),0)</f>
        <v/>
      </c>
      <c r="C101" s="94">
        <f>IFERROR(VLOOKUP('Risikoanalyse'!R101,Akseptkriterier!$D$4:$E$8,2,FALSE),0)</f>
        <v/>
      </c>
      <c r="D101" s="93">
        <f>IFERROR(VLOOKUP('Risikoanalyse'!Q101,Akseptkriterier!$F$4:$G$8,2,FALSE),0)</f>
        <v/>
      </c>
      <c r="E101" s="121" t="n"/>
      <c r="F101" s="104" t="n"/>
      <c r="G101" s="100" t="n"/>
      <c r="H101" s="100" t="n"/>
      <c r="I101" s="104" t="n"/>
      <c r="J101" s="118" t="n"/>
      <c r="K101" s="104" t="n"/>
      <c r="L101" s="118" t="n"/>
      <c r="M101" s="104" t="n"/>
      <c r="N101" s="97">
        <f>IF(NOT(E101=""),IFERROR(VLOOKUP(A101,Akseptkriterier!$C$33:$H$37,MATCH(B101,Akseptkriterier!$D$32:$H$32,0)+1,FALSE),""),"")</f>
        <v/>
      </c>
      <c r="O101" s="124" t="n"/>
      <c r="P101" s="70" t="n"/>
      <c r="Q101" s="129" t="n"/>
      <c r="R101" s="129" t="n"/>
      <c r="S101" s="98">
        <f>IFERROR(VLOOKUP(C101,Akseptkriterier!$C$33:$H$37,MATCH(D101,Akseptkriterier!$D$32:$H$32,0)+1,FALSE),"")</f>
        <v/>
      </c>
    </row>
    <row r="102" ht="21" customHeight="1">
      <c r="A102" s="93">
        <f>IFERROR(VLOOKUP('Risikoanalyse'!L102,Akseptkriterier!$D$4:$E$8,2,FALSE),0)</f>
        <v/>
      </c>
      <c r="B102" s="93">
        <f>IFERROR(VLOOKUP('Risikoanalyse'!J102,Akseptkriterier!$F$4:$G$8,2,FALSE),0)</f>
        <v/>
      </c>
      <c r="C102" s="94">
        <f>IFERROR(VLOOKUP('Risikoanalyse'!R102,Akseptkriterier!$D$4:$E$8,2,FALSE),0)</f>
        <v/>
      </c>
      <c r="D102" s="93">
        <f>IFERROR(VLOOKUP('Risikoanalyse'!Q102,Akseptkriterier!$F$4:$G$8,2,FALSE),0)</f>
        <v/>
      </c>
      <c r="E102" s="136" t="n"/>
      <c r="F102" s="141" t="n"/>
      <c r="G102" s="133" t="n"/>
      <c r="H102" s="133" t="n"/>
      <c r="I102" s="141" t="n"/>
      <c r="J102" s="142" t="n"/>
      <c r="K102" s="141" t="n"/>
      <c r="L102" s="142" t="n"/>
      <c r="M102" s="141" t="n"/>
      <c r="N102" s="97">
        <f>IF(NOT(E102=""),IFERROR(VLOOKUP(A102,Akseptkriterier!$C$33:$H$37,MATCH(B102,Akseptkriterier!$D$32:$H$32,0)+1,FALSE),""),"")</f>
        <v/>
      </c>
      <c r="O102" s="124" t="n"/>
      <c r="P102" s="144" t="n"/>
      <c r="Q102" s="145" t="n"/>
      <c r="R102" s="145" t="n"/>
      <c r="S102" s="98">
        <f>IFERROR(VLOOKUP(C102,Akseptkriterier!$C$33:$H$37,MATCH(D102,Akseptkriterier!$D$32:$H$32,0)+1,FALSE),"")</f>
        <v/>
      </c>
    </row>
    <row r="103" ht="21" customHeight="1">
      <c r="A103" s="93">
        <f>IFERROR(VLOOKUP('Risikoanalyse'!L103,Akseptkriterier!$D$4:$E$8,2,FALSE),0)</f>
        <v/>
      </c>
      <c r="B103" s="93">
        <f>IFERROR(VLOOKUP('Risikoanalyse'!J103,Akseptkriterier!$F$4:$G$8,2,FALSE),0)</f>
        <v/>
      </c>
      <c r="C103" s="94">
        <f>IFERROR(VLOOKUP('Risikoanalyse'!R103,Akseptkriterier!$D$4:$E$8,2,FALSE),0)</f>
        <v/>
      </c>
      <c r="D103" s="93">
        <f>IFERROR(VLOOKUP('Risikoanalyse'!Q103,Akseptkriterier!$F$4:$G$8,2,FALSE),0)</f>
        <v/>
      </c>
      <c r="E103" s="121" t="n"/>
      <c r="F103" s="104" t="n"/>
      <c r="G103" s="100" t="n"/>
      <c r="H103" s="100" t="n"/>
      <c r="I103" s="104" t="n"/>
      <c r="J103" s="118" t="n"/>
      <c r="K103" s="104" t="n"/>
      <c r="L103" s="118" t="n"/>
      <c r="M103" s="104" t="n"/>
      <c r="N103" s="97">
        <f>IF(NOT(E103=""),IFERROR(VLOOKUP(A103,Akseptkriterier!$C$33:$H$37,MATCH(B103,Akseptkriterier!$D$32:$H$32,0)+1,FALSE),""),"")</f>
        <v/>
      </c>
      <c r="O103" s="124" t="n"/>
      <c r="P103" s="70" t="n"/>
      <c r="Q103" s="129" t="n"/>
      <c r="R103" s="129" t="n"/>
      <c r="S103" s="98">
        <f>IFERROR(VLOOKUP(C103,Akseptkriterier!$C$33:$H$37,MATCH(D103,Akseptkriterier!$D$32:$H$32,0)+1,FALSE),"")</f>
        <v/>
      </c>
    </row>
    <row r="104" ht="21" customHeight="1">
      <c r="A104" s="93">
        <f>IFERROR(VLOOKUP('Risikoanalyse'!L104,Akseptkriterier!$D$4:$E$8,2,FALSE),0)</f>
        <v/>
      </c>
      <c r="B104" s="93">
        <f>IFERROR(VLOOKUP('Risikoanalyse'!J104,Akseptkriterier!$F$4:$G$8,2,FALSE),0)</f>
        <v/>
      </c>
      <c r="C104" s="94">
        <f>IFERROR(VLOOKUP('Risikoanalyse'!R104,Akseptkriterier!$D$4:$E$8,2,FALSE),0)</f>
        <v/>
      </c>
      <c r="D104" s="93">
        <f>IFERROR(VLOOKUP('Risikoanalyse'!Q104,Akseptkriterier!$F$4:$G$8,2,FALSE),0)</f>
        <v/>
      </c>
      <c r="E104" s="136" t="n"/>
      <c r="F104" s="141" t="n"/>
      <c r="G104" s="133" t="n"/>
      <c r="H104" s="133" t="n"/>
      <c r="I104" s="141" t="n"/>
      <c r="J104" s="142" t="n"/>
      <c r="K104" s="141" t="n"/>
      <c r="L104" s="142" t="n"/>
      <c r="M104" s="141" t="n"/>
      <c r="N104" s="97">
        <f>IF(NOT(E104=""),IFERROR(VLOOKUP(A104,Akseptkriterier!$C$33:$H$37,MATCH(B104,Akseptkriterier!$D$32:$H$32,0)+1,FALSE),""),"")</f>
        <v/>
      </c>
      <c r="O104" s="124" t="n"/>
      <c r="P104" s="144" t="n"/>
      <c r="Q104" s="145" t="n"/>
      <c r="R104" s="145" t="n"/>
      <c r="S104" s="98">
        <f>IFERROR(VLOOKUP(C104,Akseptkriterier!$C$33:$H$37,MATCH(D104,Akseptkriterier!$D$32:$H$32,0)+1,FALSE),"")</f>
        <v/>
      </c>
    </row>
    <row r="105" ht="21" customHeight="1">
      <c r="A105" s="93">
        <f>IFERROR(VLOOKUP('Risikoanalyse'!L105,Akseptkriterier!$D$4:$E$8,2,FALSE),0)</f>
        <v/>
      </c>
      <c r="B105" s="93">
        <f>IFERROR(VLOOKUP('Risikoanalyse'!J105,Akseptkriterier!$F$4:$G$8,2,FALSE),0)</f>
        <v/>
      </c>
      <c r="C105" s="94">
        <f>IFERROR(VLOOKUP('Risikoanalyse'!R105,Akseptkriterier!$D$4:$E$8,2,FALSE),0)</f>
        <v/>
      </c>
      <c r="D105" s="93">
        <f>IFERROR(VLOOKUP('Risikoanalyse'!Q105,Akseptkriterier!$F$4:$G$8,2,FALSE),0)</f>
        <v/>
      </c>
      <c r="E105" s="121" t="n"/>
      <c r="F105" s="104" t="n"/>
      <c r="G105" s="100" t="n"/>
      <c r="H105" s="100" t="n"/>
      <c r="I105" s="104" t="n"/>
      <c r="J105" s="118" t="n"/>
      <c r="K105" s="104" t="n"/>
      <c r="L105" s="118" t="n"/>
      <c r="M105" s="104" t="n"/>
      <c r="N105" s="97">
        <f>IF(NOT(E105=""),IFERROR(VLOOKUP(A105,Akseptkriterier!$C$33:$H$37,MATCH(B105,Akseptkriterier!$D$32:$H$32,0)+1,FALSE),""),"")</f>
        <v/>
      </c>
      <c r="O105" s="124" t="n"/>
      <c r="P105" s="70" t="n"/>
      <c r="Q105" s="129" t="n"/>
      <c r="R105" s="129" t="n"/>
      <c r="S105" s="98">
        <f>IFERROR(VLOOKUP(C105,Akseptkriterier!$C$33:$H$37,MATCH(D105,Akseptkriterier!$D$32:$H$32,0)+1,FALSE),"")</f>
        <v/>
      </c>
    </row>
    <row r="106" ht="21" customHeight="1">
      <c r="A106" s="93">
        <f>IFERROR(VLOOKUP('Risikoanalyse'!L106,Akseptkriterier!$D$4:$E$8,2,FALSE),0)</f>
        <v/>
      </c>
      <c r="B106" s="93">
        <f>IFERROR(VLOOKUP('Risikoanalyse'!J106,Akseptkriterier!$F$4:$G$8,2,FALSE),0)</f>
        <v/>
      </c>
      <c r="C106" s="94">
        <f>IFERROR(VLOOKUP('Risikoanalyse'!R106,Akseptkriterier!$D$4:$E$8,2,FALSE),0)</f>
        <v/>
      </c>
      <c r="D106" s="93">
        <f>IFERROR(VLOOKUP('Risikoanalyse'!Q106,Akseptkriterier!$F$4:$G$8,2,FALSE),0)</f>
        <v/>
      </c>
      <c r="E106" s="136" t="n"/>
      <c r="F106" s="141" t="n"/>
      <c r="G106" s="133" t="n"/>
      <c r="H106" s="133" t="n"/>
      <c r="I106" s="141" t="n"/>
      <c r="J106" s="142" t="n"/>
      <c r="K106" s="141" t="n"/>
      <c r="L106" s="142" t="n"/>
      <c r="M106" s="141" t="n"/>
      <c r="N106" s="97">
        <f>IF(NOT(E106=""),IFERROR(VLOOKUP(A106,Akseptkriterier!$C$33:$H$37,MATCH(B106,Akseptkriterier!$D$32:$H$32,0)+1,FALSE),""),"")</f>
        <v/>
      </c>
      <c r="O106" s="124" t="n"/>
      <c r="P106" s="144" t="n"/>
      <c r="Q106" s="145" t="n"/>
      <c r="R106" s="145" t="n"/>
      <c r="S106" s="98">
        <f>IFERROR(VLOOKUP(C106,Akseptkriterier!$C$33:$H$37,MATCH(D106,Akseptkriterier!$D$32:$H$32,0)+1,FALSE),"")</f>
        <v/>
      </c>
    </row>
    <row r="107" ht="21" customHeight="1">
      <c r="A107" s="93">
        <f>IFERROR(VLOOKUP('Risikoanalyse'!L107,Akseptkriterier!$D$4:$E$8,2,FALSE),0)</f>
        <v/>
      </c>
      <c r="B107" s="93">
        <f>IFERROR(VLOOKUP('Risikoanalyse'!J107,Akseptkriterier!$F$4:$G$8,2,FALSE),0)</f>
        <v/>
      </c>
      <c r="C107" s="94">
        <f>IFERROR(VLOOKUP('Risikoanalyse'!R107,Akseptkriterier!$D$4:$E$8,2,FALSE),0)</f>
        <v/>
      </c>
      <c r="D107" s="93">
        <f>IFERROR(VLOOKUP('Risikoanalyse'!Q107,Akseptkriterier!$F$4:$G$8,2,FALSE),0)</f>
        <v/>
      </c>
      <c r="E107" s="121" t="n"/>
      <c r="F107" s="104" t="n"/>
      <c r="G107" s="100" t="n"/>
      <c r="H107" s="100" t="n"/>
      <c r="I107" s="104" t="n"/>
      <c r="J107" s="118" t="n"/>
      <c r="K107" s="104" t="n"/>
      <c r="L107" s="118" t="n"/>
      <c r="M107" s="104" t="n"/>
      <c r="N107" s="97">
        <f>IF(NOT(E107=""),IFERROR(VLOOKUP(A107,Akseptkriterier!$C$33:$H$37,MATCH(B107,Akseptkriterier!$D$32:$H$32,0)+1,FALSE),""),"")</f>
        <v/>
      </c>
      <c r="O107" s="124" t="n"/>
      <c r="P107" s="70" t="n"/>
      <c r="Q107" s="129" t="n"/>
      <c r="R107" s="129" t="n"/>
      <c r="S107" s="98">
        <f>IFERROR(VLOOKUP(C107,Akseptkriterier!$C$33:$H$37,MATCH(D107,Akseptkriterier!$D$32:$H$32,0)+1,FALSE),"")</f>
        <v/>
      </c>
    </row>
    <row r="108" ht="21" customHeight="1">
      <c r="A108" s="93">
        <f>IFERROR(VLOOKUP('Risikoanalyse'!L108,Akseptkriterier!$D$4:$E$8,2,FALSE),0)</f>
        <v/>
      </c>
      <c r="B108" s="93">
        <f>IFERROR(VLOOKUP('Risikoanalyse'!J108,Akseptkriterier!$F$4:$G$8,2,FALSE),0)</f>
        <v/>
      </c>
      <c r="C108" s="94">
        <f>IFERROR(VLOOKUP('Risikoanalyse'!R108,Akseptkriterier!$D$4:$E$8,2,FALSE),0)</f>
        <v/>
      </c>
      <c r="D108" s="93">
        <f>IFERROR(VLOOKUP('Risikoanalyse'!Q108,Akseptkriterier!$F$4:$G$8,2,FALSE),0)</f>
        <v/>
      </c>
      <c r="E108" s="136" t="n"/>
      <c r="F108" s="141" t="n"/>
      <c r="G108" s="133" t="n"/>
      <c r="H108" s="133" t="n"/>
      <c r="I108" s="141" t="n"/>
      <c r="J108" s="142" t="n"/>
      <c r="K108" s="141" t="n"/>
      <c r="L108" s="142" t="n"/>
      <c r="M108" s="141" t="n"/>
      <c r="N108" s="97">
        <f>IF(NOT(E108=""),IFERROR(VLOOKUP(A108,Akseptkriterier!$C$33:$H$37,MATCH(B108,Akseptkriterier!$D$32:$H$32,0)+1,FALSE),""),"")</f>
        <v/>
      </c>
      <c r="O108" s="124" t="n"/>
      <c r="P108" s="144" t="n"/>
      <c r="Q108" s="145" t="n"/>
      <c r="R108" s="145" t="n"/>
      <c r="S108" s="98">
        <f>IFERROR(VLOOKUP(C108,Akseptkriterier!$C$33:$H$37,MATCH(D108,Akseptkriterier!$D$32:$H$32,0)+1,FALSE),"")</f>
        <v/>
      </c>
    </row>
    <row r="109" ht="21" customHeight="1">
      <c r="A109" s="93">
        <f>IFERROR(VLOOKUP('Risikoanalyse'!L109,Akseptkriterier!$D$4:$E$8,2,FALSE),0)</f>
        <v/>
      </c>
      <c r="B109" s="93">
        <f>IFERROR(VLOOKUP('Risikoanalyse'!J109,Akseptkriterier!$F$4:$G$8,2,FALSE),0)</f>
        <v/>
      </c>
      <c r="C109" s="94">
        <f>IFERROR(VLOOKUP('Risikoanalyse'!R109,Akseptkriterier!$D$4:$E$8,2,FALSE),0)</f>
        <v/>
      </c>
      <c r="D109" s="93">
        <f>IFERROR(VLOOKUP('Risikoanalyse'!Q109,Akseptkriterier!$F$4:$G$8,2,FALSE),0)</f>
        <v/>
      </c>
      <c r="E109" s="121" t="n"/>
      <c r="F109" s="104" t="n"/>
      <c r="G109" s="100" t="n"/>
      <c r="H109" s="100" t="n"/>
      <c r="I109" s="104" t="n"/>
      <c r="J109" s="118" t="n"/>
      <c r="K109" s="104" t="n"/>
      <c r="L109" s="118" t="n"/>
      <c r="M109" s="104" t="n"/>
      <c r="N109" s="97">
        <f>IF(NOT(E109=""),IFERROR(VLOOKUP(A109,Akseptkriterier!$C$33:$H$37,MATCH(B109,Akseptkriterier!$D$32:$H$32,0)+1,FALSE),""),"")</f>
        <v/>
      </c>
      <c r="O109" s="124" t="n"/>
      <c r="P109" s="70" t="n"/>
      <c r="Q109" s="129" t="n"/>
      <c r="R109" s="129" t="n"/>
      <c r="S109" s="98">
        <f>IFERROR(VLOOKUP(C109,Akseptkriterier!$C$33:$H$37,MATCH(D109,Akseptkriterier!$D$32:$H$32,0)+1,FALSE),"")</f>
        <v/>
      </c>
    </row>
    <row r="110" ht="21" customHeight="1">
      <c r="A110" s="93">
        <f>IFERROR(VLOOKUP('Risikoanalyse'!L110,Akseptkriterier!$D$4:$E$8,2,FALSE),0)</f>
        <v/>
      </c>
      <c r="B110" s="93">
        <f>IFERROR(VLOOKUP('Risikoanalyse'!J110,Akseptkriterier!$F$4:$G$8,2,FALSE),0)</f>
        <v/>
      </c>
      <c r="C110" s="94">
        <f>IFERROR(VLOOKUP('Risikoanalyse'!R110,Akseptkriterier!$D$4:$E$8,2,FALSE),0)</f>
        <v/>
      </c>
      <c r="D110" s="93">
        <f>IFERROR(VLOOKUP('Risikoanalyse'!Q110,Akseptkriterier!$F$4:$G$8,2,FALSE),0)</f>
        <v/>
      </c>
      <c r="E110" s="136" t="n"/>
      <c r="F110" s="141" t="n"/>
      <c r="G110" s="133" t="n"/>
      <c r="H110" s="133" t="n"/>
      <c r="I110" s="141" t="n"/>
      <c r="J110" s="142" t="n"/>
      <c r="K110" s="141" t="n"/>
      <c r="L110" s="142" t="n"/>
      <c r="M110" s="141" t="n"/>
      <c r="N110" s="97">
        <f>IF(NOT(E110=""),IFERROR(VLOOKUP(A110,Akseptkriterier!$C$33:$H$37,MATCH(B110,Akseptkriterier!$D$32:$H$32,0)+1,FALSE),""),"")</f>
        <v/>
      </c>
      <c r="O110" s="124" t="n"/>
      <c r="P110" s="144" t="n"/>
      <c r="Q110" s="145" t="n"/>
      <c r="R110" s="145" t="n"/>
      <c r="S110" s="98">
        <f>IFERROR(VLOOKUP(C110,Akseptkriterier!$C$33:$H$37,MATCH(D110,Akseptkriterier!$D$32:$H$32,0)+1,FALSE),"")</f>
        <v/>
      </c>
    </row>
    <row r="111" ht="21" customHeight="1">
      <c r="A111" s="93">
        <f>IFERROR(VLOOKUP('Risikoanalyse'!L111,Akseptkriterier!$D$4:$E$8,2,FALSE),0)</f>
        <v/>
      </c>
      <c r="B111" s="93">
        <f>IFERROR(VLOOKUP('Risikoanalyse'!J111,Akseptkriterier!$F$4:$G$8,2,FALSE),0)</f>
        <v/>
      </c>
      <c r="C111" s="94">
        <f>IFERROR(VLOOKUP('Risikoanalyse'!R111,Akseptkriterier!$D$4:$E$8,2,FALSE),0)</f>
        <v/>
      </c>
      <c r="D111" s="93">
        <f>IFERROR(VLOOKUP('Risikoanalyse'!Q111,Akseptkriterier!$F$4:$G$8,2,FALSE),0)</f>
        <v/>
      </c>
      <c r="E111" s="121" t="n"/>
      <c r="F111" s="104" t="n"/>
      <c r="G111" s="100" t="n"/>
      <c r="H111" s="100" t="n"/>
      <c r="I111" s="104" t="n"/>
      <c r="J111" s="118" t="n"/>
      <c r="K111" s="104" t="n"/>
      <c r="L111" s="118" t="n"/>
      <c r="M111" s="104" t="n"/>
      <c r="N111" s="97">
        <f>IF(NOT(E111=""),IFERROR(VLOOKUP(A111,Akseptkriterier!$C$33:$H$37,MATCH(B111,Akseptkriterier!$D$32:$H$32,0)+1,FALSE),""),"")</f>
        <v/>
      </c>
      <c r="O111" s="124" t="n"/>
      <c r="P111" s="70" t="n"/>
      <c r="Q111" s="129" t="n"/>
      <c r="R111" s="129" t="n"/>
      <c r="S111" s="98">
        <f>IFERROR(VLOOKUP(C111,Akseptkriterier!$C$33:$H$37,MATCH(D111,Akseptkriterier!$D$32:$H$32,0)+1,FALSE),"")</f>
        <v/>
      </c>
    </row>
    <row r="112" ht="21" customHeight="1">
      <c r="A112" s="93">
        <f>IFERROR(VLOOKUP('Risikoanalyse'!L112,Akseptkriterier!$D$4:$E$8,2,FALSE),0)</f>
        <v/>
      </c>
      <c r="B112" s="93">
        <f>IFERROR(VLOOKUP('Risikoanalyse'!J112,Akseptkriterier!$F$4:$G$8,2,FALSE),0)</f>
        <v/>
      </c>
      <c r="C112" s="94">
        <f>IFERROR(VLOOKUP('Risikoanalyse'!R112,Akseptkriterier!$D$4:$E$8,2,FALSE),0)</f>
        <v/>
      </c>
      <c r="D112" s="93">
        <f>IFERROR(VLOOKUP('Risikoanalyse'!Q112,Akseptkriterier!$F$4:$G$8,2,FALSE),0)</f>
        <v/>
      </c>
      <c r="E112" s="136" t="n"/>
      <c r="F112" s="141" t="n"/>
      <c r="G112" s="133" t="n"/>
      <c r="H112" s="133" t="n"/>
      <c r="I112" s="141" t="n"/>
      <c r="J112" s="142" t="n"/>
      <c r="K112" s="141" t="n"/>
      <c r="L112" s="142" t="n"/>
      <c r="M112" s="141" t="n"/>
      <c r="N112" s="97">
        <f>IF(NOT(E112=""),IFERROR(VLOOKUP(A112,Akseptkriterier!$C$33:$H$37,MATCH(B112,Akseptkriterier!$D$32:$H$32,0)+1,FALSE),""),"")</f>
        <v/>
      </c>
      <c r="O112" s="124" t="n"/>
      <c r="P112" s="144" t="n"/>
      <c r="Q112" s="145" t="n"/>
      <c r="R112" s="145" t="n"/>
      <c r="S112" s="98">
        <f>IFERROR(VLOOKUP(C112,Akseptkriterier!$C$33:$H$37,MATCH(D112,Akseptkriterier!$D$32:$H$32,0)+1,FALSE),"")</f>
        <v/>
      </c>
    </row>
    <row r="113" ht="21" customHeight="1">
      <c r="A113" s="93">
        <f>IFERROR(VLOOKUP('Risikoanalyse'!L113,Akseptkriterier!$D$4:$E$8,2,FALSE),0)</f>
        <v/>
      </c>
      <c r="B113" s="93">
        <f>IFERROR(VLOOKUP('Risikoanalyse'!J113,Akseptkriterier!$F$4:$G$8,2,FALSE),0)</f>
        <v/>
      </c>
      <c r="C113" s="94">
        <f>IFERROR(VLOOKUP('Risikoanalyse'!R113,Akseptkriterier!$D$4:$E$8,2,FALSE),0)</f>
        <v/>
      </c>
      <c r="D113" s="93">
        <f>IFERROR(VLOOKUP('Risikoanalyse'!Q113,Akseptkriterier!$F$4:$G$8,2,FALSE),0)</f>
        <v/>
      </c>
      <c r="E113" s="121" t="n"/>
      <c r="F113" s="104" t="n"/>
      <c r="G113" s="100" t="n"/>
      <c r="H113" s="100" t="n"/>
      <c r="I113" s="104" t="n"/>
      <c r="J113" s="118" t="n"/>
      <c r="K113" s="104" t="n"/>
      <c r="L113" s="118" t="n"/>
      <c r="M113" s="104" t="n"/>
      <c r="N113" s="97">
        <f>IF(NOT(E113=""),IFERROR(VLOOKUP(A113,Akseptkriterier!$C$33:$H$37,MATCH(B113,Akseptkriterier!$D$32:$H$32,0)+1,FALSE),""),"")</f>
        <v/>
      </c>
      <c r="O113" s="124" t="n"/>
      <c r="P113" s="70" t="n"/>
      <c r="Q113" s="129" t="n"/>
      <c r="R113" s="129" t="n"/>
      <c r="S113" s="98">
        <f>IFERROR(VLOOKUP(C113,Akseptkriterier!$C$33:$H$37,MATCH(D113,Akseptkriterier!$D$32:$H$32,0)+1,FALSE),"")</f>
        <v/>
      </c>
    </row>
    <row r="114" ht="21" customHeight="1">
      <c r="A114" s="93">
        <f>IFERROR(VLOOKUP('Risikoanalyse'!L114,Akseptkriterier!$D$4:$E$8,2,FALSE),0)</f>
        <v/>
      </c>
      <c r="B114" s="93">
        <f>IFERROR(VLOOKUP('Risikoanalyse'!J114,Akseptkriterier!$F$4:$G$8,2,FALSE),0)</f>
        <v/>
      </c>
      <c r="C114" s="94">
        <f>IFERROR(VLOOKUP('Risikoanalyse'!R114,Akseptkriterier!$D$4:$E$8,2,FALSE),0)</f>
        <v/>
      </c>
      <c r="D114" s="93">
        <f>IFERROR(VLOOKUP('Risikoanalyse'!Q114,Akseptkriterier!$F$4:$G$8,2,FALSE),0)</f>
        <v/>
      </c>
      <c r="E114" s="136" t="n"/>
      <c r="F114" s="141" t="n"/>
      <c r="G114" s="133" t="n"/>
      <c r="H114" s="133" t="n"/>
      <c r="I114" s="141" t="n"/>
      <c r="J114" s="142" t="n"/>
      <c r="K114" s="141" t="n"/>
      <c r="L114" s="142" t="n"/>
      <c r="M114" s="141" t="n"/>
      <c r="N114" s="97">
        <f>IF(NOT(E114=""),IFERROR(VLOOKUP(A114,Akseptkriterier!$C$33:$H$37,MATCH(B114,Akseptkriterier!$D$32:$H$32,0)+1,FALSE),""),"")</f>
        <v/>
      </c>
      <c r="O114" s="124" t="n"/>
      <c r="P114" s="144" t="n"/>
      <c r="Q114" s="145" t="n"/>
      <c r="R114" s="145" t="n"/>
      <c r="S114" s="98">
        <f>IFERROR(VLOOKUP(C114,Akseptkriterier!$C$33:$H$37,MATCH(D114,Akseptkriterier!$D$32:$H$32,0)+1,FALSE),"")</f>
        <v/>
      </c>
    </row>
    <row r="115" ht="21" customHeight="1">
      <c r="A115" s="93">
        <f>IFERROR(VLOOKUP('Risikoanalyse'!L115,Akseptkriterier!$D$4:$E$8,2,FALSE),0)</f>
        <v/>
      </c>
      <c r="B115" s="93">
        <f>IFERROR(VLOOKUP('Risikoanalyse'!J115,Akseptkriterier!$F$4:$G$8,2,FALSE),0)</f>
        <v/>
      </c>
      <c r="C115" s="94">
        <f>IFERROR(VLOOKUP('Risikoanalyse'!R115,Akseptkriterier!$D$4:$E$8,2,FALSE),0)</f>
        <v/>
      </c>
      <c r="D115" s="93">
        <f>IFERROR(VLOOKUP('Risikoanalyse'!Q115,Akseptkriterier!$F$4:$G$8,2,FALSE),0)</f>
        <v/>
      </c>
      <c r="E115" s="121" t="n"/>
      <c r="F115" s="104" t="n"/>
      <c r="G115" s="100" t="n"/>
      <c r="H115" s="100" t="n"/>
      <c r="I115" s="104" t="n"/>
      <c r="J115" s="118" t="n"/>
      <c r="K115" s="104" t="n"/>
      <c r="L115" s="118" t="n"/>
      <c r="M115" s="104" t="n"/>
      <c r="N115" s="97">
        <f>IF(NOT(E115=""),IFERROR(VLOOKUP(A115,Akseptkriterier!$C$33:$H$37,MATCH(B115,Akseptkriterier!$D$32:$H$32,0)+1,FALSE),""),"")</f>
        <v/>
      </c>
      <c r="O115" s="124" t="n"/>
      <c r="P115" s="70" t="n"/>
      <c r="Q115" s="129" t="n"/>
      <c r="R115" s="129" t="n"/>
      <c r="S115" s="98">
        <f>IFERROR(VLOOKUP(C115,Akseptkriterier!$C$33:$H$37,MATCH(D115,Akseptkriterier!$D$32:$H$32,0)+1,FALSE),"")</f>
        <v/>
      </c>
    </row>
    <row r="116" ht="21" customHeight="1">
      <c r="A116" s="93">
        <f>IFERROR(VLOOKUP('Risikoanalyse'!L116,Akseptkriterier!$D$4:$E$8,2,FALSE),0)</f>
        <v/>
      </c>
      <c r="B116" s="93">
        <f>IFERROR(VLOOKUP('Risikoanalyse'!J116,Akseptkriterier!$F$4:$G$8,2,FALSE),0)</f>
        <v/>
      </c>
      <c r="C116" s="94">
        <f>IFERROR(VLOOKUP('Risikoanalyse'!R116,Akseptkriterier!$D$4:$E$8,2,FALSE),0)</f>
        <v/>
      </c>
      <c r="D116" s="93">
        <f>IFERROR(VLOOKUP('Risikoanalyse'!Q116,Akseptkriterier!$F$4:$G$8,2,FALSE),0)</f>
        <v/>
      </c>
      <c r="E116" s="136" t="n"/>
      <c r="F116" s="141" t="n"/>
      <c r="G116" s="133" t="n"/>
      <c r="H116" s="133" t="n"/>
      <c r="I116" s="141" t="n"/>
      <c r="J116" s="142" t="n"/>
      <c r="K116" s="141" t="n"/>
      <c r="L116" s="142" t="n"/>
      <c r="M116" s="141" t="n"/>
      <c r="N116" s="97">
        <f>IF(NOT(E116=""),IFERROR(VLOOKUP(A116,Akseptkriterier!$C$33:$H$37,MATCH(B116,Akseptkriterier!$D$32:$H$32,0)+1,FALSE),""),"")</f>
        <v/>
      </c>
      <c r="O116" s="124" t="n"/>
      <c r="P116" s="144" t="n"/>
      <c r="Q116" s="145" t="n"/>
      <c r="R116" s="145" t="n"/>
      <c r="S116" s="98">
        <f>IFERROR(VLOOKUP(C116,Akseptkriterier!$C$33:$H$37,MATCH(D116,Akseptkriterier!$D$32:$H$32,0)+1,FALSE),"")</f>
        <v/>
      </c>
    </row>
    <row r="117" ht="21" customHeight="1">
      <c r="A117" s="93">
        <f>IFERROR(VLOOKUP('Risikoanalyse'!L117,Akseptkriterier!$D$4:$E$8,2,FALSE),0)</f>
        <v/>
      </c>
      <c r="B117" s="93">
        <f>IFERROR(VLOOKUP('Risikoanalyse'!J117,Akseptkriterier!$F$4:$G$8,2,FALSE),0)</f>
        <v/>
      </c>
      <c r="C117" s="94">
        <f>IFERROR(VLOOKUP('Risikoanalyse'!R117,Akseptkriterier!$D$4:$E$8,2,FALSE),0)</f>
        <v/>
      </c>
      <c r="D117" s="93">
        <f>IFERROR(VLOOKUP('Risikoanalyse'!Q117,Akseptkriterier!$F$4:$G$8,2,FALSE),0)</f>
        <v/>
      </c>
      <c r="E117" s="121" t="n"/>
      <c r="F117" s="104" t="n"/>
      <c r="G117" s="100" t="n"/>
      <c r="H117" s="100" t="n"/>
      <c r="I117" s="104" t="n"/>
      <c r="J117" s="118" t="n"/>
      <c r="K117" s="104" t="n"/>
      <c r="L117" s="118" t="n"/>
      <c r="M117" s="104" t="n"/>
      <c r="N117" s="97">
        <f>IF(NOT(E117=""),IFERROR(VLOOKUP(A117,Akseptkriterier!$C$33:$H$37,MATCH(B117,Akseptkriterier!$D$32:$H$32,0)+1,FALSE),""),"")</f>
        <v/>
      </c>
      <c r="O117" s="124" t="n"/>
      <c r="P117" s="70" t="n"/>
      <c r="Q117" s="129" t="n"/>
      <c r="R117" s="129" t="n"/>
      <c r="S117" s="98">
        <f>IFERROR(VLOOKUP(C117,Akseptkriterier!$C$33:$H$37,MATCH(D117,Akseptkriterier!$D$32:$H$32,0)+1,FALSE),"")</f>
        <v/>
      </c>
    </row>
    <row r="118" ht="21" customHeight="1">
      <c r="A118" s="93">
        <f>IFERROR(VLOOKUP('Risikoanalyse'!L118,Akseptkriterier!$D$4:$E$8,2,FALSE),0)</f>
        <v/>
      </c>
      <c r="B118" s="93">
        <f>IFERROR(VLOOKUP('Risikoanalyse'!J118,Akseptkriterier!$F$4:$G$8,2,FALSE),0)</f>
        <v/>
      </c>
      <c r="C118" s="94">
        <f>IFERROR(VLOOKUP('Risikoanalyse'!R118,Akseptkriterier!$D$4:$E$8,2,FALSE),0)</f>
        <v/>
      </c>
      <c r="D118" s="93">
        <f>IFERROR(VLOOKUP('Risikoanalyse'!Q118,Akseptkriterier!$F$4:$G$8,2,FALSE),0)</f>
        <v/>
      </c>
      <c r="E118" s="136" t="n"/>
      <c r="F118" s="141" t="n"/>
      <c r="G118" s="133" t="n"/>
      <c r="H118" s="133" t="n"/>
      <c r="I118" s="141" t="n"/>
      <c r="J118" s="142" t="n"/>
      <c r="K118" s="141" t="n"/>
      <c r="L118" s="142" t="n"/>
      <c r="M118" s="141" t="n"/>
      <c r="N118" s="97">
        <f>IF(NOT(E118=""),IFERROR(VLOOKUP(A118,Akseptkriterier!$C$33:$H$37,MATCH(B118,Akseptkriterier!$D$32:$H$32,0)+1,FALSE),""),"")</f>
        <v/>
      </c>
      <c r="O118" s="124" t="n"/>
      <c r="P118" s="144" t="n"/>
      <c r="Q118" s="145" t="n"/>
      <c r="R118" s="145" t="n"/>
      <c r="S118" s="98">
        <f>IFERROR(VLOOKUP(C118,Akseptkriterier!$C$33:$H$37,MATCH(D118,Akseptkriterier!$D$32:$H$32,0)+1,FALSE),"")</f>
        <v/>
      </c>
    </row>
    <row r="119" ht="21" customHeight="1">
      <c r="A119" s="93">
        <f>IFERROR(VLOOKUP('Risikoanalyse'!L119,Akseptkriterier!$D$4:$E$8,2,FALSE),0)</f>
        <v/>
      </c>
      <c r="B119" s="93">
        <f>IFERROR(VLOOKUP('Risikoanalyse'!J119,Akseptkriterier!$F$4:$G$8,2,FALSE),0)</f>
        <v/>
      </c>
      <c r="C119" s="94">
        <f>IFERROR(VLOOKUP('Risikoanalyse'!R119,Akseptkriterier!$D$4:$E$8,2,FALSE),0)</f>
        <v/>
      </c>
      <c r="D119" s="93">
        <f>IFERROR(VLOOKUP('Risikoanalyse'!Q119,Akseptkriterier!$F$4:$G$8,2,FALSE),0)</f>
        <v/>
      </c>
      <c r="E119" s="121" t="n"/>
      <c r="F119" s="104" t="n"/>
      <c r="G119" s="100" t="n"/>
      <c r="H119" s="100" t="n"/>
      <c r="I119" s="104" t="n"/>
      <c r="J119" s="118" t="n"/>
      <c r="K119" s="104" t="n"/>
      <c r="L119" s="118" t="n"/>
      <c r="M119" s="104" t="n"/>
      <c r="N119" s="97">
        <f>IF(NOT(E119=""),IFERROR(VLOOKUP(A119,Akseptkriterier!$C$33:$H$37,MATCH(B119,Akseptkriterier!$D$32:$H$32,0)+1,FALSE),""),"")</f>
        <v/>
      </c>
      <c r="O119" s="124" t="n"/>
      <c r="P119" s="70" t="n"/>
      <c r="Q119" s="129" t="n"/>
      <c r="R119" s="129" t="n"/>
      <c r="S119" s="98">
        <f>IFERROR(VLOOKUP(C119,Akseptkriterier!$C$33:$H$37,MATCH(D119,Akseptkriterier!$D$32:$H$32,0)+1,FALSE),"")</f>
        <v/>
      </c>
    </row>
    <row r="120" ht="21" customHeight="1">
      <c r="A120" s="93">
        <f>IFERROR(VLOOKUP('Risikoanalyse'!L120,Akseptkriterier!$D$4:$E$8,2,FALSE),0)</f>
        <v/>
      </c>
      <c r="B120" s="93">
        <f>IFERROR(VLOOKUP('Risikoanalyse'!J120,Akseptkriterier!$F$4:$G$8,2,FALSE),0)</f>
        <v/>
      </c>
      <c r="C120" s="94">
        <f>IFERROR(VLOOKUP('Risikoanalyse'!R120,Akseptkriterier!$D$4:$E$8,2,FALSE),0)</f>
        <v/>
      </c>
      <c r="D120" s="93">
        <f>IFERROR(VLOOKUP('Risikoanalyse'!Q120,Akseptkriterier!$F$4:$G$8,2,FALSE),0)</f>
        <v/>
      </c>
      <c r="E120" s="136" t="n"/>
      <c r="F120" s="141" t="n"/>
      <c r="G120" s="133" t="n"/>
      <c r="H120" s="133" t="n"/>
      <c r="I120" s="141" t="n"/>
      <c r="J120" s="142" t="n"/>
      <c r="K120" s="141" t="n"/>
      <c r="L120" s="142" t="n"/>
      <c r="M120" s="141" t="n"/>
      <c r="N120" s="97">
        <f>IF(NOT(E120=""),IFERROR(VLOOKUP(A120,Akseptkriterier!$C$33:$H$37,MATCH(B120,Akseptkriterier!$D$32:$H$32,0)+1,FALSE),""),"")</f>
        <v/>
      </c>
      <c r="O120" s="124" t="n"/>
      <c r="P120" s="144" t="n"/>
      <c r="Q120" s="145" t="n"/>
      <c r="R120" s="145" t="n"/>
      <c r="S120" s="98">
        <f>IFERROR(VLOOKUP(C120,Akseptkriterier!$C$33:$H$37,MATCH(D120,Akseptkriterier!$D$32:$H$32,0)+1,FALSE),"")</f>
        <v/>
      </c>
    </row>
    <row r="121" ht="21" customHeight="1">
      <c r="A121" s="93">
        <f>IFERROR(VLOOKUP('Risikoanalyse'!L121,Akseptkriterier!$D$4:$E$8,2,FALSE),0)</f>
        <v/>
      </c>
      <c r="B121" s="93">
        <f>IFERROR(VLOOKUP('Risikoanalyse'!J121,Akseptkriterier!$F$4:$G$8,2,FALSE),0)</f>
        <v/>
      </c>
      <c r="C121" s="94">
        <f>IFERROR(VLOOKUP('Risikoanalyse'!R121,Akseptkriterier!$D$4:$E$8,2,FALSE),0)</f>
        <v/>
      </c>
      <c r="D121" s="93">
        <f>IFERROR(VLOOKUP('Risikoanalyse'!Q121,Akseptkriterier!$F$4:$G$8,2,FALSE),0)</f>
        <v/>
      </c>
      <c r="E121" s="121" t="n"/>
      <c r="F121" s="104" t="n"/>
      <c r="G121" s="100" t="n"/>
      <c r="H121" s="100" t="n"/>
      <c r="I121" s="104" t="n"/>
      <c r="J121" s="118" t="n"/>
      <c r="K121" s="104" t="n"/>
      <c r="L121" s="118" t="n"/>
      <c r="M121" s="104" t="n"/>
      <c r="N121" s="97">
        <f>IF(NOT(E121=""),IFERROR(VLOOKUP(A121,Akseptkriterier!$C$33:$H$37,MATCH(B121,Akseptkriterier!$D$32:$H$32,0)+1,FALSE),""),"")</f>
        <v/>
      </c>
      <c r="O121" s="124" t="n"/>
      <c r="P121" s="70" t="n"/>
      <c r="Q121" s="129" t="n"/>
      <c r="R121" s="129" t="n"/>
      <c r="S121" s="98">
        <f>IFERROR(VLOOKUP(C121,Akseptkriterier!$C$33:$H$37,MATCH(D121,Akseptkriterier!$D$32:$H$32,0)+1,FALSE),"")</f>
        <v/>
      </c>
    </row>
    <row r="122" ht="21" customHeight="1">
      <c r="A122" s="93">
        <f>IFERROR(VLOOKUP('Risikoanalyse'!L122,Akseptkriterier!$D$4:$E$8,2,FALSE),0)</f>
        <v/>
      </c>
      <c r="B122" s="93">
        <f>IFERROR(VLOOKUP('Risikoanalyse'!J122,Akseptkriterier!$F$4:$G$8,2,FALSE),0)</f>
        <v/>
      </c>
      <c r="C122" s="94">
        <f>IFERROR(VLOOKUP('Risikoanalyse'!R122,Akseptkriterier!$D$4:$E$8,2,FALSE),0)</f>
        <v/>
      </c>
      <c r="D122" s="93">
        <f>IFERROR(VLOOKUP('Risikoanalyse'!Q122,Akseptkriterier!$F$4:$G$8,2,FALSE),0)</f>
        <v/>
      </c>
      <c r="E122" s="136" t="n"/>
      <c r="F122" s="141" t="n"/>
      <c r="G122" s="133" t="n"/>
      <c r="H122" s="133" t="n"/>
      <c r="I122" s="141" t="n"/>
      <c r="J122" s="142" t="n"/>
      <c r="K122" s="141" t="n"/>
      <c r="L122" s="142" t="n"/>
      <c r="M122" s="141" t="n"/>
      <c r="N122" s="97">
        <f>IF(NOT(E122=""),IFERROR(VLOOKUP(A122,Akseptkriterier!$C$33:$H$37,MATCH(B122,Akseptkriterier!$D$32:$H$32,0)+1,FALSE),""),"")</f>
        <v/>
      </c>
      <c r="O122" s="124" t="n"/>
      <c r="P122" s="144" t="n"/>
      <c r="Q122" s="145" t="n"/>
      <c r="R122" s="145" t="n"/>
      <c r="S122" s="98">
        <f>IFERROR(VLOOKUP(C122,Akseptkriterier!$C$33:$H$37,MATCH(D122,Akseptkriterier!$D$32:$H$32,0)+1,FALSE),"")</f>
        <v/>
      </c>
    </row>
    <row r="123" ht="21" customHeight="1">
      <c r="A123" s="93">
        <f>IFERROR(VLOOKUP('Risikoanalyse'!L123,Akseptkriterier!$D$4:$E$8,2,FALSE),0)</f>
        <v/>
      </c>
      <c r="B123" s="93">
        <f>IFERROR(VLOOKUP('Risikoanalyse'!J123,Akseptkriterier!$F$4:$G$8,2,FALSE),0)</f>
        <v/>
      </c>
      <c r="C123" s="94">
        <f>IFERROR(VLOOKUP('Risikoanalyse'!R123,Akseptkriterier!$D$4:$E$8,2,FALSE),0)</f>
        <v/>
      </c>
      <c r="D123" s="93">
        <f>IFERROR(VLOOKUP('Risikoanalyse'!Q123,Akseptkriterier!$F$4:$G$8,2,FALSE),0)</f>
        <v/>
      </c>
      <c r="E123" s="121" t="n"/>
      <c r="F123" s="104" t="n"/>
      <c r="G123" s="100" t="n"/>
      <c r="H123" s="100" t="n"/>
      <c r="I123" s="104" t="n"/>
      <c r="J123" s="118" t="n"/>
      <c r="K123" s="104" t="n"/>
      <c r="L123" s="118" t="n"/>
      <c r="M123" s="104" t="n"/>
      <c r="N123" s="97">
        <f>IF(NOT(E123=""),IFERROR(VLOOKUP(A123,Akseptkriterier!$C$33:$H$37,MATCH(B123,Akseptkriterier!$D$32:$H$32,0)+1,FALSE),""),"")</f>
        <v/>
      </c>
      <c r="O123" s="124" t="n"/>
      <c r="P123" s="70" t="n"/>
      <c r="Q123" s="129" t="n"/>
      <c r="R123" s="129" t="n"/>
      <c r="S123" s="98">
        <f>IFERROR(VLOOKUP(C123,Akseptkriterier!$C$33:$H$37,MATCH(D123,Akseptkriterier!$D$32:$H$32,0)+1,FALSE),"")</f>
        <v/>
      </c>
    </row>
    <row r="124" ht="21" customHeight="1">
      <c r="A124" s="93">
        <f>IFERROR(VLOOKUP('Risikoanalyse'!L124,Akseptkriterier!$D$4:$E$8,2,FALSE),0)</f>
        <v/>
      </c>
      <c r="B124" s="93">
        <f>IFERROR(VLOOKUP('Risikoanalyse'!J124,Akseptkriterier!$F$4:$G$8,2,FALSE),0)</f>
        <v/>
      </c>
      <c r="C124" s="94">
        <f>IFERROR(VLOOKUP('Risikoanalyse'!R124,Akseptkriterier!$D$4:$E$8,2,FALSE),0)</f>
        <v/>
      </c>
      <c r="D124" s="93">
        <f>IFERROR(VLOOKUP('Risikoanalyse'!Q124,Akseptkriterier!$F$4:$G$8,2,FALSE),0)</f>
        <v/>
      </c>
      <c r="E124" s="136" t="n"/>
      <c r="F124" s="141" t="n"/>
      <c r="G124" s="133" t="n"/>
      <c r="H124" s="133" t="n"/>
      <c r="I124" s="141" t="n"/>
      <c r="J124" s="142" t="n"/>
      <c r="K124" s="141" t="n"/>
      <c r="L124" s="142" t="n"/>
      <c r="M124" s="141" t="n"/>
      <c r="N124" s="97">
        <f>IF(NOT(E124=""),IFERROR(VLOOKUP(A124,Akseptkriterier!$C$33:$H$37,MATCH(B124,Akseptkriterier!$D$32:$H$32,0)+1,FALSE),""),"")</f>
        <v/>
      </c>
      <c r="O124" s="124" t="n"/>
      <c r="P124" s="144" t="n"/>
      <c r="Q124" s="145" t="n"/>
      <c r="R124" s="145" t="n"/>
      <c r="S124" s="98">
        <f>IFERROR(VLOOKUP(C124,Akseptkriterier!$C$33:$H$37,MATCH(D124,Akseptkriterier!$D$32:$H$32,0)+1,FALSE),"")</f>
        <v/>
      </c>
    </row>
    <row r="125" ht="21" customHeight="1">
      <c r="A125" s="93">
        <f>IFERROR(VLOOKUP('Risikoanalyse'!L125,Akseptkriterier!$D$4:$E$8,2,FALSE),0)</f>
        <v/>
      </c>
      <c r="B125" s="93">
        <f>IFERROR(VLOOKUP('Risikoanalyse'!J125,Akseptkriterier!$F$4:$G$8,2,FALSE),0)</f>
        <v/>
      </c>
      <c r="C125" s="94">
        <f>IFERROR(VLOOKUP('Risikoanalyse'!R125,Akseptkriterier!$D$4:$E$8,2,FALSE),0)</f>
        <v/>
      </c>
      <c r="D125" s="93">
        <f>IFERROR(VLOOKUP('Risikoanalyse'!Q125,Akseptkriterier!$F$4:$G$8,2,FALSE),0)</f>
        <v/>
      </c>
      <c r="E125" s="121" t="n"/>
      <c r="F125" s="104" t="n"/>
      <c r="G125" s="100" t="n"/>
      <c r="H125" s="100" t="n"/>
      <c r="I125" s="104" t="n"/>
      <c r="J125" s="118" t="n"/>
      <c r="K125" s="104" t="n"/>
      <c r="L125" s="118" t="n"/>
      <c r="M125" s="104" t="n"/>
      <c r="N125" s="97">
        <f>IF(NOT(E125=""),IFERROR(VLOOKUP(A125,Akseptkriterier!$C$33:$H$37,MATCH(B125,Akseptkriterier!$D$32:$H$32,0)+1,FALSE),""),"")</f>
        <v/>
      </c>
      <c r="O125" s="124" t="n"/>
      <c r="P125" s="70" t="n"/>
      <c r="Q125" s="129" t="n"/>
      <c r="R125" s="129" t="n"/>
      <c r="S125" s="98">
        <f>IFERROR(VLOOKUP(C125,Akseptkriterier!$C$33:$H$37,MATCH(D125,Akseptkriterier!$D$32:$H$32,0)+1,FALSE),"")</f>
        <v/>
      </c>
    </row>
    <row r="126" ht="21" customHeight="1">
      <c r="A126" s="93">
        <f>IFERROR(VLOOKUP('Risikoanalyse'!L126,Akseptkriterier!$D$4:$E$8,2,FALSE),0)</f>
        <v/>
      </c>
      <c r="B126" s="93">
        <f>IFERROR(VLOOKUP('Risikoanalyse'!J126,Akseptkriterier!$F$4:$G$8,2,FALSE),0)</f>
        <v/>
      </c>
      <c r="C126" s="94">
        <f>IFERROR(VLOOKUP('Risikoanalyse'!R126,Akseptkriterier!$D$4:$E$8,2,FALSE),0)</f>
        <v/>
      </c>
      <c r="D126" s="93">
        <f>IFERROR(VLOOKUP('Risikoanalyse'!Q126,Akseptkriterier!$F$4:$G$8,2,FALSE),0)</f>
        <v/>
      </c>
      <c r="E126" s="136" t="n"/>
      <c r="F126" s="141" t="n"/>
      <c r="G126" s="133" t="n"/>
      <c r="H126" s="133" t="n"/>
      <c r="I126" s="141" t="n"/>
      <c r="J126" s="142" t="n"/>
      <c r="K126" s="141" t="n"/>
      <c r="L126" s="142" t="n"/>
      <c r="M126" s="141" t="n"/>
      <c r="N126" s="97">
        <f>IF(NOT(E126=""),IFERROR(VLOOKUP(A126,Akseptkriterier!$C$33:$H$37,MATCH(B126,Akseptkriterier!$D$32:$H$32,0)+1,FALSE),""),"")</f>
        <v/>
      </c>
      <c r="O126" s="124" t="n"/>
      <c r="P126" s="144" t="n"/>
      <c r="Q126" s="145" t="n"/>
      <c r="R126" s="145" t="n"/>
      <c r="S126" s="98">
        <f>IFERROR(VLOOKUP(C126,Akseptkriterier!$C$33:$H$37,MATCH(D126,Akseptkriterier!$D$32:$H$32,0)+1,FALSE),"")</f>
        <v/>
      </c>
    </row>
    <row r="127" ht="21" customHeight="1">
      <c r="A127" s="93">
        <f>IFERROR(VLOOKUP('Risikoanalyse'!L127,Akseptkriterier!$D$4:$E$8,2,FALSE),0)</f>
        <v/>
      </c>
      <c r="B127" s="93">
        <f>IFERROR(VLOOKUP('Risikoanalyse'!J127,Akseptkriterier!$F$4:$G$8,2,FALSE),0)</f>
        <v/>
      </c>
      <c r="C127" s="94">
        <f>IFERROR(VLOOKUP('Risikoanalyse'!R127,Akseptkriterier!$D$4:$E$8,2,FALSE),0)</f>
        <v/>
      </c>
      <c r="D127" s="93">
        <f>IFERROR(VLOOKUP('Risikoanalyse'!Q127,Akseptkriterier!$F$4:$G$8,2,FALSE),0)</f>
        <v/>
      </c>
      <c r="E127" s="121" t="n"/>
      <c r="F127" s="104" t="n"/>
      <c r="G127" s="100" t="n"/>
      <c r="H127" s="100" t="n"/>
      <c r="I127" s="104" t="n"/>
      <c r="J127" s="118" t="n"/>
      <c r="K127" s="104" t="n"/>
      <c r="L127" s="118" t="n"/>
      <c r="M127" s="104" t="n"/>
      <c r="N127" s="97">
        <f>IF(NOT(E127=""),IFERROR(VLOOKUP(A127,Akseptkriterier!$C$33:$H$37,MATCH(B127,Akseptkriterier!$D$32:$H$32,0)+1,FALSE),""),"")</f>
        <v/>
      </c>
      <c r="O127" s="124" t="n"/>
      <c r="P127" s="70" t="n"/>
      <c r="Q127" s="129" t="n"/>
      <c r="R127" s="129" t="n"/>
      <c r="S127" s="98">
        <f>IFERROR(VLOOKUP(C127,Akseptkriterier!$C$33:$H$37,MATCH(D127,Akseptkriterier!$D$32:$H$32,0)+1,FALSE),"")</f>
        <v/>
      </c>
    </row>
    <row r="128" ht="21" customHeight="1">
      <c r="A128" s="93">
        <f>IFERROR(VLOOKUP('Risikoanalyse'!L128,Akseptkriterier!$D$4:$E$8,2,FALSE),0)</f>
        <v/>
      </c>
      <c r="B128" s="93">
        <f>IFERROR(VLOOKUP('Risikoanalyse'!J128,Akseptkriterier!$F$4:$G$8,2,FALSE),0)</f>
        <v/>
      </c>
      <c r="C128" s="94">
        <f>IFERROR(VLOOKUP('Risikoanalyse'!R128,Akseptkriterier!$D$4:$E$8,2,FALSE),0)</f>
        <v/>
      </c>
      <c r="D128" s="93">
        <f>IFERROR(VLOOKUP('Risikoanalyse'!Q128,Akseptkriterier!$F$4:$G$8,2,FALSE),0)</f>
        <v/>
      </c>
      <c r="E128" s="136" t="n"/>
      <c r="F128" s="141" t="n"/>
      <c r="G128" s="133" t="n"/>
      <c r="H128" s="133" t="n"/>
      <c r="I128" s="141" t="n"/>
      <c r="J128" s="142" t="n"/>
      <c r="K128" s="141" t="n"/>
      <c r="L128" s="142" t="n"/>
      <c r="M128" s="141" t="n"/>
      <c r="N128" s="97">
        <f>IF(NOT(E128=""),IFERROR(VLOOKUP(A128,Akseptkriterier!$C$33:$H$37,MATCH(B128,Akseptkriterier!$D$32:$H$32,0)+1,FALSE),""),"")</f>
        <v/>
      </c>
      <c r="O128" s="124" t="n"/>
      <c r="P128" s="144" t="n"/>
      <c r="Q128" s="145" t="n"/>
      <c r="R128" s="145" t="n"/>
      <c r="S128" s="98">
        <f>IFERROR(VLOOKUP(C128,Akseptkriterier!$C$33:$H$37,MATCH(D128,Akseptkriterier!$D$32:$H$32,0)+1,FALSE),"")</f>
        <v/>
      </c>
    </row>
    <row r="129" ht="21" customHeight="1">
      <c r="A129" s="93">
        <f>IFERROR(VLOOKUP('Risikoanalyse'!L129,Akseptkriterier!$D$4:$E$8,2,FALSE),0)</f>
        <v/>
      </c>
      <c r="B129" s="93">
        <f>IFERROR(VLOOKUP('Risikoanalyse'!J129,Akseptkriterier!$F$4:$G$8,2,FALSE),0)</f>
        <v/>
      </c>
      <c r="C129" s="94">
        <f>IFERROR(VLOOKUP('Risikoanalyse'!R129,Akseptkriterier!$D$4:$E$8,2,FALSE),0)</f>
        <v/>
      </c>
      <c r="D129" s="93">
        <f>IFERROR(VLOOKUP('Risikoanalyse'!Q129,Akseptkriterier!$F$4:$G$8,2,FALSE),0)</f>
        <v/>
      </c>
      <c r="E129" s="121" t="n"/>
      <c r="F129" s="104" t="n"/>
      <c r="G129" s="100" t="n"/>
      <c r="H129" s="100" t="n"/>
      <c r="I129" s="104" t="n"/>
      <c r="J129" s="118" t="n"/>
      <c r="K129" s="104" t="n"/>
      <c r="L129" s="118" t="n"/>
      <c r="M129" s="104" t="n"/>
      <c r="N129" s="97">
        <f>IF(NOT(E129=""),IFERROR(VLOOKUP(A129,Akseptkriterier!$C$33:$H$37,MATCH(B129,Akseptkriterier!$D$32:$H$32,0)+1,FALSE),""),"")</f>
        <v/>
      </c>
      <c r="O129" s="124" t="n"/>
      <c r="P129" s="70" t="n"/>
      <c r="Q129" s="129" t="n"/>
      <c r="R129" s="129" t="n"/>
      <c r="S129" s="98">
        <f>IFERROR(VLOOKUP(C129,Akseptkriterier!$C$33:$H$37,MATCH(D129,Akseptkriterier!$D$32:$H$32,0)+1,FALSE),"")</f>
        <v/>
      </c>
    </row>
    <row r="130" ht="21" customHeight="1">
      <c r="A130" s="93">
        <f>IFERROR(VLOOKUP('Risikoanalyse'!L130,Akseptkriterier!$D$4:$E$8,2,FALSE),0)</f>
        <v/>
      </c>
      <c r="B130" s="93">
        <f>IFERROR(VLOOKUP('Risikoanalyse'!J130,Akseptkriterier!$F$4:$G$8,2,FALSE),0)</f>
        <v/>
      </c>
      <c r="C130" s="94">
        <f>IFERROR(VLOOKUP('Risikoanalyse'!R130,Akseptkriterier!$D$4:$E$8,2,FALSE),0)</f>
        <v/>
      </c>
      <c r="D130" s="93">
        <f>IFERROR(VLOOKUP('Risikoanalyse'!Q130,Akseptkriterier!$F$4:$G$8,2,FALSE),0)</f>
        <v/>
      </c>
      <c r="E130" s="136" t="n"/>
      <c r="F130" s="141" t="n"/>
      <c r="G130" s="133" t="n"/>
      <c r="H130" s="133" t="n"/>
      <c r="I130" s="141" t="n"/>
      <c r="J130" s="142" t="n"/>
      <c r="K130" s="141" t="n"/>
      <c r="L130" s="142" t="n"/>
      <c r="M130" s="141" t="n"/>
      <c r="N130" s="97">
        <f>IF(NOT(E130=""),IFERROR(VLOOKUP(A130,Akseptkriterier!$C$33:$H$37,MATCH(B130,Akseptkriterier!$D$32:$H$32,0)+1,FALSE),""),"")</f>
        <v/>
      </c>
      <c r="O130" s="124" t="n"/>
      <c r="P130" s="144" t="n"/>
      <c r="Q130" s="145" t="n"/>
      <c r="R130" s="145" t="n"/>
      <c r="S130" s="98">
        <f>IFERROR(VLOOKUP(C130,Akseptkriterier!$C$33:$H$37,MATCH(D130,Akseptkriterier!$D$32:$H$32,0)+1,FALSE),"")</f>
        <v/>
      </c>
    </row>
    <row r="131" ht="21" customHeight="1">
      <c r="A131" s="93">
        <f>IFERROR(VLOOKUP('Risikoanalyse'!L131,Akseptkriterier!$D$4:$E$8,2,FALSE),0)</f>
        <v/>
      </c>
      <c r="B131" s="93">
        <f>IFERROR(VLOOKUP('Risikoanalyse'!J131,Akseptkriterier!$F$4:$G$8,2,FALSE),0)</f>
        <v/>
      </c>
      <c r="C131" s="94">
        <f>IFERROR(VLOOKUP('Risikoanalyse'!R131,Akseptkriterier!$D$4:$E$8,2,FALSE),0)</f>
        <v/>
      </c>
      <c r="D131" s="93">
        <f>IFERROR(VLOOKUP('Risikoanalyse'!Q131,Akseptkriterier!$F$4:$G$8,2,FALSE),0)</f>
        <v/>
      </c>
      <c r="E131" s="121" t="n"/>
      <c r="F131" s="104" t="n"/>
      <c r="G131" s="100" t="n"/>
      <c r="H131" s="100" t="n"/>
      <c r="I131" s="104" t="n"/>
      <c r="J131" s="118" t="n"/>
      <c r="K131" s="104" t="n"/>
      <c r="L131" s="118" t="n"/>
      <c r="M131" s="104" t="n"/>
      <c r="N131" s="97">
        <f>IF(NOT(E131=""),IFERROR(VLOOKUP(A131,Akseptkriterier!$C$33:$H$37,MATCH(B131,Akseptkriterier!$D$32:$H$32,0)+1,FALSE),""),"")</f>
        <v/>
      </c>
      <c r="O131" s="124" t="n"/>
      <c r="P131" s="70" t="n"/>
      <c r="Q131" s="129" t="n"/>
      <c r="R131" s="129" t="n"/>
      <c r="S131" s="98">
        <f>IFERROR(VLOOKUP(C131,Akseptkriterier!$C$33:$H$37,MATCH(D131,Akseptkriterier!$D$32:$H$32,0)+1,FALSE),"")</f>
        <v/>
      </c>
    </row>
    <row r="132" ht="21" customHeight="1">
      <c r="A132" s="93">
        <f>IFERROR(VLOOKUP('Risikoanalyse'!L132,Akseptkriterier!$D$4:$E$8,2,FALSE),0)</f>
        <v/>
      </c>
      <c r="B132" s="93">
        <f>IFERROR(VLOOKUP('Risikoanalyse'!J132,Akseptkriterier!$F$4:$G$8,2,FALSE),0)</f>
        <v/>
      </c>
      <c r="C132" s="94">
        <f>IFERROR(VLOOKUP('Risikoanalyse'!R132,Akseptkriterier!$D$4:$E$8,2,FALSE),0)</f>
        <v/>
      </c>
      <c r="D132" s="93">
        <f>IFERROR(VLOOKUP('Risikoanalyse'!Q132,Akseptkriterier!$F$4:$G$8,2,FALSE),0)</f>
        <v/>
      </c>
      <c r="E132" s="136" t="n"/>
      <c r="F132" s="141" t="n"/>
      <c r="G132" s="133" t="n"/>
      <c r="H132" s="133" t="n"/>
      <c r="I132" s="141" t="n"/>
      <c r="J132" s="142" t="n"/>
      <c r="K132" s="141" t="n"/>
      <c r="L132" s="142" t="n"/>
      <c r="M132" s="141" t="n"/>
      <c r="N132" s="97">
        <f>IF(NOT(E132=""),IFERROR(VLOOKUP(A132,Akseptkriterier!$C$33:$H$37,MATCH(B132,Akseptkriterier!$D$32:$H$32,0)+1,FALSE),""),"")</f>
        <v/>
      </c>
      <c r="O132" s="124" t="n"/>
      <c r="P132" s="144" t="n"/>
      <c r="Q132" s="145" t="n"/>
      <c r="R132" s="145" t="n"/>
      <c r="S132" s="98">
        <f>IFERROR(VLOOKUP(C132,Akseptkriterier!$C$33:$H$37,MATCH(D132,Akseptkriterier!$D$32:$H$32,0)+1,FALSE),"")</f>
        <v/>
      </c>
    </row>
    <row r="133" ht="21" customHeight="1">
      <c r="A133" s="93">
        <f>IFERROR(VLOOKUP('Risikoanalyse'!L133,Akseptkriterier!$D$4:$E$8,2,FALSE),0)</f>
        <v/>
      </c>
      <c r="B133" s="93">
        <f>IFERROR(VLOOKUP('Risikoanalyse'!J133,Akseptkriterier!$F$4:$G$8,2,FALSE),0)</f>
        <v/>
      </c>
      <c r="C133" s="94">
        <f>IFERROR(VLOOKUP('Risikoanalyse'!R133,Akseptkriterier!$D$4:$E$8,2,FALSE),0)</f>
        <v/>
      </c>
      <c r="D133" s="93">
        <f>IFERROR(VLOOKUP('Risikoanalyse'!Q133,Akseptkriterier!$F$4:$G$8,2,FALSE),0)</f>
        <v/>
      </c>
      <c r="E133" s="121" t="n"/>
      <c r="F133" s="104" t="n"/>
      <c r="G133" s="100" t="n"/>
      <c r="H133" s="100" t="n"/>
      <c r="I133" s="104" t="n"/>
      <c r="J133" s="118" t="n"/>
      <c r="K133" s="104" t="n"/>
      <c r="L133" s="118" t="n"/>
      <c r="M133" s="104" t="n"/>
      <c r="N133" s="97">
        <f>IF(NOT(E133=""),IFERROR(VLOOKUP(A133,Akseptkriterier!$C$33:$H$37,MATCH(B133,Akseptkriterier!$D$32:$H$32,0)+1,FALSE),""),"")</f>
        <v/>
      </c>
      <c r="O133" s="124" t="n"/>
      <c r="P133" s="70" t="n"/>
      <c r="Q133" s="129" t="n"/>
      <c r="R133" s="129" t="n"/>
      <c r="S133" s="98">
        <f>IFERROR(VLOOKUP(C133,Akseptkriterier!$C$33:$H$37,MATCH(D133,Akseptkriterier!$D$32:$H$32,0)+1,FALSE),"")</f>
        <v/>
      </c>
    </row>
    <row r="134" ht="21" customHeight="1">
      <c r="A134" s="93">
        <f>IFERROR(VLOOKUP('Risikoanalyse'!L134,Akseptkriterier!$D$4:$E$8,2,FALSE),0)</f>
        <v/>
      </c>
      <c r="B134" s="93">
        <f>IFERROR(VLOOKUP('Risikoanalyse'!J134,Akseptkriterier!$F$4:$G$8,2,FALSE),0)</f>
        <v/>
      </c>
      <c r="C134" s="94">
        <f>IFERROR(VLOOKUP('Risikoanalyse'!R134,Akseptkriterier!$D$4:$E$8,2,FALSE),0)</f>
        <v/>
      </c>
      <c r="D134" s="93">
        <f>IFERROR(VLOOKUP('Risikoanalyse'!Q134,Akseptkriterier!$F$4:$G$8,2,FALSE),0)</f>
        <v/>
      </c>
      <c r="E134" s="136" t="n"/>
      <c r="F134" s="141" t="n"/>
      <c r="G134" s="133" t="n"/>
      <c r="H134" s="133" t="n"/>
      <c r="I134" s="141" t="n"/>
      <c r="J134" s="142" t="n"/>
      <c r="K134" s="141" t="n"/>
      <c r="L134" s="142" t="n"/>
      <c r="M134" s="141" t="n"/>
      <c r="N134" s="97">
        <f>IF(NOT(E134=""),IFERROR(VLOOKUP(A134,Akseptkriterier!$C$33:$H$37,MATCH(B134,Akseptkriterier!$D$32:$H$32,0)+1,FALSE),""),"")</f>
        <v/>
      </c>
      <c r="O134" s="124" t="n"/>
      <c r="P134" s="144" t="n"/>
      <c r="Q134" s="145" t="n"/>
      <c r="R134" s="145" t="n"/>
      <c r="S134" s="98">
        <f>IFERROR(VLOOKUP(C134,Akseptkriterier!$C$33:$H$37,MATCH(D134,Akseptkriterier!$D$32:$H$32,0)+1,FALSE),"")</f>
        <v/>
      </c>
    </row>
    <row r="135" ht="21" customHeight="1">
      <c r="A135" s="93">
        <f>IFERROR(VLOOKUP('Risikoanalyse'!L135,Akseptkriterier!$D$4:$E$8,2,FALSE),0)</f>
        <v/>
      </c>
      <c r="B135" s="93">
        <f>IFERROR(VLOOKUP('Risikoanalyse'!J135,Akseptkriterier!$F$4:$G$8,2,FALSE),0)</f>
        <v/>
      </c>
      <c r="C135" s="94">
        <f>IFERROR(VLOOKUP('Risikoanalyse'!R135,Akseptkriterier!$D$4:$E$8,2,FALSE),0)</f>
        <v/>
      </c>
      <c r="D135" s="93">
        <f>IFERROR(VLOOKUP('Risikoanalyse'!Q135,Akseptkriterier!$F$4:$G$8,2,FALSE),0)</f>
        <v/>
      </c>
      <c r="E135" s="121" t="n"/>
      <c r="F135" s="104" t="n"/>
      <c r="G135" s="100" t="n"/>
      <c r="H135" s="100" t="n"/>
      <c r="I135" s="104" t="n"/>
      <c r="J135" s="118" t="n"/>
      <c r="K135" s="104" t="n"/>
      <c r="L135" s="118" t="n"/>
      <c r="M135" s="104" t="n"/>
      <c r="N135" s="97">
        <f>IF(NOT(E135=""),IFERROR(VLOOKUP(A135,Akseptkriterier!$C$33:$H$37,MATCH(B135,Akseptkriterier!$D$32:$H$32,0)+1,FALSE),""),"")</f>
        <v/>
      </c>
      <c r="O135" s="124" t="n"/>
      <c r="P135" s="70" t="n"/>
      <c r="Q135" s="129" t="n"/>
      <c r="R135" s="129" t="n"/>
      <c r="S135" s="98">
        <f>IFERROR(VLOOKUP(C135,Akseptkriterier!$C$33:$H$37,MATCH(D135,Akseptkriterier!$D$32:$H$32,0)+1,FALSE),"")</f>
        <v/>
      </c>
    </row>
    <row r="136" ht="21" customHeight="1">
      <c r="A136" s="93">
        <f>IFERROR(VLOOKUP('Risikoanalyse'!L136,Akseptkriterier!$D$4:$E$8,2,FALSE),0)</f>
        <v/>
      </c>
      <c r="B136" s="93">
        <f>IFERROR(VLOOKUP('Risikoanalyse'!J136,Akseptkriterier!$F$4:$G$8,2,FALSE),0)</f>
        <v/>
      </c>
      <c r="C136" s="94">
        <f>IFERROR(VLOOKUP('Risikoanalyse'!R136,Akseptkriterier!$D$4:$E$8,2,FALSE),0)</f>
        <v/>
      </c>
      <c r="D136" s="93">
        <f>IFERROR(VLOOKUP('Risikoanalyse'!Q136,Akseptkriterier!$F$4:$G$8,2,FALSE),0)</f>
        <v/>
      </c>
      <c r="E136" s="136" t="n"/>
      <c r="F136" s="141" t="n"/>
      <c r="G136" s="133" t="n"/>
      <c r="H136" s="133" t="n"/>
      <c r="I136" s="141" t="n"/>
      <c r="J136" s="142" t="n"/>
      <c r="K136" s="141" t="n"/>
      <c r="L136" s="142" t="n"/>
      <c r="M136" s="141" t="n"/>
      <c r="N136" s="97">
        <f>IF(NOT(E136=""),IFERROR(VLOOKUP(A136,Akseptkriterier!$C$33:$H$37,MATCH(B136,Akseptkriterier!$D$32:$H$32,0)+1,FALSE),""),"")</f>
        <v/>
      </c>
      <c r="O136" s="124" t="n"/>
      <c r="P136" s="144" t="n"/>
      <c r="Q136" s="145" t="n"/>
      <c r="R136" s="145" t="n"/>
      <c r="S136" s="98">
        <f>IFERROR(VLOOKUP(C136,Akseptkriterier!$C$33:$H$37,MATCH(D136,Akseptkriterier!$D$32:$H$32,0)+1,FALSE),"")</f>
        <v/>
      </c>
    </row>
    <row r="137" ht="21" customHeight="1">
      <c r="A137" s="93">
        <f>IFERROR(VLOOKUP('Risikoanalyse'!L137,Akseptkriterier!$D$4:$E$8,2,FALSE),0)</f>
        <v/>
      </c>
      <c r="B137" s="93">
        <f>IFERROR(VLOOKUP('Risikoanalyse'!J137,Akseptkriterier!$F$4:$G$8,2,FALSE),0)</f>
        <v/>
      </c>
      <c r="C137" s="94">
        <f>IFERROR(VLOOKUP('Risikoanalyse'!R137,Akseptkriterier!$D$4:$E$8,2,FALSE),0)</f>
        <v/>
      </c>
      <c r="D137" s="93">
        <f>IFERROR(VLOOKUP('Risikoanalyse'!Q137,Akseptkriterier!$F$4:$G$8,2,FALSE),0)</f>
        <v/>
      </c>
      <c r="E137" s="121" t="n"/>
      <c r="F137" s="104" t="n"/>
      <c r="G137" s="100" t="n"/>
      <c r="H137" s="100" t="n"/>
      <c r="I137" s="104" t="n"/>
      <c r="J137" s="118" t="n"/>
      <c r="K137" s="104" t="n"/>
      <c r="L137" s="118" t="n"/>
      <c r="M137" s="104" t="n"/>
      <c r="N137" s="97">
        <f>IF(NOT(E137=""),IFERROR(VLOOKUP(A137,Akseptkriterier!$C$33:$H$37,MATCH(B137,Akseptkriterier!$D$32:$H$32,0)+1,FALSE),""),"")</f>
        <v/>
      </c>
      <c r="O137" s="124" t="n"/>
      <c r="P137" s="70" t="n"/>
      <c r="Q137" s="129" t="n"/>
      <c r="R137" s="129" t="n"/>
      <c r="S137" s="98">
        <f>IFERROR(VLOOKUP(C137,Akseptkriterier!$C$33:$H$37,MATCH(D137,Akseptkriterier!$D$32:$H$32,0)+1,FALSE),"")</f>
        <v/>
      </c>
    </row>
    <row r="138" ht="21" customHeight="1">
      <c r="A138" s="93">
        <f>IFERROR(VLOOKUP('Risikoanalyse'!L138,Akseptkriterier!$D$4:$E$8,2,FALSE),0)</f>
        <v/>
      </c>
      <c r="B138" s="93">
        <f>IFERROR(VLOOKUP('Risikoanalyse'!J138,Akseptkriterier!$F$4:$G$8,2,FALSE),0)</f>
        <v/>
      </c>
      <c r="C138" s="94">
        <f>IFERROR(VLOOKUP('Risikoanalyse'!R138,Akseptkriterier!$D$4:$E$8,2,FALSE),0)</f>
        <v/>
      </c>
      <c r="D138" s="93">
        <f>IFERROR(VLOOKUP('Risikoanalyse'!Q138,Akseptkriterier!$F$4:$G$8,2,FALSE),0)</f>
        <v/>
      </c>
      <c r="E138" s="136" t="n"/>
      <c r="F138" s="141" t="n"/>
      <c r="G138" s="133" t="n"/>
      <c r="H138" s="133" t="n"/>
      <c r="I138" s="141" t="n"/>
      <c r="J138" s="142" t="n"/>
      <c r="K138" s="141" t="n"/>
      <c r="L138" s="142" t="n"/>
      <c r="M138" s="141" t="n"/>
      <c r="N138" s="97">
        <f>IF(NOT(E138=""),IFERROR(VLOOKUP(A138,Akseptkriterier!$C$33:$H$37,MATCH(B138,Akseptkriterier!$D$32:$H$32,0)+1,FALSE),""),"")</f>
        <v/>
      </c>
      <c r="O138" s="124" t="n"/>
      <c r="P138" s="144" t="n"/>
      <c r="Q138" s="145" t="n"/>
      <c r="R138" s="145" t="n"/>
      <c r="S138" s="99">
        <f>IFERROR(VLOOKUP(C138,Akseptkriterier!$C$33:$H$37,MATCH(D138,Akseptkriterier!$D$32:$H$32,0)+1,FALSE),"")</f>
        <v/>
      </c>
    </row>
    <row r="139" ht="21" customHeight="1">
      <c r="A139" s="93">
        <f>IFERROR(VLOOKUP('Risikoanalyse'!L139,Akseptkriterier!$D$4:$E$8,2,FALSE),0)</f>
        <v/>
      </c>
      <c r="B139" s="93">
        <f>IFERROR(VLOOKUP('Risikoanalyse'!J139,Akseptkriterier!$F$4:$G$8,2,FALSE),0)</f>
        <v/>
      </c>
      <c r="C139" s="94">
        <f>IFERROR(VLOOKUP('Risikoanalyse'!R139,Akseptkriterier!$D$4:$E$8,2,FALSE),0)</f>
        <v/>
      </c>
      <c r="D139" s="93">
        <f>IFERROR(VLOOKUP('Risikoanalyse'!Q139,Akseptkriterier!$F$4:$G$8,2,FALSE),0)</f>
        <v/>
      </c>
      <c r="E139" s="121" t="n"/>
      <c r="F139" s="104" t="n"/>
      <c r="G139" s="100" t="n"/>
      <c r="H139" s="100" t="n"/>
      <c r="I139" s="104" t="n"/>
      <c r="J139" s="118" t="n"/>
      <c r="K139" s="104" t="n"/>
      <c r="L139" s="118" t="n"/>
      <c r="M139" s="104" t="n"/>
      <c r="N139" s="97">
        <f>IF(NOT(E139=""),IFERROR(VLOOKUP(A139,Akseptkriterier!$C$33:$H$37,MATCH(B139,Akseptkriterier!$D$32:$H$32,0)+1,FALSE),""),"")</f>
        <v/>
      </c>
      <c r="O139" s="124" t="n"/>
      <c r="P139" s="70" t="n"/>
      <c r="Q139" s="129" t="n"/>
      <c r="R139" s="129" t="n"/>
      <c r="S139" s="98">
        <f>IFERROR(VLOOKUP(C139,Akseptkriterier!$C$33:$H$37,MATCH(D139,Akseptkriterier!$D$32:$H$32,0)+1,FALSE),"")</f>
        <v/>
      </c>
    </row>
    <row r="140" ht="21" customHeight="1">
      <c r="A140" s="93">
        <f>IFERROR(VLOOKUP('Risikoanalyse'!L140,Akseptkriterier!$D$4:$E$8,2,FALSE),0)</f>
        <v/>
      </c>
      <c r="B140" s="93">
        <f>IFERROR(VLOOKUP('Risikoanalyse'!J140,Akseptkriterier!$F$4:$G$8,2,FALSE),0)</f>
        <v/>
      </c>
      <c r="C140" s="94">
        <f>IFERROR(VLOOKUP('Risikoanalyse'!R140,Akseptkriterier!$D$4:$E$8,2,FALSE),0)</f>
        <v/>
      </c>
      <c r="D140" s="93">
        <f>IFERROR(VLOOKUP('Risikoanalyse'!Q140,Akseptkriterier!$F$4:$G$8,2,FALSE),0)</f>
        <v/>
      </c>
      <c r="E140" s="136" t="n"/>
      <c r="F140" s="141" t="n"/>
      <c r="G140" s="133" t="n"/>
      <c r="H140" s="133" t="n"/>
      <c r="I140" s="141" t="n"/>
      <c r="J140" s="142" t="n"/>
      <c r="K140" s="141" t="n"/>
      <c r="L140" s="142" t="n"/>
      <c r="M140" s="141" t="n"/>
      <c r="N140" s="97">
        <f>IF(NOT(E140=""),IFERROR(VLOOKUP(A140,Akseptkriterier!$C$33:$H$37,MATCH(B140,Akseptkriterier!$D$32:$H$32,0)+1,FALSE),""),"")</f>
        <v/>
      </c>
      <c r="O140" s="124" t="n"/>
      <c r="P140" s="144" t="n"/>
      <c r="Q140" s="145" t="n"/>
      <c r="R140" s="145" t="n"/>
      <c r="S140" s="98">
        <f>IFERROR(VLOOKUP(C140,Akseptkriterier!$C$33:$H$37,MATCH(D140,Akseptkriterier!$D$32:$H$32,0)+1,FALSE),"")</f>
        <v/>
      </c>
    </row>
    <row r="141" ht="21" customHeight="1">
      <c r="A141" s="93">
        <f>IFERROR(VLOOKUP('Risikoanalyse'!L141,Akseptkriterier!$D$4:$E$8,2,FALSE),0)</f>
        <v/>
      </c>
      <c r="B141" s="93">
        <f>IFERROR(VLOOKUP('Risikoanalyse'!J141,Akseptkriterier!$F$4:$G$8,2,FALSE),0)</f>
        <v/>
      </c>
      <c r="C141" s="94">
        <f>IFERROR(VLOOKUP('Risikoanalyse'!R141,Akseptkriterier!$D$4:$E$8,2,FALSE),0)</f>
        <v/>
      </c>
      <c r="D141" s="93">
        <f>IFERROR(VLOOKUP('Risikoanalyse'!Q141,Akseptkriterier!$F$4:$G$8,2,FALSE),0)</f>
        <v/>
      </c>
      <c r="E141" s="121" t="n"/>
      <c r="F141" s="104" t="n"/>
      <c r="G141" s="100" t="n"/>
      <c r="H141" s="100" t="n"/>
      <c r="I141" s="104" t="n"/>
      <c r="J141" s="118" t="n"/>
      <c r="K141" s="104" t="n"/>
      <c r="L141" s="118" t="n"/>
      <c r="M141" s="104" t="n"/>
      <c r="N141" s="97">
        <f>IF(NOT(E141=""),IFERROR(VLOOKUP(A141,Akseptkriterier!$C$33:$H$37,MATCH(B141,Akseptkriterier!$D$32:$H$32,0)+1,FALSE),""),"")</f>
        <v/>
      </c>
      <c r="O141" s="124" t="n"/>
      <c r="P141" s="70" t="n"/>
      <c r="Q141" s="129" t="n"/>
      <c r="R141" s="129" t="n"/>
      <c r="S141" s="98">
        <f>IFERROR(VLOOKUP(C141,Akseptkriterier!$C$33:$H$37,MATCH(D141,Akseptkriterier!$D$32:$H$32,0)+1,FALSE),"")</f>
        <v/>
      </c>
    </row>
    <row r="142" ht="21" customHeight="1">
      <c r="A142" s="93">
        <f>IFERROR(VLOOKUP('Risikoanalyse'!L142,Akseptkriterier!$D$4:$E$8,2,FALSE),0)</f>
        <v/>
      </c>
      <c r="B142" s="93">
        <f>IFERROR(VLOOKUP('Risikoanalyse'!J142,Akseptkriterier!$F$4:$G$8,2,FALSE),0)</f>
        <v/>
      </c>
      <c r="C142" s="94">
        <f>IFERROR(VLOOKUP('Risikoanalyse'!R142,Akseptkriterier!$D$4:$E$8,2,FALSE),0)</f>
        <v/>
      </c>
      <c r="D142" s="93">
        <f>IFERROR(VLOOKUP('Risikoanalyse'!Q142,Akseptkriterier!$F$4:$G$8,2,FALSE),0)</f>
        <v/>
      </c>
      <c r="E142" s="136" t="n"/>
      <c r="F142" s="141" t="n"/>
      <c r="G142" s="133" t="n"/>
      <c r="H142" s="133" t="n"/>
      <c r="I142" s="141" t="n"/>
      <c r="J142" s="142" t="n"/>
      <c r="K142" s="141" t="n"/>
      <c r="L142" s="142" t="n"/>
      <c r="M142" s="141" t="n"/>
      <c r="N142" s="97">
        <f>IF(NOT(E142=""),IFERROR(VLOOKUP(A142,Akseptkriterier!$C$33:$H$37,MATCH(B142,Akseptkriterier!$D$32:$H$32,0)+1,FALSE),""),"")</f>
        <v/>
      </c>
      <c r="O142" s="124" t="n"/>
      <c r="P142" s="144" t="n"/>
      <c r="Q142" s="145" t="n"/>
      <c r="R142" s="145" t="n"/>
      <c r="S142" s="98">
        <f>IFERROR(VLOOKUP(C142,Akseptkriterier!$C$33:$H$37,MATCH(D142,Akseptkriterier!$D$32:$H$32,0)+1,FALSE),"")</f>
        <v/>
      </c>
    </row>
    <row r="143" ht="21" customHeight="1">
      <c r="A143" s="93">
        <f>IFERROR(VLOOKUP('Risikoanalyse'!L143,Akseptkriterier!$D$4:$E$8,2,FALSE),0)</f>
        <v/>
      </c>
      <c r="B143" s="93">
        <f>IFERROR(VLOOKUP('Risikoanalyse'!J143,Akseptkriterier!$F$4:$G$8,2,FALSE),0)</f>
        <v/>
      </c>
      <c r="C143" s="94">
        <f>IFERROR(VLOOKUP('Risikoanalyse'!R143,Akseptkriterier!$D$4:$E$8,2,FALSE),0)</f>
        <v/>
      </c>
      <c r="D143" s="93">
        <f>IFERROR(VLOOKUP('Risikoanalyse'!Q143,Akseptkriterier!$F$4:$G$8,2,FALSE),0)</f>
        <v/>
      </c>
      <c r="E143" s="121" t="n"/>
      <c r="F143" s="104" t="n"/>
      <c r="G143" s="100" t="n"/>
      <c r="H143" s="100" t="n"/>
      <c r="I143" s="104" t="n"/>
      <c r="J143" s="118" t="n"/>
      <c r="K143" s="104" t="n"/>
      <c r="L143" s="118" t="n"/>
      <c r="M143" s="104" t="n"/>
      <c r="N143" s="97">
        <f>IF(NOT(E143=""),IFERROR(VLOOKUP(A143,Akseptkriterier!$C$33:$H$37,MATCH(B143,Akseptkriterier!$D$32:$H$32,0)+1,FALSE),""),"")</f>
        <v/>
      </c>
      <c r="O143" s="124" t="n"/>
      <c r="P143" s="70" t="n"/>
      <c r="Q143" s="129" t="n"/>
      <c r="R143" s="129" t="n"/>
      <c r="S143" s="98">
        <f>IFERROR(VLOOKUP(C143,Akseptkriterier!$C$33:$H$37,MATCH(D143,Akseptkriterier!$D$32:$H$32,0)+1,FALSE),"")</f>
        <v/>
      </c>
    </row>
    <row r="144" ht="21" customHeight="1">
      <c r="A144" s="93">
        <f>IFERROR(VLOOKUP('Risikoanalyse'!L144,Akseptkriterier!$D$4:$E$8,2,FALSE),0)</f>
        <v/>
      </c>
      <c r="B144" s="93">
        <f>IFERROR(VLOOKUP('Risikoanalyse'!J144,Akseptkriterier!$F$4:$G$8,2,FALSE),0)</f>
        <v/>
      </c>
      <c r="C144" s="94">
        <f>IFERROR(VLOOKUP('Risikoanalyse'!R144,Akseptkriterier!$D$4:$E$8,2,FALSE),0)</f>
        <v/>
      </c>
      <c r="D144" s="93">
        <f>IFERROR(VLOOKUP('Risikoanalyse'!Q144,Akseptkriterier!$F$4:$G$8,2,FALSE),0)</f>
        <v/>
      </c>
      <c r="E144" s="136" t="n"/>
      <c r="F144" s="141" t="n"/>
      <c r="G144" s="133" t="n"/>
      <c r="H144" s="133" t="n"/>
      <c r="I144" s="141" t="n"/>
      <c r="J144" s="142" t="n"/>
      <c r="K144" s="141" t="n"/>
      <c r="L144" s="142" t="n"/>
      <c r="M144" s="141" t="n"/>
      <c r="N144" s="97">
        <f>IF(NOT(E144=""),IFERROR(VLOOKUP(A144,Akseptkriterier!$C$33:$H$37,MATCH(B144,Akseptkriterier!$D$32:$H$32,0)+1,FALSE),""),"")</f>
        <v/>
      </c>
      <c r="O144" s="124" t="n"/>
      <c r="P144" s="144" t="n"/>
      <c r="Q144" s="145" t="n"/>
      <c r="R144" s="145" t="n"/>
      <c r="S144" s="98">
        <f>IFERROR(VLOOKUP(C144,Akseptkriterier!$C$33:$H$37,MATCH(D144,Akseptkriterier!$D$32:$H$32,0)+1,FALSE),"")</f>
        <v/>
      </c>
    </row>
    <row r="145" ht="21" customHeight="1">
      <c r="A145" s="93">
        <f>IFERROR(VLOOKUP('Risikoanalyse'!L145,Akseptkriterier!$D$4:$E$8,2,FALSE),0)</f>
        <v/>
      </c>
      <c r="B145" s="93">
        <f>IFERROR(VLOOKUP('Risikoanalyse'!J145,Akseptkriterier!$F$4:$G$8,2,FALSE),0)</f>
        <v/>
      </c>
      <c r="C145" s="94">
        <f>IFERROR(VLOOKUP('Risikoanalyse'!R145,Akseptkriterier!$D$4:$E$8,2,FALSE),0)</f>
        <v/>
      </c>
      <c r="D145" s="93">
        <f>IFERROR(VLOOKUP('Risikoanalyse'!Q145,Akseptkriterier!$F$4:$G$8,2,FALSE),0)</f>
        <v/>
      </c>
      <c r="E145" s="121" t="n"/>
      <c r="F145" s="104" t="n"/>
      <c r="G145" s="100" t="n"/>
      <c r="H145" s="100" t="n"/>
      <c r="I145" s="104" t="n"/>
      <c r="J145" s="118" t="n"/>
      <c r="K145" s="104" t="n"/>
      <c r="L145" s="118" t="n"/>
      <c r="M145" s="104" t="n"/>
      <c r="N145" s="97">
        <f>IF(NOT(E145=""),IFERROR(VLOOKUP(A145,Akseptkriterier!$C$33:$H$37,MATCH(B145,Akseptkriterier!$D$32:$H$32,0)+1,FALSE),""),"")</f>
        <v/>
      </c>
      <c r="O145" s="124" t="n"/>
      <c r="P145" s="70" t="n"/>
      <c r="Q145" s="129" t="n"/>
      <c r="R145" s="129" t="n"/>
      <c r="S145" s="98">
        <f>IFERROR(VLOOKUP(C145,Akseptkriterier!$C$33:$H$37,MATCH(D145,Akseptkriterier!$D$32:$H$32,0)+1,FALSE),"")</f>
        <v/>
      </c>
    </row>
    <row r="146" ht="21" customHeight="1">
      <c r="A146" s="93">
        <f>IFERROR(VLOOKUP('Risikoanalyse'!L146,Akseptkriterier!$D$4:$E$8,2,FALSE),0)</f>
        <v/>
      </c>
      <c r="B146" s="93">
        <f>IFERROR(VLOOKUP('Risikoanalyse'!J146,Akseptkriterier!$F$4:$G$8,2,FALSE),0)</f>
        <v/>
      </c>
      <c r="C146" s="94">
        <f>IFERROR(VLOOKUP('Risikoanalyse'!R146,Akseptkriterier!$D$4:$E$8,2,FALSE),0)</f>
        <v/>
      </c>
      <c r="D146" s="93">
        <f>IFERROR(VLOOKUP('Risikoanalyse'!Q146,Akseptkriterier!$F$4:$G$8,2,FALSE),0)</f>
        <v/>
      </c>
      <c r="E146" s="136" t="n"/>
      <c r="F146" s="141" t="n"/>
      <c r="G146" s="133" t="n"/>
      <c r="H146" s="133" t="n"/>
      <c r="I146" s="141" t="n"/>
      <c r="J146" s="142" t="n"/>
      <c r="K146" s="141" t="n"/>
      <c r="L146" s="142" t="n"/>
      <c r="M146" s="141" t="n"/>
      <c r="N146" s="97">
        <f>IF(NOT(E146=""),IFERROR(VLOOKUP(A146,Akseptkriterier!$C$33:$H$37,MATCH(B146,Akseptkriterier!$D$32:$H$32,0)+1,FALSE),""),"")</f>
        <v/>
      </c>
      <c r="O146" s="124" t="n"/>
      <c r="P146" s="144" t="n"/>
      <c r="Q146" s="145" t="n"/>
      <c r="R146" s="145" t="n"/>
      <c r="S146" s="98">
        <f>IFERROR(VLOOKUP(C146,Akseptkriterier!$C$33:$H$37,MATCH(D146,Akseptkriterier!$D$32:$H$32,0)+1,FALSE),"")</f>
        <v/>
      </c>
    </row>
    <row r="147" ht="21" customHeight="1">
      <c r="A147" s="93">
        <f>IFERROR(VLOOKUP('Risikoanalyse'!L147,Akseptkriterier!$D$4:$E$8,2,FALSE),0)</f>
        <v/>
      </c>
      <c r="B147" s="93">
        <f>IFERROR(VLOOKUP('Risikoanalyse'!J147,Akseptkriterier!$F$4:$G$8,2,FALSE),0)</f>
        <v/>
      </c>
      <c r="C147" s="94">
        <f>IFERROR(VLOOKUP('Risikoanalyse'!R147,Akseptkriterier!$D$4:$E$8,2,FALSE),0)</f>
        <v/>
      </c>
      <c r="D147" s="93">
        <f>IFERROR(VLOOKUP('Risikoanalyse'!Q147,Akseptkriterier!$F$4:$G$8,2,FALSE),0)</f>
        <v/>
      </c>
      <c r="E147" s="121" t="n"/>
      <c r="F147" s="104" t="n"/>
      <c r="G147" s="100" t="n"/>
      <c r="H147" s="100" t="n"/>
      <c r="I147" s="104" t="n"/>
      <c r="J147" s="118" t="n"/>
      <c r="K147" s="104" t="n"/>
      <c r="L147" s="118" t="n"/>
      <c r="M147" s="104" t="n"/>
      <c r="N147" s="97">
        <f>IF(NOT(E147=""),IFERROR(VLOOKUP(A147,Akseptkriterier!$C$33:$H$37,MATCH(B147,Akseptkriterier!$D$32:$H$32,0)+1,FALSE),""),"")</f>
        <v/>
      </c>
      <c r="O147" s="124" t="n"/>
      <c r="P147" s="70" t="n"/>
      <c r="Q147" s="129" t="n"/>
      <c r="R147" s="129" t="n"/>
      <c r="S147" s="98">
        <f>IFERROR(VLOOKUP(C147,Akseptkriterier!$C$33:$H$37,MATCH(D147,Akseptkriterier!$D$32:$H$32,0)+1,FALSE),"")</f>
        <v/>
      </c>
    </row>
    <row r="148" ht="21" customHeight="1">
      <c r="A148" s="93">
        <f>IFERROR(VLOOKUP('Risikoanalyse'!L148,Akseptkriterier!$D$4:$E$8,2,FALSE),0)</f>
        <v/>
      </c>
      <c r="B148" s="93">
        <f>IFERROR(VLOOKUP('Risikoanalyse'!J148,Akseptkriterier!$F$4:$G$8,2,FALSE),0)</f>
        <v/>
      </c>
      <c r="C148" s="94">
        <f>IFERROR(VLOOKUP('Risikoanalyse'!R148,Akseptkriterier!$D$4:$E$8,2,FALSE),0)</f>
        <v/>
      </c>
      <c r="D148" s="93">
        <f>IFERROR(VLOOKUP('Risikoanalyse'!Q148,Akseptkriterier!$F$4:$G$8,2,FALSE),0)</f>
        <v/>
      </c>
      <c r="E148" s="136" t="n"/>
      <c r="F148" s="141" t="n"/>
      <c r="G148" s="133" t="n"/>
      <c r="H148" s="133" t="n"/>
      <c r="I148" s="141" t="n"/>
      <c r="J148" s="142" t="n"/>
      <c r="K148" s="141" t="n"/>
      <c r="L148" s="142" t="n"/>
      <c r="M148" s="141" t="n"/>
      <c r="N148" s="97">
        <f>IF(NOT(E148=""),IFERROR(VLOOKUP(A148,Akseptkriterier!$C$33:$H$37,MATCH(B148,Akseptkriterier!$D$32:$H$32,0)+1,FALSE),""),"")</f>
        <v/>
      </c>
      <c r="O148" s="124" t="n"/>
      <c r="P148" s="144" t="n"/>
      <c r="Q148" s="145" t="n"/>
      <c r="R148" s="145" t="n"/>
      <c r="S148" s="98">
        <f>IFERROR(VLOOKUP(C148,Akseptkriterier!$C$33:$H$37,MATCH(D148,Akseptkriterier!$D$32:$H$32,0)+1,FALSE),"")</f>
        <v/>
      </c>
    </row>
    <row r="149" ht="21" customHeight="1">
      <c r="A149" s="93">
        <f>IFERROR(VLOOKUP('Risikoanalyse'!L149,Akseptkriterier!$D$4:$E$8,2,FALSE),0)</f>
        <v/>
      </c>
      <c r="B149" s="93">
        <f>IFERROR(VLOOKUP('Risikoanalyse'!J149,Akseptkriterier!$F$4:$G$8,2,FALSE),0)</f>
        <v/>
      </c>
      <c r="C149" s="94">
        <f>IFERROR(VLOOKUP('Risikoanalyse'!R149,Akseptkriterier!$D$4:$E$8,2,FALSE),0)</f>
        <v/>
      </c>
      <c r="D149" s="93">
        <f>IFERROR(VLOOKUP('Risikoanalyse'!Q149,Akseptkriterier!$F$4:$G$8,2,FALSE),0)</f>
        <v/>
      </c>
      <c r="E149" s="121" t="n"/>
      <c r="F149" s="104" t="n"/>
      <c r="G149" s="100" t="n"/>
      <c r="H149" s="100" t="n"/>
      <c r="I149" s="104" t="n"/>
      <c r="J149" s="118" t="n"/>
      <c r="K149" s="104" t="n"/>
      <c r="L149" s="118" t="n"/>
      <c r="M149" s="104" t="n"/>
      <c r="N149" s="97">
        <f>IF(NOT(E149=""),IFERROR(VLOOKUP(A149,Akseptkriterier!$C$33:$H$37,MATCH(B149,Akseptkriterier!$D$32:$H$32,0)+1,FALSE),""),"")</f>
        <v/>
      </c>
      <c r="O149" s="124" t="n"/>
      <c r="P149" s="70" t="n"/>
      <c r="Q149" s="129" t="n"/>
      <c r="R149" s="129" t="n"/>
      <c r="S149" s="98">
        <f>IFERROR(VLOOKUP(C149,Akseptkriterier!$C$33:$H$37,MATCH(D149,Akseptkriterier!$D$32:$H$32,0)+1,FALSE),"")</f>
        <v/>
      </c>
    </row>
    <row r="150" ht="21" customHeight="1">
      <c r="A150" s="93">
        <f>IFERROR(VLOOKUP('Risikoanalyse'!L150,Akseptkriterier!$D$4:$E$8,2,FALSE),0)</f>
        <v/>
      </c>
      <c r="B150" s="93">
        <f>IFERROR(VLOOKUP('Risikoanalyse'!J150,Akseptkriterier!$F$4:$G$8,2,FALSE),0)</f>
        <v/>
      </c>
      <c r="C150" s="94">
        <f>IFERROR(VLOOKUP('Risikoanalyse'!R150,Akseptkriterier!$D$4:$E$8,2,FALSE),0)</f>
        <v/>
      </c>
      <c r="D150" s="93">
        <f>IFERROR(VLOOKUP('Risikoanalyse'!Q150,Akseptkriterier!$F$4:$G$8,2,FALSE),0)</f>
        <v/>
      </c>
      <c r="E150" s="136" t="n"/>
      <c r="F150" s="141" t="n"/>
      <c r="G150" s="133" t="n"/>
      <c r="H150" s="133" t="n"/>
      <c r="I150" s="141" t="n"/>
      <c r="J150" s="142" t="n"/>
      <c r="K150" s="141" t="n"/>
      <c r="L150" s="142" t="n"/>
      <c r="M150" s="141" t="n"/>
      <c r="N150" s="97">
        <f>IF(NOT(E150=""),IFERROR(VLOOKUP(A150,Akseptkriterier!$C$33:$H$37,MATCH(B150,Akseptkriterier!$D$32:$H$32,0)+1,FALSE),""),"")</f>
        <v/>
      </c>
      <c r="O150" s="124" t="n"/>
      <c r="P150" s="144" t="n"/>
      <c r="Q150" s="145" t="n"/>
      <c r="R150" s="145" t="n"/>
      <c r="S150" s="98">
        <f>IFERROR(VLOOKUP(C150,Akseptkriterier!$C$33:$H$37,MATCH(D150,Akseptkriterier!$D$32:$H$32,0)+1,FALSE),"")</f>
        <v/>
      </c>
    </row>
    <row r="151" ht="21" customHeight="1">
      <c r="A151" s="93">
        <f>IFERROR(VLOOKUP('Risikoanalyse'!L151,Akseptkriterier!$D$4:$E$8,2,FALSE),0)</f>
        <v/>
      </c>
      <c r="B151" s="93">
        <f>IFERROR(VLOOKUP('Risikoanalyse'!J151,Akseptkriterier!$F$4:$G$8,2,FALSE),0)</f>
        <v/>
      </c>
      <c r="C151" s="94">
        <f>IFERROR(VLOOKUP('Risikoanalyse'!R151,Akseptkriterier!$D$4:$E$8,2,FALSE),0)</f>
        <v/>
      </c>
      <c r="D151" s="93">
        <f>IFERROR(VLOOKUP('Risikoanalyse'!Q151,Akseptkriterier!$F$4:$G$8,2,FALSE),0)</f>
        <v/>
      </c>
      <c r="E151" s="121" t="n"/>
      <c r="F151" s="104" t="n"/>
      <c r="G151" s="100" t="n"/>
      <c r="H151" s="100" t="n"/>
      <c r="I151" s="104" t="n"/>
      <c r="J151" s="118" t="n"/>
      <c r="K151" s="104" t="n"/>
      <c r="L151" s="118" t="n"/>
      <c r="M151" s="104" t="n"/>
      <c r="N151" s="97">
        <f>IF(NOT(E151=""),IFERROR(VLOOKUP(A151,Akseptkriterier!$C$33:$H$37,MATCH(B151,Akseptkriterier!$D$32:$H$32,0)+1,FALSE),""),"")</f>
        <v/>
      </c>
      <c r="O151" s="124" t="n"/>
      <c r="P151" s="70" t="n"/>
      <c r="Q151" s="129" t="n"/>
      <c r="R151" s="129" t="n"/>
      <c r="S151" s="98">
        <f>IFERROR(VLOOKUP(C151,Akseptkriterier!$C$33:$H$37,MATCH(D151,Akseptkriterier!$D$32:$H$32,0)+1,FALSE),"")</f>
        <v/>
      </c>
    </row>
    <row r="152" ht="21" customHeight="1">
      <c r="A152" s="93">
        <f>IFERROR(VLOOKUP('Risikoanalyse'!L152,Akseptkriterier!$D$4:$E$8,2,FALSE),0)</f>
        <v/>
      </c>
      <c r="B152" s="93">
        <f>IFERROR(VLOOKUP('Risikoanalyse'!J152,Akseptkriterier!$F$4:$G$8,2,FALSE),0)</f>
        <v/>
      </c>
      <c r="C152" s="94">
        <f>IFERROR(VLOOKUP('Risikoanalyse'!R152,Akseptkriterier!$D$4:$E$8,2,FALSE),0)</f>
        <v/>
      </c>
      <c r="D152" s="93">
        <f>IFERROR(VLOOKUP('Risikoanalyse'!Q152,Akseptkriterier!$F$4:$G$8,2,FALSE),0)</f>
        <v/>
      </c>
      <c r="E152" s="136" t="n"/>
      <c r="F152" s="141" t="n"/>
      <c r="G152" s="133" t="n"/>
      <c r="H152" s="133" t="n"/>
      <c r="I152" s="141" t="n"/>
      <c r="J152" s="142" t="n"/>
      <c r="K152" s="141" t="n"/>
      <c r="L152" s="142" t="n"/>
      <c r="M152" s="141" t="n"/>
      <c r="N152" s="97">
        <f>IF(NOT(E152=""),IFERROR(VLOOKUP(A152,Akseptkriterier!$C$33:$H$37,MATCH(B152,Akseptkriterier!$D$32:$H$32,0)+1,FALSE),""),"")</f>
        <v/>
      </c>
      <c r="O152" s="124" t="n"/>
      <c r="P152" s="144" t="n"/>
      <c r="Q152" s="145" t="n"/>
      <c r="R152" s="145" t="n"/>
      <c r="S152" s="98">
        <f>IFERROR(VLOOKUP(C152,Akseptkriterier!$C$33:$H$37,MATCH(D152,Akseptkriterier!$D$32:$H$32,0)+1,FALSE),"")</f>
        <v/>
      </c>
    </row>
    <row r="153" ht="21" customHeight="1">
      <c r="A153" s="93">
        <f>IFERROR(VLOOKUP('Risikoanalyse'!L153,Akseptkriterier!$D$4:$E$8,2,FALSE),0)</f>
        <v/>
      </c>
      <c r="B153" s="93">
        <f>IFERROR(VLOOKUP('Risikoanalyse'!J153,Akseptkriterier!$F$4:$G$8,2,FALSE),0)</f>
        <v/>
      </c>
      <c r="C153" s="94">
        <f>IFERROR(VLOOKUP('Risikoanalyse'!R153,Akseptkriterier!$D$4:$E$8,2,FALSE),0)</f>
        <v/>
      </c>
      <c r="D153" s="93">
        <f>IFERROR(VLOOKUP('Risikoanalyse'!Q153,Akseptkriterier!$F$4:$G$8,2,FALSE),0)</f>
        <v/>
      </c>
      <c r="E153" s="121" t="n"/>
      <c r="F153" s="104" t="n"/>
      <c r="G153" s="100" t="n"/>
      <c r="H153" s="100" t="n"/>
      <c r="I153" s="104" t="n"/>
      <c r="J153" s="118" t="n"/>
      <c r="K153" s="104" t="n"/>
      <c r="L153" s="118" t="n"/>
      <c r="M153" s="104" t="n"/>
      <c r="N153" s="97">
        <f>IF(NOT(E153=""),IFERROR(VLOOKUP(A153,Akseptkriterier!$C$33:$H$37,MATCH(B153,Akseptkriterier!$D$32:$H$32,0)+1,FALSE),""),"")</f>
        <v/>
      </c>
      <c r="O153" s="124" t="n"/>
      <c r="P153" s="70" t="n"/>
      <c r="Q153" s="129" t="n"/>
      <c r="R153" s="129" t="n"/>
      <c r="S153" s="98">
        <f>IFERROR(VLOOKUP(C153,Akseptkriterier!$C$33:$H$37,MATCH(D153,Akseptkriterier!$D$32:$H$32,0)+1,FALSE),"")</f>
        <v/>
      </c>
    </row>
    <row r="154" ht="21" customHeight="1">
      <c r="A154" s="93">
        <f>IFERROR(VLOOKUP('Risikoanalyse'!L154,Akseptkriterier!$D$4:$E$8,2,FALSE),0)</f>
        <v/>
      </c>
      <c r="B154" s="93">
        <f>IFERROR(VLOOKUP('Risikoanalyse'!J154,Akseptkriterier!$F$4:$G$8,2,FALSE),0)</f>
        <v/>
      </c>
      <c r="C154" s="94">
        <f>IFERROR(VLOOKUP('Risikoanalyse'!R154,Akseptkriterier!$D$4:$E$8,2,FALSE),0)</f>
        <v/>
      </c>
      <c r="D154" s="93">
        <f>IFERROR(VLOOKUP('Risikoanalyse'!Q154,Akseptkriterier!$F$4:$G$8,2,FALSE),0)</f>
        <v/>
      </c>
      <c r="E154" s="136" t="n"/>
      <c r="F154" s="141" t="n"/>
      <c r="G154" s="133" t="n"/>
      <c r="H154" s="133" t="n"/>
      <c r="I154" s="141" t="n"/>
      <c r="J154" s="142" t="n"/>
      <c r="K154" s="141" t="n"/>
      <c r="L154" s="142" t="n"/>
      <c r="M154" s="141" t="n"/>
      <c r="N154" s="97">
        <f>IF(NOT(E154=""),IFERROR(VLOOKUP(A154,Akseptkriterier!$C$33:$H$37,MATCH(B154,Akseptkriterier!$D$32:$H$32,0)+1,FALSE),""),"")</f>
        <v/>
      </c>
      <c r="O154" s="124" t="n"/>
      <c r="P154" s="144" t="n"/>
      <c r="Q154" s="145" t="n"/>
      <c r="R154" s="145" t="n"/>
      <c r="S154" s="98">
        <f>IFERROR(VLOOKUP(C154,Akseptkriterier!$C$33:$H$37,MATCH(D154,Akseptkriterier!$D$32:$H$32,0)+1,FALSE),"")</f>
        <v/>
      </c>
    </row>
    <row r="155" ht="21" customHeight="1">
      <c r="A155" s="93">
        <f>IFERROR(VLOOKUP('Risikoanalyse'!L155,Akseptkriterier!$D$4:$E$8,2,FALSE),0)</f>
        <v/>
      </c>
      <c r="B155" s="93">
        <f>IFERROR(VLOOKUP('Risikoanalyse'!J155,Akseptkriterier!$F$4:$G$8,2,FALSE),0)</f>
        <v/>
      </c>
      <c r="C155" s="94">
        <f>IFERROR(VLOOKUP('Risikoanalyse'!R155,Akseptkriterier!$D$4:$E$8,2,FALSE),0)</f>
        <v/>
      </c>
      <c r="D155" s="93">
        <f>IFERROR(VLOOKUP('Risikoanalyse'!Q155,Akseptkriterier!$F$4:$G$8,2,FALSE),0)</f>
        <v/>
      </c>
      <c r="E155" s="121" t="n"/>
      <c r="F155" s="104" t="n"/>
      <c r="G155" s="100" t="n"/>
      <c r="H155" s="100" t="n"/>
      <c r="I155" s="104" t="n"/>
      <c r="J155" s="118" t="n"/>
      <c r="K155" s="104" t="n"/>
      <c r="L155" s="118" t="n"/>
      <c r="M155" s="104" t="n"/>
      <c r="N155" s="97">
        <f>IF(NOT(E155=""),IFERROR(VLOOKUP(A155,Akseptkriterier!$C$33:$H$37,MATCH(B155,Akseptkriterier!$D$32:$H$32,0)+1,FALSE),""),"")</f>
        <v/>
      </c>
      <c r="O155" s="124" t="n"/>
      <c r="P155" s="70" t="n"/>
      <c r="Q155" s="129" t="n"/>
      <c r="R155" s="129" t="n"/>
      <c r="S155" s="98">
        <f>IFERROR(VLOOKUP(C155,Akseptkriterier!$C$33:$H$37,MATCH(D155,Akseptkriterier!$D$32:$H$32,0)+1,FALSE),"")</f>
        <v/>
      </c>
    </row>
    <row r="156" ht="21" customHeight="1">
      <c r="A156" s="93">
        <f>IFERROR(VLOOKUP('Risikoanalyse'!L156,Akseptkriterier!$D$4:$E$8,2,FALSE),0)</f>
        <v/>
      </c>
      <c r="B156" s="93">
        <f>IFERROR(VLOOKUP('Risikoanalyse'!J156,Akseptkriterier!$F$4:$G$8,2,FALSE),0)</f>
        <v/>
      </c>
      <c r="C156" s="94">
        <f>IFERROR(VLOOKUP('Risikoanalyse'!R156,Akseptkriterier!$D$4:$E$8,2,FALSE),0)</f>
        <v/>
      </c>
      <c r="D156" s="93">
        <f>IFERROR(VLOOKUP('Risikoanalyse'!Q156,Akseptkriterier!$F$4:$G$8,2,FALSE),0)</f>
        <v/>
      </c>
      <c r="E156" s="136" t="n"/>
      <c r="F156" s="141" t="n"/>
      <c r="G156" s="133" t="n"/>
      <c r="H156" s="133" t="n"/>
      <c r="I156" s="141" t="n"/>
      <c r="J156" s="142" t="n"/>
      <c r="K156" s="141" t="n"/>
      <c r="L156" s="142" t="n"/>
      <c r="M156" s="141" t="n"/>
      <c r="N156" s="97">
        <f>IF(NOT(E156=""),IFERROR(VLOOKUP(A156,Akseptkriterier!$C$33:$H$37,MATCH(B156,Akseptkriterier!$D$32:$H$32,0)+1,FALSE),""),"")</f>
        <v/>
      </c>
      <c r="O156" s="124" t="n"/>
      <c r="P156" s="144" t="n"/>
      <c r="Q156" s="145" t="n"/>
      <c r="R156" s="145" t="n"/>
      <c r="S156" s="98">
        <f>IFERROR(VLOOKUP(C156,Akseptkriterier!$C$33:$H$37,MATCH(D156,Akseptkriterier!$D$32:$H$32,0)+1,FALSE),"")</f>
        <v/>
      </c>
    </row>
    <row r="157" ht="21" customHeight="1">
      <c r="A157" s="93">
        <f>IFERROR(VLOOKUP('Risikoanalyse'!L157,Akseptkriterier!$D$4:$E$8,2,FALSE),0)</f>
        <v/>
      </c>
      <c r="B157" s="93">
        <f>IFERROR(VLOOKUP('Risikoanalyse'!J157,Akseptkriterier!$F$4:$G$8,2,FALSE),0)</f>
        <v/>
      </c>
      <c r="C157" s="94">
        <f>IFERROR(VLOOKUP('Risikoanalyse'!R157,Akseptkriterier!$D$4:$E$8,2,FALSE),0)</f>
        <v/>
      </c>
      <c r="D157" s="93">
        <f>IFERROR(VLOOKUP('Risikoanalyse'!Q157,Akseptkriterier!$F$4:$G$8,2,FALSE),0)</f>
        <v/>
      </c>
      <c r="E157" s="121" t="n"/>
      <c r="F157" s="104" t="n"/>
      <c r="G157" s="100" t="n"/>
      <c r="H157" s="100" t="n"/>
      <c r="I157" s="104" t="n"/>
      <c r="J157" s="118" t="n"/>
      <c r="K157" s="104" t="n"/>
      <c r="L157" s="118" t="n"/>
      <c r="M157" s="104" t="n"/>
      <c r="N157" s="97">
        <f>IF(NOT(E157=""),IFERROR(VLOOKUP(A157,Akseptkriterier!$C$33:$H$37,MATCH(B157,Akseptkriterier!$D$32:$H$32,0)+1,FALSE),""),"")</f>
        <v/>
      </c>
      <c r="O157" s="124" t="n"/>
      <c r="P157" s="70" t="n"/>
      <c r="Q157" s="129" t="n"/>
      <c r="R157" s="129" t="n"/>
      <c r="S157" s="98">
        <f>IFERROR(VLOOKUP(C157,Akseptkriterier!$C$33:$H$37,MATCH(D157,Akseptkriterier!$D$32:$H$32,0)+1,FALSE),"")</f>
        <v/>
      </c>
    </row>
    <row r="158" ht="21" customHeight="1">
      <c r="A158" s="93">
        <f>IFERROR(VLOOKUP('Risikoanalyse'!L158,Akseptkriterier!$D$4:$E$8,2,FALSE),0)</f>
        <v/>
      </c>
      <c r="B158" s="93">
        <f>IFERROR(VLOOKUP('Risikoanalyse'!J158,Akseptkriterier!$F$4:$G$8,2,FALSE),0)</f>
        <v/>
      </c>
      <c r="C158" s="94">
        <f>IFERROR(VLOOKUP('Risikoanalyse'!R158,Akseptkriterier!$D$4:$E$8,2,FALSE),0)</f>
        <v/>
      </c>
      <c r="D158" s="93">
        <f>IFERROR(VLOOKUP('Risikoanalyse'!Q158,Akseptkriterier!$F$4:$G$8,2,FALSE),0)</f>
        <v/>
      </c>
      <c r="E158" s="136" t="n"/>
      <c r="F158" s="141" t="n"/>
      <c r="G158" s="133" t="n"/>
      <c r="H158" s="133" t="n"/>
      <c r="I158" s="141" t="n"/>
      <c r="J158" s="142" t="n"/>
      <c r="K158" s="141" t="n"/>
      <c r="L158" s="142" t="n"/>
      <c r="M158" s="141" t="n"/>
      <c r="N158" s="97">
        <f>IF(NOT(E158=""),IFERROR(VLOOKUP(A158,Akseptkriterier!$C$33:$H$37,MATCH(B158,Akseptkriterier!$D$32:$H$32,0)+1,FALSE),""),"")</f>
        <v/>
      </c>
      <c r="O158" s="124" t="n"/>
      <c r="P158" s="144" t="n"/>
      <c r="Q158" s="145" t="n"/>
      <c r="R158" s="145" t="n"/>
      <c r="S158" s="98">
        <f>IFERROR(VLOOKUP(C158,Akseptkriterier!$C$33:$H$37,MATCH(D158,Akseptkriterier!$D$32:$H$32,0)+1,FALSE),"")</f>
        <v/>
      </c>
    </row>
    <row r="159" ht="21" customHeight="1">
      <c r="A159" s="93">
        <f>IFERROR(VLOOKUP('Risikoanalyse'!L159,Akseptkriterier!$D$4:$E$8,2,FALSE),0)</f>
        <v/>
      </c>
      <c r="B159" s="93">
        <f>IFERROR(VLOOKUP('Risikoanalyse'!J159,Akseptkriterier!$F$4:$G$8,2,FALSE),0)</f>
        <v/>
      </c>
      <c r="C159" s="94">
        <f>IFERROR(VLOOKUP('Risikoanalyse'!R159,Akseptkriterier!$D$4:$E$8,2,FALSE),0)</f>
        <v/>
      </c>
      <c r="D159" s="93">
        <f>IFERROR(VLOOKUP('Risikoanalyse'!Q159,Akseptkriterier!$F$4:$G$8,2,FALSE),0)</f>
        <v/>
      </c>
      <c r="E159" s="121" t="n"/>
      <c r="F159" s="104" t="n"/>
      <c r="G159" s="100" t="n"/>
      <c r="H159" s="100" t="n"/>
      <c r="I159" s="104" t="n"/>
      <c r="J159" s="118" t="n"/>
      <c r="K159" s="104" t="n"/>
      <c r="L159" s="118" t="n"/>
      <c r="M159" s="104" t="n"/>
      <c r="N159" s="97">
        <f>IF(NOT(E159=""),IFERROR(VLOOKUP(A159,Akseptkriterier!$C$33:$H$37,MATCH(B159,Akseptkriterier!$D$32:$H$32,0)+1,FALSE),""),"")</f>
        <v/>
      </c>
      <c r="O159" s="124" t="n"/>
      <c r="P159" s="70" t="n"/>
      <c r="Q159" s="129" t="n"/>
      <c r="R159" s="129" t="n"/>
      <c r="S159" s="98">
        <f>IFERROR(VLOOKUP(C159,Akseptkriterier!$C$33:$H$37,MATCH(D159,Akseptkriterier!$D$32:$H$32,0)+1,FALSE),"")</f>
        <v/>
      </c>
    </row>
    <row r="160" ht="21" customHeight="1">
      <c r="A160" s="93">
        <f>IFERROR(VLOOKUP('Risikoanalyse'!L160,Akseptkriterier!$D$4:$E$8,2,FALSE),0)</f>
        <v/>
      </c>
      <c r="B160" s="93">
        <f>IFERROR(VLOOKUP('Risikoanalyse'!J160,Akseptkriterier!$F$4:$G$8,2,FALSE),0)</f>
        <v/>
      </c>
      <c r="C160" s="94">
        <f>IFERROR(VLOOKUP('Risikoanalyse'!R160,Akseptkriterier!$D$4:$E$8,2,FALSE),0)</f>
        <v/>
      </c>
      <c r="D160" s="93">
        <f>IFERROR(VLOOKUP('Risikoanalyse'!Q160,Akseptkriterier!$F$4:$G$8,2,FALSE),0)</f>
        <v/>
      </c>
      <c r="E160" s="136" t="n"/>
      <c r="F160" s="141" t="n"/>
      <c r="G160" s="133" t="n"/>
      <c r="H160" s="133" t="n"/>
      <c r="I160" s="141" t="n"/>
      <c r="J160" s="142" t="n"/>
      <c r="K160" s="141" t="n"/>
      <c r="L160" s="142" t="n"/>
      <c r="M160" s="141" t="n"/>
      <c r="N160" s="97">
        <f>IF(NOT(E160=""),IFERROR(VLOOKUP(A160,Akseptkriterier!$C$33:$H$37,MATCH(B160,Akseptkriterier!$D$32:$H$32,0)+1,FALSE),""),"")</f>
        <v/>
      </c>
      <c r="O160" s="124" t="n"/>
      <c r="P160" s="144" t="n"/>
      <c r="Q160" s="145" t="n"/>
      <c r="R160" s="145" t="n"/>
      <c r="S160" s="98">
        <f>IFERROR(VLOOKUP(C160,Akseptkriterier!$C$33:$H$37,MATCH(D160,Akseptkriterier!$D$32:$H$32,0)+1,FALSE),"")</f>
        <v/>
      </c>
    </row>
    <row r="161" ht="21" customHeight="1">
      <c r="A161" s="93">
        <f>IFERROR(VLOOKUP('Risikoanalyse'!L161,Akseptkriterier!$D$4:$E$8,2,FALSE),0)</f>
        <v/>
      </c>
      <c r="B161" s="93">
        <f>IFERROR(VLOOKUP('Risikoanalyse'!J161,Akseptkriterier!$F$4:$G$8,2,FALSE),0)</f>
        <v/>
      </c>
      <c r="C161" s="94">
        <f>IFERROR(VLOOKUP('Risikoanalyse'!R161,Akseptkriterier!$D$4:$E$8,2,FALSE),0)</f>
        <v/>
      </c>
      <c r="D161" s="93">
        <f>IFERROR(VLOOKUP('Risikoanalyse'!Q161,Akseptkriterier!$F$4:$G$8,2,FALSE),0)</f>
        <v/>
      </c>
      <c r="E161" s="121" t="n"/>
      <c r="F161" s="104" t="n"/>
      <c r="G161" s="100" t="n"/>
      <c r="H161" s="100" t="n"/>
      <c r="I161" s="104" t="n"/>
      <c r="J161" s="118" t="n"/>
      <c r="K161" s="104" t="n"/>
      <c r="L161" s="118" t="n"/>
      <c r="M161" s="104" t="n"/>
      <c r="N161" s="97">
        <f>IF(NOT(E161=""),IFERROR(VLOOKUP(A161,Akseptkriterier!$C$33:$H$37,MATCH(B161,Akseptkriterier!$D$32:$H$32,0)+1,FALSE),""),"")</f>
        <v/>
      </c>
      <c r="O161" s="124" t="n"/>
      <c r="P161" s="70" t="n"/>
      <c r="Q161" s="129" t="n"/>
      <c r="R161" s="129" t="n"/>
      <c r="S161" s="98">
        <f>IFERROR(VLOOKUP(C161,Akseptkriterier!$C$33:$H$37,MATCH(D161,Akseptkriterier!$D$32:$H$32,0)+1,FALSE),"")</f>
        <v/>
      </c>
    </row>
    <row r="162" ht="21" customHeight="1">
      <c r="A162" s="93">
        <f>IFERROR(VLOOKUP('Risikoanalyse'!L162,Akseptkriterier!$D$4:$E$8,2,FALSE),0)</f>
        <v/>
      </c>
      <c r="B162" s="93">
        <f>IFERROR(VLOOKUP('Risikoanalyse'!J162,Akseptkriterier!$F$4:$G$8,2,FALSE),0)</f>
        <v/>
      </c>
      <c r="C162" s="94">
        <f>IFERROR(VLOOKUP('Risikoanalyse'!R162,Akseptkriterier!$D$4:$E$8,2,FALSE),0)</f>
        <v/>
      </c>
      <c r="D162" s="93">
        <f>IFERROR(VLOOKUP('Risikoanalyse'!Q162,Akseptkriterier!$F$4:$G$8,2,FALSE),0)</f>
        <v/>
      </c>
      <c r="E162" s="136" t="n"/>
      <c r="F162" s="141" t="n"/>
      <c r="G162" s="133" t="n"/>
      <c r="H162" s="133" t="n"/>
      <c r="I162" s="141" t="n"/>
      <c r="J162" s="142" t="n"/>
      <c r="K162" s="141" t="n"/>
      <c r="L162" s="142" t="n"/>
      <c r="M162" s="141" t="n"/>
      <c r="N162" s="97">
        <f>IF(NOT(E162=""),IFERROR(VLOOKUP(A162,Akseptkriterier!$C$33:$H$37,MATCH(B162,Akseptkriterier!$D$32:$H$32,0)+1,FALSE),""),"")</f>
        <v/>
      </c>
      <c r="O162" s="124" t="n"/>
      <c r="P162" s="144" t="n"/>
      <c r="Q162" s="145" t="n"/>
      <c r="R162" s="145" t="n"/>
      <c r="S162" s="98">
        <f>IFERROR(VLOOKUP(C162,Akseptkriterier!$C$33:$H$37,MATCH(D162,Akseptkriterier!$D$32:$H$32,0)+1,FALSE),"")</f>
        <v/>
      </c>
    </row>
    <row r="163" ht="21" customHeight="1">
      <c r="A163" s="93">
        <f>IFERROR(VLOOKUP('Risikoanalyse'!L163,Akseptkriterier!$D$4:$E$8,2,FALSE),0)</f>
        <v/>
      </c>
      <c r="B163" s="93">
        <f>IFERROR(VLOOKUP('Risikoanalyse'!J163,Akseptkriterier!$F$4:$G$8,2,FALSE),0)</f>
        <v/>
      </c>
      <c r="C163" s="94">
        <f>IFERROR(VLOOKUP('Risikoanalyse'!R163,Akseptkriterier!$D$4:$E$8,2,FALSE),0)</f>
        <v/>
      </c>
      <c r="D163" s="93">
        <f>IFERROR(VLOOKUP('Risikoanalyse'!Q163,Akseptkriterier!$F$4:$G$8,2,FALSE),0)</f>
        <v/>
      </c>
      <c r="E163" s="121" t="n"/>
      <c r="F163" s="104" t="n"/>
      <c r="G163" s="100" t="n"/>
      <c r="H163" s="100" t="n"/>
      <c r="I163" s="104" t="n"/>
      <c r="J163" s="118" t="n"/>
      <c r="K163" s="104" t="n"/>
      <c r="L163" s="118" t="n"/>
      <c r="M163" s="104" t="n"/>
      <c r="N163" s="97">
        <f>IF(NOT(E163=""),IFERROR(VLOOKUP(A163,Akseptkriterier!$C$33:$H$37,MATCH(B163,Akseptkriterier!$D$32:$H$32,0)+1,FALSE),""),"")</f>
        <v/>
      </c>
      <c r="O163" s="124" t="n"/>
      <c r="P163" s="70" t="n"/>
      <c r="Q163" s="129" t="n"/>
      <c r="R163" s="129" t="n"/>
      <c r="S163" s="98">
        <f>IFERROR(VLOOKUP(C163,Akseptkriterier!$C$33:$H$37,MATCH(D163,Akseptkriterier!$D$32:$H$32,0)+1,FALSE),"")</f>
        <v/>
      </c>
    </row>
    <row r="164" ht="21" customHeight="1">
      <c r="A164" s="93">
        <f>IFERROR(VLOOKUP('Risikoanalyse'!L164,Akseptkriterier!$D$4:$E$8,2,FALSE),0)</f>
        <v/>
      </c>
      <c r="B164" s="93">
        <f>IFERROR(VLOOKUP('Risikoanalyse'!J164,Akseptkriterier!$F$4:$G$8,2,FALSE),0)</f>
        <v/>
      </c>
      <c r="C164" s="94">
        <f>IFERROR(VLOOKUP('Risikoanalyse'!R164,Akseptkriterier!$D$4:$E$8,2,FALSE),0)</f>
        <v/>
      </c>
      <c r="D164" s="93">
        <f>IFERROR(VLOOKUP('Risikoanalyse'!Q164,Akseptkriterier!$F$4:$G$8,2,FALSE),0)</f>
        <v/>
      </c>
      <c r="E164" s="136" t="n"/>
      <c r="F164" s="141" t="n"/>
      <c r="G164" s="133" t="n"/>
      <c r="H164" s="133" t="n"/>
      <c r="I164" s="141" t="n"/>
      <c r="J164" s="142" t="n"/>
      <c r="K164" s="141" t="n"/>
      <c r="L164" s="142" t="n"/>
      <c r="M164" s="141" t="n"/>
      <c r="N164" s="97">
        <f>IF(NOT(E164=""),IFERROR(VLOOKUP(A164,Akseptkriterier!$C$33:$H$37,MATCH(B164,Akseptkriterier!$D$32:$H$32,0)+1,FALSE),""),"")</f>
        <v/>
      </c>
      <c r="O164" s="124" t="n"/>
      <c r="P164" s="144" t="n"/>
      <c r="Q164" s="145" t="n"/>
      <c r="R164" s="145" t="n"/>
      <c r="S164" s="98">
        <f>IFERROR(VLOOKUP(C164,Akseptkriterier!$C$33:$H$37,MATCH(D164,Akseptkriterier!$D$32:$H$32,0)+1,FALSE),"")</f>
        <v/>
      </c>
    </row>
    <row r="165" ht="21" customHeight="1">
      <c r="A165" s="93">
        <f>IFERROR(VLOOKUP('Risikoanalyse'!L165,Akseptkriterier!$D$4:$E$8,2,FALSE),0)</f>
        <v/>
      </c>
      <c r="B165" s="93">
        <f>IFERROR(VLOOKUP('Risikoanalyse'!J165,Akseptkriterier!$F$4:$G$8,2,FALSE),0)</f>
        <v/>
      </c>
      <c r="C165" s="94">
        <f>IFERROR(VLOOKUP('Risikoanalyse'!R165,Akseptkriterier!$D$4:$E$8,2,FALSE),0)</f>
        <v/>
      </c>
      <c r="D165" s="93">
        <f>IFERROR(VLOOKUP('Risikoanalyse'!Q165,Akseptkriterier!$F$4:$G$8,2,FALSE),0)</f>
        <v/>
      </c>
      <c r="E165" s="121" t="n"/>
      <c r="F165" s="104" t="n"/>
      <c r="G165" s="100" t="n"/>
      <c r="H165" s="100" t="n"/>
      <c r="I165" s="104" t="n"/>
      <c r="J165" s="118" t="n"/>
      <c r="K165" s="104" t="n"/>
      <c r="L165" s="118" t="n"/>
      <c r="M165" s="104" t="n"/>
      <c r="N165" s="97">
        <f>IF(NOT(E165=""),IFERROR(VLOOKUP(A165,Akseptkriterier!$C$33:$H$37,MATCH(B165,Akseptkriterier!$D$32:$H$32,0)+1,FALSE),""),"")</f>
        <v/>
      </c>
      <c r="O165" s="124" t="n"/>
      <c r="P165" s="70" t="n"/>
      <c r="Q165" s="129" t="n"/>
      <c r="R165" s="129" t="n"/>
      <c r="S165" s="98">
        <f>IFERROR(VLOOKUP(C165,Akseptkriterier!$C$33:$H$37,MATCH(D165,Akseptkriterier!$D$32:$H$32,0)+1,FALSE),"")</f>
        <v/>
      </c>
    </row>
    <row r="166" ht="21" customHeight="1">
      <c r="A166" s="93">
        <f>IFERROR(VLOOKUP('Risikoanalyse'!L166,Akseptkriterier!$D$4:$E$8,2,FALSE),0)</f>
        <v/>
      </c>
      <c r="B166" s="93">
        <f>IFERROR(VLOOKUP('Risikoanalyse'!J166,Akseptkriterier!$F$4:$G$8,2,FALSE),0)</f>
        <v/>
      </c>
      <c r="C166" s="94">
        <f>IFERROR(VLOOKUP('Risikoanalyse'!R166,Akseptkriterier!$D$4:$E$8,2,FALSE),0)</f>
        <v/>
      </c>
      <c r="D166" s="93">
        <f>IFERROR(VLOOKUP('Risikoanalyse'!Q166,Akseptkriterier!$F$4:$G$8,2,FALSE),0)</f>
        <v/>
      </c>
      <c r="E166" s="136" t="n"/>
      <c r="F166" s="141" t="n"/>
      <c r="G166" s="133" t="n"/>
      <c r="H166" s="133" t="n"/>
      <c r="I166" s="141" t="n"/>
      <c r="J166" s="142" t="n"/>
      <c r="K166" s="141" t="n"/>
      <c r="L166" s="142" t="n"/>
      <c r="M166" s="141" t="n"/>
      <c r="N166" s="97">
        <f>IF(NOT(E166=""),IFERROR(VLOOKUP(A166,Akseptkriterier!$C$33:$H$37,MATCH(B166,Akseptkriterier!$D$32:$H$32,0)+1,FALSE),""),"")</f>
        <v/>
      </c>
      <c r="O166" s="124" t="n"/>
      <c r="P166" s="144" t="n"/>
      <c r="Q166" s="145" t="n"/>
      <c r="R166" s="145" t="n"/>
      <c r="S166" s="98">
        <f>IFERROR(VLOOKUP(C166,Akseptkriterier!$C$33:$H$37,MATCH(D166,Akseptkriterier!$D$32:$H$32,0)+1,FALSE),"")</f>
        <v/>
      </c>
    </row>
    <row r="167" ht="21" customHeight="1">
      <c r="A167" s="93">
        <f>IFERROR(VLOOKUP('Risikoanalyse'!L167,Akseptkriterier!$D$4:$E$8,2,FALSE),0)</f>
        <v/>
      </c>
      <c r="B167" s="93">
        <f>IFERROR(VLOOKUP('Risikoanalyse'!J167,Akseptkriterier!$F$4:$G$8,2,FALSE),0)</f>
        <v/>
      </c>
      <c r="C167" s="94">
        <f>IFERROR(VLOOKUP('Risikoanalyse'!R167,Akseptkriterier!$D$4:$E$8,2,FALSE),0)</f>
        <v/>
      </c>
      <c r="D167" s="93">
        <f>IFERROR(VLOOKUP('Risikoanalyse'!Q167,Akseptkriterier!$F$4:$G$8,2,FALSE),0)</f>
        <v/>
      </c>
      <c r="E167" s="121" t="n"/>
      <c r="F167" s="104" t="n"/>
      <c r="G167" s="100" t="n"/>
      <c r="H167" s="100" t="n"/>
      <c r="I167" s="104" t="n"/>
      <c r="J167" s="118" t="n"/>
      <c r="K167" s="104" t="n"/>
      <c r="L167" s="118" t="n"/>
      <c r="M167" s="104" t="n"/>
      <c r="N167" s="97">
        <f>IF(NOT(E167=""),IFERROR(VLOOKUP(A167,Akseptkriterier!$C$33:$H$37,MATCH(B167,Akseptkriterier!$D$32:$H$32,0)+1,FALSE),""),"")</f>
        <v/>
      </c>
      <c r="O167" s="124" t="n"/>
      <c r="P167" s="70" t="n"/>
      <c r="Q167" s="129" t="n"/>
      <c r="R167" s="129" t="n"/>
      <c r="S167" s="98">
        <f>IFERROR(VLOOKUP(C167,Akseptkriterier!$C$33:$H$37,MATCH(D167,Akseptkriterier!$D$32:$H$32,0)+1,FALSE),"")</f>
        <v/>
      </c>
    </row>
    <row r="168" ht="21" customHeight="1">
      <c r="A168" s="93">
        <f>IFERROR(VLOOKUP('Risikoanalyse'!L168,Akseptkriterier!$D$4:$E$8,2,FALSE),0)</f>
        <v/>
      </c>
      <c r="B168" s="93">
        <f>IFERROR(VLOOKUP('Risikoanalyse'!J168,Akseptkriterier!$F$4:$G$8,2,FALSE),0)</f>
        <v/>
      </c>
      <c r="C168" s="94">
        <f>IFERROR(VLOOKUP('Risikoanalyse'!R168,Akseptkriterier!$D$4:$E$8,2,FALSE),0)</f>
        <v/>
      </c>
      <c r="D168" s="93">
        <f>IFERROR(VLOOKUP('Risikoanalyse'!Q168,Akseptkriterier!$F$4:$G$8,2,FALSE),0)</f>
        <v/>
      </c>
      <c r="E168" s="136" t="n"/>
      <c r="F168" s="141" t="n"/>
      <c r="G168" s="133" t="n"/>
      <c r="H168" s="133" t="n"/>
      <c r="I168" s="141" t="n"/>
      <c r="J168" s="142" t="n"/>
      <c r="K168" s="141" t="n"/>
      <c r="L168" s="142" t="n"/>
      <c r="M168" s="141" t="n"/>
      <c r="N168" s="97">
        <f>IF(NOT(E168=""),IFERROR(VLOOKUP(A168,Akseptkriterier!$C$33:$H$37,MATCH(B168,Akseptkriterier!$D$32:$H$32,0)+1,FALSE),""),"")</f>
        <v/>
      </c>
      <c r="O168" s="124" t="n"/>
      <c r="P168" s="144" t="n"/>
      <c r="Q168" s="145" t="n"/>
      <c r="R168" s="145" t="n"/>
      <c r="S168" s="98">
        <f>IFERROR(VLOOKUP(C168,Akseptkriterier!$C$33:$H$37,MATCH(D168,Akseptkriterier!$D$32:$H$32,0)+1,FALSE),"")</f>
        <v/>
      </c>
    </row>
    <row r="169" ht="21" customHeight="1">
      <c r="A169" s="93">
        <f>IFERROR(VLOOKUP('Risikoanalyse'!L169,Akseptkriterier!$D$4:$E$8,2,FALSE),0)</f>
        <v/>
      </c>
      <c r="B169" s="93">
        <f>IFERROR(VLOOKUP('Risikoanalyse'!J169,Akseptkriterier!$F$4:$G$8,2,FALSE),0)</f>
        <v/>
      </c>
      <c r="C169" s="94">
        <f>IFERROR(VLOOKUP('Risikoanalyse'!R169,Akseptkriterier!$D$4:$E$8,2,FALSE),0)</f>
        <v/>
      </c>
      <c r="D169" s="93">
        <f>IFERROR(VLOOKUP('Risikoanalyse'!Q169,Akseptkriterier!$F$4:$G$8,2,FALSE),0)</f>
        <v/>
      </c>
      <c r="E169" s="121" t="n"/>
      <c r="F169" s="104" t="n"/>
      <c r="G169" s="100" t="n"/>
      <c r="H169" s="100" t="n"/>
      <c r="I169" s="104" t="n"/>
      <c r="J169" s="118" t="n"/>
      <c r="K169" s="104" t="n"/>
      <c r="L169" s="118" t="n"/>
      <c r="M169" s="104" t="n"/>
      <c r="N169" s="97">
        <f>IF(NOT(E169=""),IFERROR(VLOOKUP(A169,Akseptkriterier!$C$33:$H$37,MATCH(B169,Akseptkriterier!$D$32:$H$32,0)+1,FALSE),""),"")</f>
        <v/>
      </c>
      <c r="O169" s="124" t="n"/>
      <c r="P169" s="70" t="n"/>
      <c r="Q169" s="129" t="n"/>
      <c r="R169" s="129" t="n"/>
      <c r="S169" s="98">
        <f>IFERROR(VLOOKUP(C169,Akseptkriterier!$C$33:$H$37,MATCH(D169,Akseptkriterier!$D$32:$H$32,0)+1,FALSE),"")</f>
        <v/>
      </c>
    </row>
    <row r="170" ht="21" customHeight="1">
      <c r="A170" s="93">
        <f>IFERROR(VLOOKUP('Risikoanalyse'!L170,Akseptkriterier!$D$4:$E$8,2,FALSE),0)</f>
        <v/>
      </c>
      <c r="B170" s="93">
        <f>IFERROR(VLOOKUP('Risikoanalyse'!J170,Akseptkriterier!$F$4:$G$8,2,FALSE),0)</f>
        <v/>
      </c>
      <c r="C170" s="94">
        <f>IFERROR(VLOOKUP('Risikoanalyse'!R170,Akseptkriterier!$D$4:$E$8,2,FALSE),0)</f>
        <v/>
      </c>
      <c r="D170" s="93">
        <f>IFERROR(VLOOKUP('Risikoanalyse'!Q170,Akseptkriterier!$F$4:$G$8,2,FALSE),0)</f>
        <v/>
      </c>
      <c r="E170" s="136" t="n"/>
      <c r="F170" s="141" t="n"/>
      <c r="G170" s="133" t="n"/>
      <c r="H170" s="133" t="n"/>
      <c r="I170" s="141" t="n"/>
      <c r="J170" s="142" t="n"/>
      <c r="K170" s="141" t="n"/>
      <c r="L170" s="142" t="n"/>
      <c r="M170" s="141" t="n"/>
      <c r="N170" s="97">
        <f>IF(NOT(E170=""),IFERROR(VLOOKUP(A170,Akseptkriterier!$C$33:$H$37,MATCH(B170,Akseptkriterier!$D$32:$H$32,0)+1,FALSE),""),"")</f>
        <v/>
      </c>
      <c r="O170" s="124" t="n"/>
      <c r="P170" s="144" t="n"/>
      <c r="Q170" s="145" t="n"/>
      <c r="R170" s="145" t="n"/>
      <c r="S170" s="98">
        <f>IFERROR(VLOOKUP(C170,Akseptkriterier!$C$33:$H$37,MATCH(D170,Akseptkriterier!$D$32:$H$32,0)+1,FALSE),"")</f>
        <v/>
      </c>
    </row>
    <row r="171" ht="21" customHeight="1">
      <c r="A171" s="93">
        <f>IFERROR(VLOOKUP('Risikoanalyse'!L171,Akseptkriterier!$D$4:$E$8,2,FALSE),0)</f>
        <v/>
      </c>
      <c r="B171" s="93">
        <f>IFERROR(VLOOKUP('Risikoanalyse'!J171,Akseptkriterier!$F$4:$G$8,2,FALSE),0)</f>
        <v/>
      </c>
      <c r="C171" s="94">
        <f>IFERROR(VLOOKUP('Risikoanalyse'!R171,Akseptkriterier!$D$4:$E$8,2,FALSE),0)</f>
        <v/>
      </c>
      <c r="D171" s="93">
        <f>IFERROR(VLOOKUP('Risikoanalyse'!Q171,Akseptkriterier!$F$4:$G$8,2,FALSE),0)</f>
        <v/>
      </c>
      <c r="E171" s="121" t="n"/>
      <c r="F171" s="104" t="n"/>
      <c r="G171" s="100" t="n"/>
      <c r="H171" s="100" t="n"/>
      <c r="I171" s="104" t="n"/>
      <c r="J171" s="118" t="n"/>
      <c r="K171" s="104" t="n"/>
      <c r="L171" s="118" t="n"/>
      <c r="M171" s="104" t="n"/>
      <c r="N171" s="97">
        <f>IF(NOT(E171=""),IFERROR(VLOOKUP(A171,Akseptkriterier!$C$33:$H$37,MATCH(B171,Akseptkriterier!$D$32:$H$32,0)+1,FALSE),""),"")</f>
        <v/>
      </c>
      <c r="O171" s="124" t="n"/>
      <c r="P171" s="70" t="n"/>
      <c r="Q171" s="129" t="n"/>
      <c r="R171" s="129" t="n"/>
      <c r="S171" s="99">
        <f>IFERROR(VLOOKUP(C171,Akseptkriterier!$C$33:$H$37,MATCH(D171,Akseptkriterier!$D$32:$H$32,0)+1,FALSE),"")</f>
        <v/>
      </c>
    </row>
    <row r="172" ht="21" customHeight="1">
      <c r="A172" s="93">
        <f>IFERROR(VLOOKUP('Risikoanalyse'!L172,Akseptkriterier!$D$4:$E$8,2,FALSE),0)</f>
        <v/>
      </c>
      <c r="B172" s="93">
        <f>IFERROR(VLOOKUP('Risikoanalyse'!J172,Akseptkriterier!$F$4:$G$8,2,FALSE),0)</f>
        <v/>
      </c>
      <c r="C172" s="94">
        <f>IFERROR(VLOOKUP('Risikoanalyse'!R172,Akseptkriterier!$D$4:$E$8,2,FALSE),0)</f>
        <v/>
      </c>
      <c r="D172" s="93">
        <f>IFERROR(VLOOKUP('Risikoanalyse'!Q172,Akseptkriterier!$F$4:$G$8,2,FALSE),0)</f>
        <v/>
      </c>
      <c r="E172" s="136" t="n"/>
      <c r="F172" s="141" t="n"/>
      <c r="G172" s="133" t="n"/>
      <c r="H172" s="133" t="n"/>
      <c r="I172" s="141" t="n"/>
      <c r="J172" s="142" t="n"/>
      <c r="K172" s="141" t="n"/>
      <c r="L172" s="142" t="n"/>
      <c r="M172" s="141" t="n"/>
      <c r="N172" s="97">
        <f>IF(NOT(E172=""),IFERROR(VLOOKUP(A172,Akseptkriterier!$C$33:$H$37,MATCH(B172,Akseptkriterier!$D$32:$H$32,0)+1,FALSE),""),"")</f>
        <v/>
      </c>
      <c r="O172" s="124" t="n"/>
      <c r="P172" s="144" t="n"/>
      <c r="Q172" s="145" t="n"/>
      <c r="R172" s="145" t="n"/>
      <c r="S172" s="99">
        <f>IFERROR(VLOOKUP(C172,Akseptkriterier!$C$33:$H$37,MATCH(D172,Akseptkriterier!$D$32:$H$32,0)+1,FALSE),"")</f>
        <v/>
      </c>
    </row>
    <row r="173" ht="21" customHeight="1">
      <c r="A173" s="93">
        <f>IFERROR(VLOOKUP('Risikoanalyse'!L173,Akseptkriterier!$D$4:$E$8,2,FALSE),0)</f>
        <v/>
      </c>
      <c r="B173" s="93">
        <f>IFERROR(VLOOKUP('Risikoanalyse'!J173,Akseptkriterier!$F$4:$G$8,2,FALSE),0)</f>
        <v/>
      </c>
      <c r="C173" s="94">
        <f>IFERROR(VLOOKUP('Risikoanalyse'!R173,Akseptkriterier!$D$4:$E$8,2,FALSE),0)</f>
        <v/>
      </c>
      <c r="D173" s="93">
        <f>IFERROR(VLOOKUP('Risikoanalyse'!Q173,Akseptkriterier!$F$4:$G$8,2,FALSE),0)</f>
        <v/>
      </c>
      <c r="E173" s="121" t="n"/>
      <c r="F173" s="104" t="n"/>
      <c r="G173" s="100" t="n"/>
      <c r="H173" s="100" t="n"/>
      <c r="I173" s="104" t="n"/>
      <c r="J173" s="118" t="n"/>
      <c r="K173" s="104" t="n"/>
      <c r="L173" s="118" t="n"/>
      <c r="M173" s="104" t="n"/>
      <c r="N173" s="97">
        <f>IF(NOT(E173=""),IFERROR(VLOOKUP(A173,Akseptkriterier!$C$33:$H$37,MATCH(B173,Akseptkriterier!$D$32:$H$32,0)+1,FALSE),""),"")</f>
        <v/>
      </c>
      <c r="O173" s="124" t="n"/>
      <c r="P173" s="70" t="n"/>
      <c r="Q173" s="129" t="n"/>
      <c r="R173" s="129" t="n"/>
      <c r="S173" s="99">
        <f>IFERROR(VLOOKUP(C173,Akseptkriterier!$C$33:$H$37,MATCH(D173,Akseptkriterier!$D$32:$H$32,0)+1,FALSE),"")</f>
        <v/>
      </c>
    </row>
    <row r="174" ht="21" customHeight="1">
      <c r="A174" s="93">
        <f>IFERROR(VLOOKUP('Risikoanalyse'!L174,Akseptkriterier!$D$4:$E$8,2,FALSE),0)</f>
        <v/>
      </c>
      <c r="B174" s="93">
        <f>IFERROR(VLOOKUP('Risikoanalyse'!J174,Akseptkriterier!$F$4:$G$8,2,FALSE),0)</f>
        <v/>
      </c>
      <c r="C174" s="94">
        <f>IFERROR(VLOOKUP('Risikoanalyse'!R174,Akseptkriterier!$D$4:$E$8,2,FALSE),0)</f>
        <v/>
      </c>
      <c r="D174" s="93">
        <f>IFERROR(VLOOKUP('Risikoanalyse'!Q174,Akseptkriterier!$F$4:$G$8,2,FALSE),0)</f>
        <v/>
      </c>
      <c r="E174" s="136" t="n"/>
      <c r="F174" s="141" t="n"/>
      <c r="G174" s="133" t="n"/>
      <c r="H174" s="133" t="n"/>
      <c r="I174" s="141" t="n"/>
      <c r="J174" s="142" t="n"/>
      <c r="K174" s="141" t="n"/>
      <c r="L174" s="142" t="n"/>
      <c r="M174" s="141" t="n"/>
      <c r="N174" s="97">
        <f>IF(NOT(E174=""),IFERROR(VLOOKUP(A174,Akseptkriterier!$C$33:$H$37,MATCH(B174,Akseptkriterier!$D$32:$H$32,0)+1,FALSE),""),"")</f>
        <v/>
      </c>
      <c r="O174" s="124" t="n"/>
      <c r="P174" s="144" t="n"/>
      <c r="Q174" s="145" t="n"/>
      <c r="R174" s="145" t="n"/>
      <c r="S174" s="99">
        <f>IFERROR(VLOOKUP(C174,Akseptkriterier!$C$33:$H$37,MATCH(D174,Akseptkriterier!$D$32:$H$32,0)+1,FALSE),"")</f>
        <v/>
      </c>
    </row>
    <row r="175" ht="21" customHeight="1">
      <c r="A175" s="93">
        <f>IFERROR(VLOOKUP('Risikoanalyse'!L175,Akseptkriterier!$D$4:$E$8,2,FALSE),0)</f>
        <v/>
      </c>
      <c r="B175" s="93">
        <f>IFERROR(VLOOKUP('Risikoanalyse'!J175,Akseptkriterier!$F$4:$G$8,2,FALSE),0)</f>
        <v/>
      </c>
      <c r="C175" s="94">
        <f>IFERROR(VLOOKUP('Risikoanalyse'!R175,Akseptkriterier!$D$4:$E$8,2,FALSE),0)</f>
        <v/>
      </c>
      <c r="D175" s="93">
        <f>IFERROR(VLOOKUP('Risikoanalyse'!Q175,Akseptkriterier!$F$4:$G$8,2,FALSE),0)</f>
        <v/>
      </c>
      <c r="E175" s="121" t="n"/>
      <c r="F175" s="104" t="n"/>
      <c r="G175" s="100" t="n"/>
      <c r="H175" s="100" t="n"/>
      <c r="I175" s="104" t="n"/>
      <c r="J175" s="118" t="n"/>
      <c r="K175" s="104" t="n"/>
      <c r="L175" s="118" t="n"/>
      <c r="M175" s="104" t="n"/>
      <c r="N175" s="97">
        <f>IF(NOT(E175=""),IFERROR(VLOOKUP(A175,Akseptkriterier!$C$33:$H$37,MATCH(B175,Akseptkriterier!$D$32:$H$32,0)+1,FALSE),""),"")</f>
        <v/>
      </c>
      <c r="O175" s="124" t="n"/>
      <c r="P175" s="70" t="n"/>
      <c r="Q175" s="129" t="n"/>
      <c r="R175" s="129" t="n"/>
      <c r="S175" s="99">
        <f>IFERROR(VLOOKUP(C175,Akseptkriterier!$C$33:$H$37,MATCH(D175,Akseptkriterier!$D$32:$H$32,0)+1,FALSE),"")</f>
        <v/>
      </c>
    </row>
    <row r="176" ht="21" customHeight="1">
      <c r="A176" s="93">
        <f>IFERROR(VLOOKUP('Risikoanalyse'!L176,Akseptkriterier!$D$4:$E$8,2,FALSE),0)</f>
        <v/>
      </c>
      <c r="B176" s="93">
        <f>IFERROR(VLOOKUP('Risikoanalyse'!J176,Akseptkriterier!$F$4:$G$8,2,FALSE),0)</f>
        <v/>
      </c>
      <c r="C176" s="94">
        <f>IFERROR(VLOOKUP('Risikoanalyse'!R176,Akseptkriterier!$D$4:$E$8,2,FALSE),0)</f>
        <v/>
      </c>
      <c r="D176" s="93">
        <f>IFERROR(VLOOKUP('Risikoanalyse'!Q176,Akseptkriterier!$F$4:$G$8,2,FALSE),0)</f>
        <v/>
      </c>
      <c r="E176" s="136" t="n"/>
      <c r="F176" s="141" t="n"/>
      <c r="G176" s="133" t="n"/>
      <c r="H176" s="133" t="n"/>
      <c r="I176" s="141" t="n"/>
      <c r="J176" s="142" t="n"/>
      <c r="K176" s="141" t="n"/>
      <c r="L176" s="142" t="n"/>
      <c r="M176" s="141" t="n"/>
      <c r="N176" s="97">
        <f>IF(NOT(E176=""),IFERROR(VLOOKUP(A176,Akseptkriterier!$C$33:$H$37,MATCH(B176,Akseptkriterier!$D$32:$H$32,0)+1,FALSE),""),"")</f>
        <v/>
      </c>
      <c r="O176" s="124" t="n"/>
      <c r="P176" s="144" t="n"/>
      <c r="Q176" s="145" t="n"/>
      <c r="R176" s="145" t="n"/>
      <c r="S176" s="99">
        <f>IFERROR(VLOOKUP(C176,Akseptkriterier!$C$33:$H$37,MATCH(D176,Akseptkriterier!$D$32:$H$32,0)+1,FALSE),"")</f>
        <v/>
      </c>
    </row>
    <row r="177" ht="21" customHeight="1">
      <c r="A177" s="93">
        <f>IFERROR(VLOOKUP('Risikoanalyse'!L177,Akseptkriterier!$D$4:$E$8,2,FALSE),0)</f>
        <v/>
      </c>
      <c r="B177" s="93">
        <f>IFERROR(VLOOKUP('Risikoanalyse'!J177,Akseptkriterier!$F$4:$G$8,2,FALSE),0)</f>
        <v/>
      </c>
      <c r="C177" s="94">
        <f>IFERROR(VLOOKUP('Risikoanalyse'!R177,Akseptkriterier!$D$4:$E$8,2,FALSE),0)</f>
        <v/>
      </c>
      <c r="D177" s="93">
        <f>IFERROR(VLOOKUP('Risikoanalyse'!Q177,Akseptkriterier!$F$4:$G$8,2,FALSE),0)</f>
        <v/>
      </c>
      <c r="E177" s="121" t="n"/>
      <c r="F177" s="104" t="n"/>
      <c r="G177" s="100" t="n"/>
      <c r="H177" s="100" t="n"/>
      <c r="I177" s="104" t="n"/>
      <c r="J177" s="118" t="n"/>
      <c r="K177" s="104" t="n"/>
      <c r="L177" s="118" t="n"/>
      <c r="M177" s="104" t="n"/>
      <c r="N177" s="97">
        <f>IF(NOT(E177=""),IFERROR(VLOOKUP(A177,Akseptkriterier!$C$33:$H$37,MATCH(B177,Akseptkriterier!$D$32:$H$32,0)+1,FALSE),""),"")</f>
        <v/>
      </c>
      <c r="O177" s="124" t="n"/>
      <c r="P177" s="70" t="n"/>
      <c r="Q177" s="129" t="n"/>
      <c r="R177" s="129" t="n"/>
      <c r="S177" s="99">
        <f>IFERROR(VLOOKUP(C177,Akseptkriterier!$C$33:$H$37,MATCH(D177,Akseptkriterier!$D$32:$H$32,0)+1,FALSE),"")</f>
        <v/>
      </c>
    </row>
    <row r="178" ht="21" customHeight="1">
      <c r="A178" s="93">
        <f>IFERROR(VLOOKUP('Risikoanalyse'!L178,Akseptkriterier!$D$4:$E$8,2,FALSE),0)</f>
        <v/>
      </c>
      <c r="B178" s="93">
        <f>IFERROR(VLOOKUP('Risikoanalyse'!J178,Akseptkriterier!$F$4:$G$8,2,FALSE),0)</f>
        <v/>
      </c>
      <c r="C178" s="94">
        <f>IFERROR(VLOOKUP('Risikoanalyse'!R178,Akseptkriterier!$D$4:$E$8,2,FALSE),0)</f>
        <v/>
      </c>
      <c r="D178" s="93">
        <f>IFERROR(VLOOKUP('Risikoanalyse'!Q178,Akseptkriterier!$F$4:$G$8,2,FALSE),0)</f>
        <v/>
      </c>
      <c r="E178" s="136" t="n"/>
      <c r="F178" s="141" t="n"/>
      <c r="G178" s="133" t="n"/>
      <c r="H178" s="133" t="n"/>
      <c r="I178" s="141" t="n"/>
      <c r="J178" s="142" t="n"/>
      <c r="K178" s="141" t="n"/>
      <c r="L178" s="142" t="n"/>
      <c r="M178" s="141" t="n"/>
      <c r="N178" s="97">
        <f>IF(NOT(E178=""),IFERROR(VLOOKUP(A178,Akseptkriterier!$C$33:$H$37,MATCH(B178,Akseptkriterier!$D$32:$H$32,0)+1,FALSE),""),"")</f>
        <v/>
      </c>
      <c r="O178" s="124" t="n"/>
      <c r="P178" s="144" t="n"/>
      <c r="Q178" s="145" t="n"/>
      <c r="R178" s="145" t="n"/>
      <c r="S178" s="99">
        <f>IFERROR(VLOOKUP(C178,Akseptkriterier!$C$33:$H$37,MATCH(D178,Akseptkriterier!$D$32:$H$32,0)+1,FALSE),"")</f>
        <v/>
      </c>
    </row>
    <row r="179" ht="21" customHeight="1">
      <c r="A179" s="93">
        <f>IFERROR(VLOOKUP('Risikoanalyse'!L179,Akseptkriterier!$D$4:$E$8,2,FALSE),0)</f>
        <v/>
      </c>
      <c r="B179" s="93">
        <f>IFERROR(VLOOKUP('Risikoanalyse'!J179,Akseptkriterier!$F$4:$G$8,2,FALSE),0)</f>
        <v/>
      </c>
      <c r="C179" s="94">
        <f>IFERROR(VLOOKUP('Risikoanalyse'!R179,Akseptkriterier!$D$4:$E$8,2,FALSE),0)</f>
        <v/>
      </c>
      <c r="D179" s="93">
        <f>IFERROR(VLOOKUP('Risikoanalyse'!Q179,Akseptkriterier!$F$4:$G$8,2,FALSE),0)</f>
        <v/>
      </c>
      <c r="E179" s="121" t="n"/>
      <c r="F179" s="104" t="n"/>
      <c r="G179" s="100" t="n"/>
      <c r="H179" s="100" t="n"/>
      <c r="I179" s="104" t="n"/>
      <c r="J179" s="118" t="n"/>
      <c r="K179" s="104" t="n"/>
      <c r="L179" s="118" t="n"/>
      <c r="M179" s="104" t="n"/>
      <c r="N179" s="97">
        <f>IF(NOT(E179=""),IFERROR(VLOOKUP(A179,Akseptkriterier!$C$33:$H$37,MATCH(B179,Akseptkriterier!$D$32:$H$32,0)+1,FALSE),""),"")</f>
        <v/>
      </c>
      <c r="O179" s="124" t="n"/>
      <c r="P179" s="70" t="n"/>
      <c r="Q179" s="129" t="n"/>
      <c r="R179" s="129" t="n"/>
      <c r="S179" s="99">
        <f>IFERROR(VLOOKUP(C179,Akseptkriterier!$C$33:$H$37,MATCH(D179,Akseptkriterier!$D$32:$H$32,0)+1,FALSE),"")</f>
        <v/>
      </c>
    </row>
    <row r="180" ht="21" customHeight="1">
      <c r="A180" s="93">
        <f>IFERROR(VLOOKUP('Risikoanalyse'!L180,Akseptkriterier!$D$4:$E$8,2,FALSE),0)</f>
        <v/>
      </c>
      <c r="B180" s="93">
        <f>IFERROR(VLOOKUP('Risikoanalyse'!J180,Akseptkriterier!$F$4:$G$8,2,FALSE),0)</f>
        <v/>
      </c>
      <c r="C180" s="94">
        <f>IFERROR(VLOOKUP('Risikoanalyse'!R180,Akseptkriterier!$D$4:$E$8,2,FALSE),0)</f>
        <v/>
      </c>
      <c r="D180" s="93">
        <f>IFERROR(VLOOKUP('Risikoanalyse'!Q180,Akseptkriterier!$F$4:$G$8,2,FALSE),0)</f>
        <v/>
      </c>
      <c r="E180" s="136" t="n"/>
      <c r="F180" s="141" t="n"/>
      <c r="G180" s="133" t="n"/>
      <c r="H180" s="133" t="n"/>
      <c r="I180" s="141" t="n"/>
      <c r="J180" s="142" t="n"/>
      <c r="K180" s="141" t="n"/>
      <c r="L180" s="142" t="n"/>
      <c r="M180" s="141" t="n"/>
      <c r="N180" s="97">
        <f>IF(NOT(E180=""),IFERROR(VLOOKUP(A180,Akseptkriterier!$C$33:$H$37,MATCH(B180,Akseptkriterier!$D$32:$H$32,0)+1,FALSE),""),"")</f>
        <v/>
      </c>
      <c r="O180" s="124" t="n"/>
      <c r="P180" s="144" t="n"/>
      <c r="Q180" s="145" t="n"/>
      <c r="R180" s="145" t="n"/>
      <c r="S180" s="99">
        <f>IFERROR(VLOOKUP(C180,Akseptkriterier!$C$33:$H$37,MATCH(D180,Akseptkriterier!$D$32:$H$32,0)+1,FALSE),"")</f>
        <v/>
      </c>
    </row>
    <row r="181" ht="21" customHeight="1">
      <c r="A181" s="93">
        <f>IFERROR(VLOOKUP('Risikoanalyse'!L181,Akseptkriterier!$D$4:$E$8,2,FALSE),0)</f>
        <v/>
      </c>
      <c r="B181" s="93">
        <f>IFERROR(VLOOKUP('Risikoanalyse'!J181,Akseptkriterier!$F$4:$G$8,2,FALSE),0)</f>
        <v/>
      </c>
      <c r="C181" s="94">
        <f>IFERROR(VLOOKUP('Risikoanalyse'!R181,Akseptkriterier!$D$4:$E$8,2,FALSE),0)</f>
        <v/>
      </c>
      <c r="D181" s="93">
        <f>IFERROR(VLOOKUP('Risikoanalyse'!Q181,Akseptkriterier!$F$4:$G$8,2,FALSE),0)</f>
        <v/>
      </c>
      <c r="E181" s="121" t="n"/>
      <c r="F181" s="104" t="n"/>
      <c r="G181" s="100" t="n"/>
      <c r="H181" s="100" t="n"/>
      <c r="I181" s="104" t="n"/>
      <c r="J181" s="118" t="n"/>
      <c r="K181" s="104" t="n"/>
      <c r="L181" s="118" t="n"/>
      <c r="M181" s="104" t="n"/>
      <c r="N181" s="97">
        <f>IF(NOT(E181=""),IFERROR(VLOOKUP(A181,Akseptkriterier!$C$33:$H$37,MATCH(B181,Akseptkriterier!$D$32:$H$32,0)+1,FALSE),""),"")</f>
        <v/>
      </c>
      <c r="O181" s="124" t="n"/>
      <c r="P181" s="70" t="n"/>
      <c r="Q181" s="129" t="n"/>
      <c r="R181" s="129" t="n"/>
      <c r="S181" s="99">
        <f>IFERROR(VLOOKUP(C181,Akseptkriterier!$C$33:$H$37,MATCH(D181,Akseptkriterier!$D$32:$H$32,0)+1,FALSE),"")</f>
        <v/>
      </c>
    </row>
    <row r="182" ht="21" customHeight="1">
      <c r="A182" s="93">
        <f>IFERROR(VLOOKUP('Risikoanalyse'!L182,Akseptkriterier!$D$4:$E$8,2,FALSE),0)</f>
        <v/>
      </c>
      <c r="B182" s="93">
        <f>IFERROR(VLOOKUP('Risikoanalyse'!J182,Akseptkriterier!$F$4:$G$8,2,FALSE),0)</f>
        <v/>
      </c>
      <c r="C182" s="94">
        <f>IFERROR(VLOOKUP('Risikoanalyse'!R182,Akseptkriterier!$D$4:$E$8,2,FALSE),0)</f>
        <v/>
      </c>
      <c r="D182" s="93">
        <f>IFERROR(VLOOKUP('Risikoanalyse'!Q182,Akseptkriterier!$F$4:$G$8,2,FALSE),0)</f>
        <v/>
      </c>
      <c r="E182" s="136" t="n"/>
      <c r="F182" s="141" t="n"/>
      <c r="G182" s="133" t="n"/>
      <c r="H182" s="133" t="n"/>
      <c r="I182" s="141" t="n"/>
      <c r="J182" s="142" t="n"/>
      <c r="K182" s="141" t="n"/>
      <c r="L182" s="142" t="n"/>
      <c r="M182" s="141" t="n"/>
      <c r="N182" s="97">
        <f>IF(NOT(E182=""),IFERROR(VLOOKUP(A182,Akseptkriterier!$C$33:$H$37,MATCH(B182,Akseptkriterier!$D$32:$H$32,0)+1,FALSE),""),"")</f>
        <v/>
      </c>
      <c r="O182" s="124" t="n"/>
      <c r="P182" s="144" t="n"/>
      <c r="Q182" s="145" t="n"/>
      <c r="R182" s="145" t="n"/>
      <c r="S182" s="99">
        <f>IFERROR(VLOOKUP(C182,Akseptkriterier!$C$33:$H$37,MATCH(D182,Akseptkriterier!$D$32:$H$32,0)+1,FALSE),"")</f>
        <v/>
      </c>
    </row>
    <row r="183" ht="21" customHeight="1">
      <c r="A183" s="93">
        <f>IFERROR(VLOOKUP('Risikoanalyse'!L183,Akseptkriterier!$D$4:$E$8,2,FALSE),0)</f>
        <v/>
      </c>
      <c r="B183" s="93">
        <f>IFERROR(VLOOKUP('Risikoanalyse'!J183,Akseptkriterier!$F$4:$G$8,2,FALSE),0)</f>
        <v/>
      </c>
      <c r="C183" s="94">
        <f>IFERROR(VLOOKUP('Risikoanalyse'!R183,Akseptkriterier!$D$4:$E$8,2,FALSE),0)</f>
        <v/>
      </c>
      <c r="D183" s="93">
        <f>IFERROR(VLOOKUP('Risikoanalyse'!Q183,Akseptkriterier!$F$4:$G$8,2,FALSE),0)</f>
        <v/>
      </c>
      <c r="E183" s="121" t="n"/>
      <c r="F183" s="104" t="n"/>
      <c r="G183" s="100" t="n"/>
      <c r="H183" s="100" t="n"/>
      <c r="I183" s="104" t="n"/>
      <c r="J183" s="118" t="n"/>
      <c r="K183" s="104" t="n"/>
      <c r="L183" s="118" t="n"/>
      <c r="M183" s="104" t="n"/>
      <c r="N183" s="97">
        <f>IF(NOT(E183=""),IFERROR(VLOOKUP(A183,Akseptkriterier!$C$33:$H$37,MATCH(B183,Akseptkriterier!$D$32:$H$32,0)+1,FALSE),""),"")</f>
        <v/>
      </c>
      <c r="O183" s="124" t="n"/>
      <c r="P183" s="70" t="n"/>
      <c r="Q183" s="129" t="n"/>
      <c r="R183" s="129" t="n"/>
      <c r="S183" s="99">
        <f>IFERROR(VLOOKUP(C183,Akseptkriterier!$C$33:$H$37,MATCH(D183,Akseptkriterier!$D$32:$H$32,0)+1,FALSE),"")</f>
        <v/>
      </c>
    </row>
    <row r="184" ht="21" customHeight="1">
      <c r="A184" s="93">
        <f>IFERROR(VLOOKUP('Risikoanalyse'!L184,Akseptkriterier!$D$4:$E$8,2,FALSE),0)</f>
        <v/>
      </c>
      <c r="B184" s="93">
        <f>IFERROR(VLOOKUP('Risikoanalyse'!J184,Akseptkriterier!$F$4:$G$8,2,FALSE),0)</f>
        <v/>
      </c>
      <c r="C184" s="94">
        <f>IFERROR(VLOOKUP('Risikoanalyse'!R184,Akseptkriterier!$D$4:$E$8,2,FALSE),0)</f>
        <v/>
      </c>
      <c r="D184" s="93">
        <f>IFERROR(VLOOKUP('Risikoanalyse'!Q184,Akseptkriterier!$F$4:$G$8,2,FALSE),0)</f>
        <v/>
      </c>
      <c r="E184" s="136" t="n"/>
      <c r="F184" s="141" t="n"/>
      <c r="G184" s="133" t="n"/>
      <c r="H184" s="133" t="n"/>
      <c r="I184" s="141" t="n"/>
      <c r="J184" s="142" t="n"/>
      <c r="K184" s="141" t="n"/>
      <c r="L184" s="142" t="n"/>
      <c r="M184" s="141" t="n"/>
      <c r="N184" s="97">
        <f>IF(NOT(E184=""),IFERROR(VLOOKUP(A184,Akseptkriterier!$C$33:$H$37,MATCH(B184,Akseptkriterier!$D$32:$H$32,0)+1,FALSE),""),"")</f>
        <v/>
      </c>
      <c r="O184" s="124" t="n"/>
      <c r="P184" s="144" t="n"/>
      <c r="Q184" s="145" t="n"/>
      <c r="R184" s="145" t="n"/>
      <c r="S184" s="99">
        <f>IFERROR(VLOOKUP(C184,Akseptkriterier!$C$33:$H$37,MATCH(D184,Akseptkriterier!$D$32:$H$32,0)+1,FALSE),"")</f>
        <v/>
      </c>
    </row>
    <row r="185" ht="21" customHeight="1">
      <c r="A185" s="93">
        <f>IFERROR(VLOOKUP('Risikoanalyse'!L185,Akseptkriterier!$D$4:$E$8,2,FALSE),0)</f>
        <v/>
      </c>
      <c r="B185" s="93">
        <f>IFERROR(VLOOKUP('Risikoanalyse'!J185,Akseptkriterier!$F$4:$G$8,2,FALSE),0)</f>
        <v/>
      </c>
      <c r="C185" s="94">
        <f>IFERROR(VLOOKUP('Risikoanalyse'!R185,Akseptkriterier!$D$4:$E$8,2,FALSE),0)</f>
        <v/>
      </c>
      <c r="D185" s="93">
        <f>IFERROR(VLOOKUP('Risikoanalyse'!Q185,Akseptkriterier!$F$4:$G$8,2,FALSE),0)</f>
        <v/>
      </c>
      <c r="E185" s="121" t="n"/>
      <c r="F185" s="104" t="n"/>
      <c r="G185" s="100" t="n"/>
      <c r="H185" s="100" t="n"/>
      <c r="I185" s="104" t="n"/>
      <c r="J185" s="118" t="n"/>
      <c r="K185" s="104" t="n"/>
      <c r="L185" s="118" t="n"/>
      <c r="M185" s="104" t="n"/>
      <c r="N185" s="97">
        <f>IF(NOT(E185=""),IFERROR(VLOOKUP(A185,Akseptkriterier!$C$33:$H$37,MATCH(B185,Akseptkriterier!$D$32:$H$32,0)+1,FALSE),""),"")</f>
        <v/>
      </c>
      <c r="O185" s="124" t="n"/>
      <c r="P185" s="70" t="n"/>
      <c r="Q185" s="129" t="n"/>
      <c r="R185" s="129" t="n"/>
      <c r="S185" s="99">
        <f>IFERROR(VLOOKUP(C185,Akseptkriterier!$C$33:$H$37,MATCH(D185,Akseptkriterier!$D$32:$H$32,0)+1,FALSE),"")</f>
        <v/>
      </c>
    </row>
    <row r="186" ht="21" customHeight="1">
      <c r="A186" s="93">
        <f>IFERROR(VLOOKUP('Risikoanalyse'!L186,Akseptkriterier!$D$4:$E$8,2,FALSE),0)</f>
        <v/>
      </c>
      <c r="B186" s="93">
        <f>IFERROR(VLOOKUP('Risikoanalyse'!J186,Akseptkriterier!$F$4:$G$8,2,FALSE),0)</f>
        <v/>
      </c>
      <c r="C186" s="94">
        <f>IFERROR(VLOOKUP('Risikoanalyse'!R186,Akseptkriterier!$D$4:$E$8,2,FALSE),0)</f>
        <v/>
      </c>
      <c r="D186" s="93">
        <f>IFERROR(VLOOKUP('Risikoanalyse'!Q186,Akseptkriterier!$F$4:$G$8,2,FALSE),0)</f>
        <v/>
      </c>
      <c r="E186" s="136" t="n"/>
      <c r="F186" s="141" t="n"/>
      <c r="G186" s="133" t="n"/>
      <c r="H186" s="133" t="n"/>
      <c r="I186" s="141" t="n"/>
      <c r="J186" s="142" t="n"/>
      <c r="K186" s="141" t="n"/>
      <c r="L186" s="142" t="n"/>
      <c r="M186" s="141" t="n"/>
      <c r="N186" s="97">
        <f>IF(NOT(E186=""),IFERROR(VLOOKUP(A186,Akseptkriterier!$C$33:$H$37,MATCH(B186,Akseptkriterier!$D$32:$H$32,0)+1,FALSE),""),"")</f>
        <v/>
      </c>
      <c r="O186" s="124" t="n"/>
      <c r="P186" s="144" t="n"/>
      <c r="Q186" s="145" t="n"/>
      <c r="R186" s="145" t="n"/>
      <c r="S186" s="99">
        <f>IFERROR(VLOOKUP(C186,Akseptkriterier!$C$33:$H$37,MATCH(D186,Akseptkriterier!$D$32:$H$32,0)+1,FALSE),"")</f>
        <v/>
      </c>
    </row>
    <row r="187" ht="21" customHeight="1">
      <c r="A187" s="93">
        <f>IFERROR(VLOOKUP('Risikoanalyse'!L187,Akseptkriterier!$D$4:$E$8,2,FALSE),0)</f>
        <v/>
      </c>
      <c r="B187" s="93">
        <f>IFERROR(VLOOKUP('Risikoanalyse'!J187,Akseptkriterier!$F$4:$G$8,2,FALSE),0)</f>
        <v/>
      </c>
      <c r="C187" s="94">
        <f>IFERROR(VLOOKUP('Risikoanalyse'!R187,Akseptkriterier!$D$4:$E$8,2,FALSE),0)</f>
        <v/>
      </c>
      <c r="D187" s="93">
        <f>IFERROR(VLOOKUP('Risikoanalyse'!Q187,Akseptkriterier!$F$4:$G$8,2,FALSE),0)</f>
        <v/>
      </c>
      <c r="E187" s="121" t="n"/>
      <c r="F187" s="104" t="n"/>
      <c r="G187" s="100" t="n"/>
      <c r="H187" s="100" t="n"/>
      <c r="I187" s="104" t="n"/>
      <c r="J187" s="118" t="n"/>
      <c r="K187" s="104" t="n"/>
      <c r="L187" s="118" t="n"/>
      <c r="M187" s="104" t="n"/>
      <c r="N187" s="97">
        <f>IF(NOT(E187=""),IFERROR(VLOOKUP(A187,Akseptkriterier!$C$33:$H$37,MATCH(B187,Akseptkriterier!$D$32:$H$32,0)+1,FALSE),""),"")</f>
        <v/>
      </c>
      <c r="O187" s="124" t="n"/>
      <c r="P187" s="70" t="n"/>
      <c r="Q187" s="129" t="n"/>
      <c r="R187" s="129" t="n"/>
      <c r="S187" s="99">
        <f>IFERROR(VLOOKUP(C187,Akseptkriterier!$C$33:$H$37,MATCH(D187,Akseptkriterier!$D$32:$H$32,0)+1,FALSE),"")</f>
        <v/>
      </c>
    </row>
    <row r="188" ht="21" customHeight="1">
      <c r="A188" s="93">
        <f>IFERROR(VLOOKUP('Risikoanalyse'!L188,Akseptkriterier!$D$4:$E$8,2,FALSE),0)</f>
        <v/>
      </c>
      <c r="B188" s="93">
        <f>IFERROR(VLOOKUP('Risikoanalyse'!J188,Akseptkriterier!$F$4:$G$8,2,FALSE),0)</f>
        <v/>
      </c>
      <c r="C188" s="94">
        <f>IFERROR(VLOOKUP('Risikoanalyse'!R188,Akseptkriterier!$D$4:$E$8,2,FALSE),0)</f>
        <v/>
      </c>
      <c r="D188" s="93">
        <f>IFERROR(VLOOKUP('Risikoanalyse'!Q188,Akseptkriterier!$F$4:$G$8,2,FALSE),0)</f>
        <v/>
      </c>
      <c r="E188" s="136" t="n"/>
      <c r="F188" s="141" t="n"/>
      <c r="G188" s="133" t="n"/>
      <c r="H188" s="133" t="n"/>
      <c r="I188" s="141" t="n"/>
      <c r="J188" s="142" t="n"/>
      <c r="K188" s="141" t="n"/>
      <c r="L188" s="142" t="n"/>
      <c r="M188" s="141" t="n"/>
      <c r="N188" s="97">
        <f>IF(NOT(E188=""),IFERROR(VLOOKUP(A188,Akseptkriterier!$C$33:$H$37,MATCH(B188,Akseptkriterier!$D$32:$H$32,0)+1,FALSE),""),"")</f>
        <v/>
      </c>
      <c r="O188" s="124" t="n"/>
      <c r="P188" s="144" t="n"/>
      <c r="Q188" s="145" t="n"/>
      <c r="R188" s="145" t="n"/>
      <c r="S188" s="99">
        <f>IFERROR(VLOOKUP(C188,Akseptkriterier!$C$33:$H$37,MATCH(D188,Akseptkriterier!$D$32:$H$32,0)+1,FALSE),"")</f>
        <v/>
      </c>
    </row>
    <row r="189" ht="21" customHeight="1">
      <c r="A189" s="93">
        <f>IFERROR(VLOOKUP('Risikoanalyse'!L189,Akseptkriterier!$D$4:$E$8,2,FALSE),0)</f>
        <v/>
      </c>
      <c r="B189" s="93">
        <f>IFERROR(VLOOKUP('Risikoanalyse'!J189,Akseptkriterier!$F$4:$G$8,2,FALSE),0)</f>
        <v/>
      </c>
      <c r="C189" s="94">
        <f>IFERROR(VLOOKUP('Risikoanalyse'!R189,Akseptkriterier!$D$4:$E$8,2,FALSE),0)</f>
        <v/>
      </c>
      <c r="D189" s="93">
        <f>IFERROR(VLOOKUP('Risikoanalyse'!Q189,Akseptkriterier!$F$4:$G$8,2,FALSE),0)</f>
        <v/>
      </c>
      <c r="E189" s="121" t="n"/>
      <c r="F189" s="104" t="n"/>
      <c r="G189" s="100" t="n"/>
      <c r="H189" s="100" t="n"/>
      <c r="I189" s="104" t="n"/>
      <c r="J189" s="118" t="n"/>
      <c r="K189" s="104" t="n"/>
      <c r="L189" s="118" t="n"/>
      <c r="M189" s="104" t="n"/>
      <c r="N189" s="97">
        <f>IF(NOT(E189=""),IFERROR(VLOOKUP(A189,Akseptkriterier!$C$33:$H$37,MATCH(B189,Akseptkriterier!$D$32:$H$32,0)+1,FALSE),""),"")</f>
        <v/>
      </c>
      <c r="O189" s="124" t="n"/>
      <c r="P189" s="70" t="n"/>
      <c r="Q189" s="129" t="n"/>
      <c r="R189" s="129" t="n"/>
      <c r="S189" s="99">
        <f>IFERROR(VLOOKUP(C189,Akseptkriterier!$C$33:$H$37,MATCH(D189,Akseptkriterier!$D$32:$H$32,0)+1,FALSE),"")</f>
        <v/>
      </c>
    </row>
    <row r="190" ht="21" customHeight="1">
      <c r="A190" s="93">
        <f>IFERROR(VLOOKUP('Risikoanalyse'!L190,Akseptkriterier!$D$4:$E$8,2,FALSE),0)</f>
        <v/>
      </c>
      <c r="B190" s="93">
        <f>IFERROR(VLOOKUP('Risikoanalyse'!J190,Akseptkriterier!$F$4:$G$8,2,FALSE),0)</f>
        <v/>
      </c>
      <c r="C190" s="94">
        <f>IFERROR(VLOOKUP('Risikoanalyse'!R190,Akseptkriterier!$D$4:$E$8,2,FALSE),0)</f>
        <v/>
      </c>
      <c r="D190" s="93">
        <f>IFERROR(VLOOKUP('Risikoanalyse'!Q190,Akseptkriterier!$F$4:$G$8,2,FALSE),0)</f>
        <v/>
      </c>
      <c r="E190" s="136" t="n"/>
      <c r="F190" s="141" t="n"/>
      <c r="G190" s="133" t="n"/>
      <c r="H190" s="133" t="n"/>
      <c r="I190" s="141" t="n"/>
      <c r="J190" s="142" t="n"/>
      <c r="K190" s="141" t="n"/>
      <c r="L190" s="142" t="n"/>
      <c r="M190" s="141" t="n"/>
      <c r="N190" s="97">
        <f>IF(NOT(E190=""),IFERROR(VLOOKUP(A190,Akseptkriterier!$C$33:$H$37,MATCH(B190,Akseptkriterier!$D$32:$H$32,0)+1,FALSE),""),"")</f>
        <v/>
      </c>
      <c r="O190" s="124" t="n"/>
      <c r="P190" s="144" t="n"/>
      <c r="Q190" s="145" t="n"/>
      <c r="R190" s="145" t="n"/>
      <c r="S190" s="99">
        <f>IFERROR(VLOOKUP(C190,Akseptkriterier!$C$33:$H$37,MATCH(D190,Akseptkriterier!$D$32:$H$32,0)+1,FALSE),"")</f>
        <v/>
      </c>
    </row>
    <row r="191" ht="21" customHeight="1">
      <c r="A191" s="93">
        <f>IFERROR(VLOOKUP('Risikoanalyse'!L191,Akseptkriterier!$D$4:$E$8,2,FALSE),0)</f>
        <v/>
      </c>
      <c r="B191" s="93">
        <f>IFERROR(VLOOKUP('Risikoanalyse'!J191,Akseptkriterier!$F$4:$G$8,2,FALSE),0)</f>
        <v/>
      </c>
      <c r="C191" s="94">
        <f>IFERROR(VLOOKUP('Risikoanalyse'!R191,Akseptkriterier!$D$4:$E$8,2,FALSE),0)</f>
        <v/>
      </c>
      <c r="D191" s="93">
        <f>IFERROR(VLOOKUP('Risikoanalyse'!Q191,Akseptkriterier!$F$4:$G$8,2,FALSE),0)</f>
        <v/>
      </c>
      <c r="E191" s="121" t="n"/>
      <c r="F191" s="104" t="n"/>
      <c r="G191" s="100" t="n"/>
      <c r="H191" s="100" t="n"/>
      <c r="I191" s="104" t="n"/>
      <c r="J191" s="118" t="n"/>
      <c r="K191" s="104" t="n"/>
      <c r="L191" s="118" t="n"/>
      <c r="M191" s="104" t="n"/>
      <c r="N191" s="97">
        <f>IF(NOT(E191=""),IFERROR(VLOOKUP(A191,Akseptkriterier!$C$33:$H$37,MATCH(B191,Akseptkriterier!$D$32:$H$32,0)+1,FALSE),""),"")</f>
        <v/>
      </c>
      <c r="O191" s="124" t="n"/>
      <c r="P191" s="70" t="n"/>
      <c r="Q191" s="129" t="n"/>
      <c r="R191" s="129" t="n"/>
      <c r="S191" s="99">
        <f>IFERROR(VLOOKUP(C191,Akseptkriterier!$C$33:$H$37,MATCH(D191,Akseptkriterier!$D$32:$H$32,0)+1,FALSE),"")</f>
        <v/>
      </c>
    </row>
    <row r="192" ht="21" customHeight="1">
      <c r="A192" s="93">
        <f>IFERROR(VLOOKUP('Risikoanalyse'!L192,Akseptkriterier!$D$4:$E$8,2,FALSE),0)</f>
        <v/>
      </c>
      <c r="B192" s="93">
        <f>IFERROR(VLOOKUP('Risikoanalyse'!J192,Akseptkriterier!$F$4:$G$8,2,FALSE),0)</f>
        <v/>
      </c>
      <c r="C192" s="94">
        <f>IFERROR(VLOOKUP('Risikoanalyse'!R192,Akseptkriterier!$D$4:$E$8,2,FALSE),0)</f>
        <v/>
      </c>
      <c r="D192" s="93">
        <f>IFERROR(VLOOKUP('Risikoanalyse'!Q192,Akseptkriterier!$F$4:$G$8,2,FALSE),0)</f>
        <v/>
      </c>
      <c r="E192" s="136" t="n"/>
      <c r="F192" s="141" t="n"/>
      <c r="G192" s="133" t="n"/>
      <c r="H192" s="133" t="n"/>
      <c r="I192" s="141" t="n"/>
      <c r="J192" s="142" t="n"/>
      <c r="K192" s="141" t="n"/>
      <c r="L192" s="142" t="n"/>
      <c r="M192" s="141" t="n"/>
      <c r="N192" s="97">
        <f>IF(NOT(E192=""),IFERROR(VLOOKUP(A192,Akseptkriterier!$C$33:$H$37,MATCH(B192,Akseptkriterier!$D$32:$H$32,0)+1,FALSE),""),"")</f>
        <v/>
      </c>
      <c r="O192" s="124" t="n"/>
      <c r="P192" s="144" t="n"/>
      <c r="Q192" s="145" t="n"/>
      <c r="R192" s="145" t="n"/>
      <c r="S192" s="99">
        <f>IFERROR(VLOOKUP(C192,Akseptkriterier!$C$33:$H$37,MATCH(D192,Akseptkriterier!$D$32:$H$32,0)+1,FALSE),"")</f>
        <v/>
      </c>
    </row>
    <row r="193" ht="21" customHeight="1">
      <c r="A193" s="93">
        <f>IFERROR(VLOOKUP('Risikoanalyse'!L193,Akseptkriterier!$D$4:$E$8,2,FALSE),0)</f>
        <v/>
      </c>
      <c r="B193" s="93">
        <f>IFERROR(VLOOKUP('Risikoanalyse'!J193,Akseptkriterier!$F$4:$G$8,2,FALSE),0)</f>
        <v/>
      </c>
      <c r="C193" s="94">
        <f>IFERROR(VLOOKUP('Risikoanalyse'!R193,Akseptkriterier!$D$4:$E$8,2,FALSE),0)</f>
        <v/>
      </c>
      <c r="D193" s="93">
        <f>IFERROR(VLOOKUP('Risikoanalyse'!Q193,Akseptkriterier!$F$4:$G$8,2,FALSE),0)</f>
        <v/>
      </c>
      <c r="E193" s="121" t="n"/>
      <c r="F193" s="104" t="n"/>
      <c r="G193" s="100" t="n"/>
      <c r="H193" s="100" t="n"/>
      <c r="I193" s="104" t="n"/>
      <c r="J193" s="118" t="n"/>
      <c r="K193" s="104" t="n"/>
      <c r="L193" s="118" t="n"/>
      <c r="M193" s="104" t="n"/>
      <c r="N193" s="97">
        <f>IF(NOT(E193=""),IFERROR(VLOOKUP(A193,Akseptkriterier!$C$33:$H$37,MATCH(B193,Akseptkriterier!$D$32:$H$32,0)+1,FALSE),""),"")</f>
        <v/>
      </c>
      <c r="O193" s="124" t="n"/>
      <c r="P193" s="70" t="n"/>
      <c r="Q193" s="129" t="n"/>
      <c r="R193" s="129" t="n"/>
      <c r="S193" s="99">
        <f>IFERROR(VLOOKUP(C193,Akseptkriterier!$C$33:$H$37,MATCH(D193,Akseptkriterier!$D$32:$H$32,0)+1,FALSE),"")</f>
        <v/>
      </c>
    </row>
    <row r="194" ht="21" customHeight="1">
      <c r="A194" s="93">
        <f>IFERROR(VLOOKUP('Risikoanalyse'!L194,Akseptkriterier!$D$4:$E$8,2,FALSE),0)</f>
        <v/>
      </c>
      <c r="B194" s="93">
        <f>IFERROR(VLOOKUP('Risikoanalyse'!J194,Akseptkriterier!$F$4:$G$8,2,FALSE),0)</f>
        <v/>
      </c>
      <c r="C194" s="94">
        <f>IFERROR(VLOOKUP('Risikoanalyse'!R194,Akseptkriterier!$D$4:$E$8,2,FALSE),0)</f>
        <v/>
      </c>
      <c r="D194" s="93">
        <f>IFERROR(VLOOKUP('Risikoanalyse'!Q194,Akseptkriterier!$F$4:$G$8,2,FALSE),0)</f>
        <v/>
      </c>
      <c r="E194" s="136" t="n"/>
      <c r="F194" s="141" t="n"/>
      <c r="G194" s="133" t="n"/>
      <c r="H194" s="133" t="n"/>
      <c r="I194" s="141" t="n"/>
      <c r="J194" s="142" t="n"/>
      <c r="K194" s="141" t="n"/>
      <c r="L194" s="142" t="n"/>
      <c r="M194" s="141" t="n"/>
      <c r="N194" s="97">
        <f>IF(NOT(E194=""),IFERROR(VLOOKUP(A194,Akseptkriterier!$C$33:$H$37,MATCH(B194,Akseptkriterier!$D$32:$H$32,0)+1,FALSE),""),"")</f>
        <v/>
      </c>
      <c r="O194" s="124" t="n"/>
      <c r="P194" s="144" t="n"/>
      <c r="Q194" s="145" t="n"/>
      <c r="R194" s="145" t="n"/>
      <c r="S194" s="99">
        <f>IFERROR(VLOOKUP(C194,Akseptkriterier!$C$33:$H$37,MATCH(D194,Akseptkriterier!$D$32:$H$32,0)+1,FALSE),"")</f>
        <v/>
      </c>
    </row>
    <row r="195" ht="21" customHeight="1">
      <c r="A195" s="93">
        <f>IFERROR(VLOOKUP('Risikoanalyse'!L195,Akseptkriterier!$D$4:$E$8,2,FALSE),0)</f>
        <v/>
      </c>
      <c r="B195" s="93">
        <f>IFERROR(VLOOKUP('Risikoanalyse'!J195,Akseptkriterier!$F$4:$G$8,2,FALSE),0)</f>
        <v/>
      </c>
      <c r="C195" s="94">
        <f>IFERROR(VLOOKUP('Risikoanalyse'!R195,Akseptkriterier!$D$4:$E$8,2,FALSE),0)</f>
        <v/>
      </c>
      <c r="D195" s="93">
        <f>IFERROR(VLOOKUP('Risikoanalyse'!Q195,Akseptkriterier!$F$4:$G$8,2,FALSE),0)</f>
        <v/>
      </c>
      <c r="E195" s="121" t="n"/>
      <c r="F195" s="104" t="n"/>
      <c r="G195" s="100" t="n"/>
      <c r="H195" s="100" t="n"/>
      <c r="I195" s="104" t="n"/>
      <c r="J195" s="118" t="n"/>
      <c r="K195" s="104" t="n"/>
      <c r="L195" s="118" t="n"/>
      <c r="M195" s="104" t="n"/>
      <c r="N195" s="97">
        <f>IF(NOT(E195=""),IFERROR(VLOOKUP(A195,Akseptkriterier!$C$33:$H$37,MATCH(B195,Akseptkriterier!$D$32:$H$32,0)+1,FALSE),""),"")</f>
        <v/>
      </c>
      <c r="O195" s="124" t="n"/>
      <c r="P195" s="70" t="n"/>
      <c r="Q195" s="129" t="n"/>
      <c r="R195" s="129" t="n"/>
      <c r="S195" s="99">
        <f>IFERROR(VLOOKUP(C195,Akseptkriterier!$C$33:$H$37,MATCH(D195,Akseptkriterier!$D$32:$H$32,0)+1,FALSE),"")</f>
        <v/>
      </c>
    </row>
    <row r="196" ht="21" customHeight="1">
      <c r="A196" s="93">
        <f>IFERROR(VLOOKUP('Risikoanalyse'!L196,Akseptkriterier!$D$4:$E$8,2,FALSE),0)</f>
        <v/>
      </c>
      <c r="B196" s="93">
        <f>IFERROR(VLOOKUP('Risikoanalyse'!J196,Akseptkriterier!$F$4:$G$8,2,FALSE),0)</f>
        <v/>
      </c>
      <c r="C196" s="94">
        <f>IFERROR(VLOOKUP('Risikoanalyse'!R196,Akseptkriterier!$D$4:$E$8,2,FALSE),0)</f>
        <v/>
      </c>
      <c r="D196" s="93">
        <f>IFERROR(VLOOKUP('Risikoanalyse'!Q196,Akseptkriterier!$F$4:$G$8,2,FALSE),0)</f>
        <v/>
      </c>
      <c r="E196" s="136" t="n"/>
      <c r="F196" s="141" t="n"/>
      <c r="G196" s="133" t="n"/>
      <c r="H196" s="133" t="n"/>
      <c r="I196" s="141" t="n"/>
      <c r="J196" s="142" t="n"/>
      <c r="K196" s="141" t="n"/>
      <c r="L196" s="142" t="n"/>
      <c r="M196" s="141" t="n"/>
      <c r="N196" s="97">
        <f>IF(NOT(E196=""),IFERROR(VLOOKUP(A196,Akseptkriterier!$C$33:$H$37,MATCH(B196,Akseptkriterier!$D$32:$H$32,0)+1,FALSE),""),"")</f>
        <v/>
      </c>
      <c r="O196" s="124" t="n"/>
      <c r="P196" s="144" t="n"/>
      <c r="Q196" s="145" t="n"/>
      <c r="R196" s="145" t="n"/>
      <c r="S196" s="99">
        <f>IFERROR(VLOOKUP(C196,Akseptkriterier!$C$33:$H$37,MATCH(D196,Akseptkriterier!$D$32:$H$32,0)+1,FALSE),"")</f>
        <v/>
      </c>
    </row>
    <row r="197" ht="21" customHeight="1">
      <c r="A197" s="93">
        <f>IFERROR(VLOOKUP('Risikoanalyse'!L197,Akseptkriterier!$D$4:$E$8,2,FALSE),0)</f>
        <v/>
      </c>
      <c r="B197" s="93">
        <f>IFERROR(VLOOKUP('Risikoanalyse'!J197,Akseptkriterier!$F$4:$G$8,2,FALSE),0)</f>
        <v/>
      </c>
      <c r="C197" s="94">
        <f>IFERROR(VLOOKUP('Risikoanalyse'!R197,Akseptkriterier!$D$4:$E$8,2,FALSE),0)</f>
        <v/>
      </c>
      <c r="D197" s="93">
        <f>IFERROR(VLOOKUP('Risikoanalyse'!Q197,Akseptkriterier!$F$4:$G$8,2,FALSE),0)</f>
        <v/>
      </c>
      <c r="E197" s="121" t="n"/>
      <c r="F197" s="104" t="n"/>
      <c r="G197" s="100" t="n"/>
      <c r="H197" s="100" t="n"/>
      <c r="I197" s="104" t="n"/>
      <c r="J197" s="118" t="n"/>
      <c r="K197" s="104" t="n"/>
      <c r="L197" s="118" t="n"/>
      <c r="M197" s="104" t="n"/>
      <c r="N197" s="97">
        <f>IF(NOT(E197=""),IFERROR(VLOOKUP(A197,Akseptkriterier!$C$33:$H$37,MATCH(B197,Akseptkriterier!$D$32:$H$32,0)+1,FALSE),""),"")</f>
        <v/>
      </c>
      <c r="O197" s="124" t="n"/>
      <c r="P197" s="70" t="n"/>
      <c r="Q197" s="129" t="n"/>
      <c r="R197" s="129" t="n"/>
      <c r="S197" s="99">
        <f>IFERROR(VLOOKUP(C197,Akseptkriterier!$C$33:$H$37,MATCH(D197,Akseptkriterier!$D$32:$H$32,0)+1,FALSE),"")</f>
        <v/>
      </c>
    </row>
    <row r="198" ht="21" customHeight="1">
      <c r="A198" s="93">
        <f>IFERROR(VLOOKUP('Risikoanalyse'!L198,Akseptkriterier!$D$4:$E$8,2,FALSE),0)</f>
        <v/>
      </c>
      <c r="B198" s="93">
        <f>IFERROR(VLOOKUP('Risikoanalyse'!J198,Akseptkriterier!$F$4:$G$8,2,FALSE),0)</f>
        <v/>
      </c>
      <c r="C198" s="94">
        <f>IFERROR(VLOOKUP('Risikoanalyse'!R198,Akseptkriterier!$D$4:$E$8,2,FALSE),0)</f>
        <v/>
      </c>
      <c r="D198" s="93">
        <f>IFERROR(VLOOKUP('Risikoanalyse'!Q198,Akseptkriterier!$F$4:$G$8,2,FALSE),0)</f>
        <v/>
      </c>
      <c r="E198" s="136" t="n"/>
      <c r="F198" s="141" t="n"/>
      <c r="G198" s="133" t="n"/>
      <c r="H198" s="133" t="n"/>
      <c r="I198" s="141" t="n"/>
      <c r="J198" s="142" t="n"/>
      <c r="K198" s="141" t="n"/>
      <c r="L198" s="142" t="n"/>
      <c r="M198" s="141" t="n"/>
      <c r="N198" s="97">
        <f>IF(NOT(E198=""),IFERROR(VLOOKUP(A198,Akseptkriterier!$C$33:$H$37,MATCH(B198,Akseptkriterier!$D$32:$H$32,0)+1,FALSE),""),"")</f>
        <v/>
      </c>
      <c r="O198" s="124" t="n"/>
      <c r="P198" s="144" t="n"/>
      <c r="Q198" s="145" t="n"/>
      <c r="R198" s="145" t="n"/>
      <c r="S198" s="99">
        <f>IFERROR(VLOOKUP(C198,Akseptkriterier!$C$33:$H$37,MATCH(D198,Akseptkriterier!$D$32:$H$32,0)+1,FALSE),"")</f>
        <v/>
      </c>
    </row>
    <row r="199" ht="21" customHeight="1">
      <c r="A199" s="93">
        <f>IFERROR(VLOOKUP('Risikoanalyse'!L199,Akseptkriterier!$D$4:$E$8,2,FALSE),0)</f>
        <v/>
      </c>
      <c r="B199" s="93">
        <f>IFERROR(VLOOKUP('Risikoanalyse'!J199,Akseptkriterier!$F$4:$G$8,2,FALSE),0)</f>
        <v/>
      </c>
      <c r="C199" s="94">
        <f>IFERROR(VLOOKUP('Risikoanalyse'!R199,Akseptkriterier!$D$4:$E$8,2,FALSE),0)</f>
        <v/>
      </c>
      <c r="D199" s="93">
        <f>IFERROR(VLOOKUP('Risikoanalyse'!Q199,Akseptkriterier!$F$4:$G$8,2,FALSE),0)</f>
        <v/>
      </c>
      <c r="E199" s="121" t="n"/>
      <c r="F199" s="104" t="n"/>
      <c r="G199" s="100" t="n"/>
      <c r="H199" s="100" t="n"/>
      <c r="I199" s="104" t="n"/>
      <c r="J199" s="118" t="n"/>
      <c r="K199" s="104" t="n"/>
      <c r="L199" s="118" t="n"/>
      <c r="M199" s="104" t="n"/>
      <c r="N199" s="97">
        <f>IF(NOT(E199=""),IFERROR(VLOOKUP(A199,Akseptkriterier!$C$33:$H$37,MATCH(B199,Akseptkriterier!$D$32:$H$32,0)+1,FALSE),""),"")</f>
        <v/>
      </c>
      <c r="O199" s="124" t="n"/>
      <c r="P199" s="70" t="n"/>
      <c r="Q199" s="129" t="n"/>
      <c r="R199" s="129" t="n"/>
      <c r="S199" s="99">
        <f>IFERROR(VLOOKUP(C199,Akseptkriterier!$C$33:$H$37,MATCH(D199,Akseptkriterier!$D$32:$H$32,0)+1,FALSE),"")</f>
        <v/>
      </c>
    </row>
    <row r="200" ht="21" customHeight="1">
      <c r="A200" s="93">
        <f>IFERROR(VLOOKUP('Risikoanalyse'!L200,Akseptkriterier!$D$4:$E$8,2,FALSE),0)</f>
        <v/>
      </c>
      <c r="B200" s="93">
        <f>IFERROR(VLOOKUP('Risikoanalyse'!J200,Akseptkriterier!$F$4:$G$8,2,FALSE),0)</f>
        <v/>
      </c>
      <c r="C200" s="94">
        <f>IFERROR(VLOOKUP('Risikoanalyse'!R200,Akseptkriterier!$D$4:$E$8,2,FALSE),0)</f>
        <v/>
      </c>
      <c r="D200" s="93">
        <f>IFERROR(VLOOKUP('Risikoanalyse'!Q200,Akseptkriterier!$F$4:$G$8,2,FALSE),0)</f>
        <v/>
      </c>
      <c r="E200" s="136" t="n"/>
      <c r="F200" s="141" t="n"/>
      <c r="G200" s="133" t="n"/>
      <c r="H200" s="133" t="n"/>
      <c r="I200" s="141" t="n"/>
      <c r="J200" s="142" t="n"/>
      <c r="K200" s="141" t="n"/>
      <c r="L200" s="142" t="n"/>
      <c r="M200" s="141" t="n"/>
      <c r="N200" s="97">
        <f>IF(NOT(E200=""),IFERROR(VLOOKUP(A200,Akseptkriterier!$C$33:$H$37,MATCH(B200,Akseptkriterier!$D$32:$H$32,0)+1,FALSE),""),"")</f>
        <v/>
      </c>
      <c r="O200" s="124" t="n"/>
      <c r="P200" s="144" t="n"/>
      <c r="Q200" s="145" t="n"/>
      <c r="R200" s="145" t="n"/>
      <c r="S200" s="99">
        <f>IFERROR(VLOOKUP(C200,Akseptkriterier!$C$33:$H$37,MATCH(D200,Akseptkriterier!$D$32:$H$32,0)+1,FALSE),"")</f>
        <v/>
      </c>
    </row>
    <row r="201" ht="21" customHeight="1">
      <c r="A201" s="93">
        <f>IFERROR(VLOOKUP('Risikoanalyse'!L201,Akseptkriterier!$D$4:$E$8,2,FALSE),0)</f>
        <v/>
      </c>
      <c r="B201" s="93">
        <f>IFERROR(VLOOKUP('Risikoanalyse'!J201,Akseptkriterier!$F$4:$G$8,2,FALSE),0)</f>
        <v/>
      </c>
      <c r="C201" s="94">
        <f>IFERROR(VLOOKUP('Risikoanalyse'!R201,Akseptkriterier!$D$4:$E$8,2,FALSE),0)</f>
        <v/>
      </c>
      <c r="D201" s="93">
        <f>IFERROR(VLOOKUP('Risikoanalyse'!Q201,Akseptkriterier!$F$4:$G$8,2,FALSE),0)</f>
        <v/>
      </c>
      <c r="E201" s="121" t="n"/>
      <c r="F201" s="104" t="n"/>
      <c r="G201" s="100" t="n"/>
      <c r="H201" s="100" t="n"/>
      <c r="I201" s="104" t="n"/>
      <c r="J201" s="118" t="n"/>
      <c r="K201" s="104" t="n"/>
      <c r="L201" s="118" t="n"/>
      <c r="M201" s="104" t="n"/>
      <c r="N201" s="97">
        <f>IF(NOT(E201=""),IFERROR(VLOOKUP(A201,Akseptkriterier!$C$33:$H$37,MATCH(B201,Akseptkriterier!$D$32:$H$32,0)+1,FALSE),""),"")</f>
        <v/>
      </c>
      <c r="O201" s="124" t="n"/>
      <c r="P201" s="70" t="n"/>
      <c r="Q201" s="129" t="n"/>
      <c r="R201" s="129" t="n"/>
      <c r="S201" s="99">
        <f>IFERROR(VLOOKUP(C201,Akseptkriterier!$C$33:$H$37,MATCH(D201,Akseptkriterier!$D$32:$H$32,0)+1,FALSE),"")</f>
        <v/>
      </c>
    </row>
  </sheetData>
  <conditionalFormatting sqref="N2:N201 S2:S201">
    <cfRule type="cellIs" priority="5" operator="equal" dxfId="6">
      <formula>""</formula>
    </cfRule>
  </conditionalFormatting>
  <conditionalFormatting sqref="N2:N201">
    <cfRule type="cellIs" priority="10" operator="equal" dxfId="5">
      <formula>"Lav"</formula>
    </cfRule>
    <cfRule type="cellIs" priority="11" operator="equal" dxfId="4">
      <formula>"Middels"</formula>
    </cfRule>
    <cfRule type="cellIs" priority="12" operator="equal" dxfId="3">
      <formula>"Høy"</formula>
    </cfRule>
  </conditionalFormatting>
  <conditionalFormatting sqref="S2:S201">
    <cfRule type="cellIs" priority="6" operator="equal" dxfId="2">
      <formula>"Lav"</formula>
    </cfRule>
    <cfRule type="cellIs" priority="7" operator="equal" dxfId="1">
      <formula>"Middels"</formula>
    </cfRule>
    <cfRule type="cellIs" priority="8" operator="equal" dxfId="0">
      <formula>"Høy"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2">
    <tabColor rgb="FFD0BFAE"/>
    <outlinePr summaryBelow="1" summaryRight="1"/>
    <pageSetUpPr autoPageBreaks="0"/>
  </sheetPr>
  <dimension ref="A1:F200"/>
  <sheetViews>
    <sheetView showGridLines="0" zoomScale="86" zoomScaleNormal="86" workbookViewId="0">
      <pane ySplit="1" topLeftCell="A2" activePane="bottomLeft" state="frozen"/>
      <selection pane="bottomLeft" activeCell="B6" sqref="B6"/>
    </sheetView>
  </sheetViews>
  <sheetFormatPr baseColWidth="10" defaultColWidth="11.42578125" defaultRowHeight="15"/>
  <cols>
    <col width="56.85546875" customWidth="1" min="2" max="2"/>
    <col width="23.42578125" customWidth="1" min="3" max="3"/>
    <col width="22.85546875" customWidth="1" min="4" max="4"/>
    <col width="25.5703125" customWidth="1" min="5" max="5"/>
    <col width="40.85546875" customWidth="1" min="6" max="6"/>
  </cols>
  <sheetData>
    <row r="1" ht="66" customHeight="1" thickBot="1">
      <c r="A1" s="130" t="inlineStr">
        <is>
          <t>Tiltak-ID</t>
        </is>
      </c>
      <c r="B1" s="130" t="inlineStr">
        <is>
          <t>Tiltak</t>
        </is>
      </c>
      <c r="C1" s="130" t="inlineStr">
        <is>
          <t>Risikoscenario</t>
        </is>
      </c>
      <c r="D1" s="130" t="inlineStr">
        <is>
          <t>Ansvarlig</t>
        </is>
      </c>
      <c r="E1" s="130" t="inlineStr">
        <is>
          <t>Frist</t>
        </is>
      </c>
      <c r="F1" s="130" t="inlineStr">
        <is>
          <t>Status</t>
        </is>
      </c>
    </row>
    <row r="2" ht="15.75" customHeight="1">
      <c r="A2" s="66" t="n">
        <v>1</v>
      </c>
      <c r="B2" s="179" t="inlineStr">
        <is>
          <t>Definer obligatorisk fagverifiseringsprosess før KI-output brukes i saksbehandling</t>
        </is>
      </c>
      <c r="C2" s="179" t="inlineStr">
        <is>
          <t>R1, R5</t>
        </is>
      </c>
      <c r="D2" s="179" t="inlineStr">
        <is>
          <t>PBE seksjonsleder</t>
        </is>
      </c>
      <c r="E2" s="68" t="inlineStr">
        <is>
          <t>30.06.2026</t>
        </is>
      </c>
      <c r="F2" s="66" t="inlineStr">
        <is>
          <t>Ikke startet</t>
        </is>
      </c>
    </row>
    <row r="3" ht="15.75" customHeight="1">
      <c r="A3" s="65" t="n">
        <v>2</v>
      </c>
      <c r="B3" s="174" t="inlineStr">
        <is>
          <t>Definer retrieval-evaluering med gullspørsmål og etabler rutine for re-indeksering av kunnskapsbasen</t>
        </is>
      </c>
      <c r="C3" s="174" t="inlineStr">
        <is>
          <t>R1, R13</t>
        </is>
      </c>
      <c r="D3" s="174" t="inlineStr">
        <is>
          <t>Andreas Fadum / PBE fagansvarlig</t>
        </is>
      </c>
      <c r="E3" s="69" t="inlineStr">
        <is>
          <t>31.07.2026</t>
        </is>
      </c>
      <c r="F3" s="66" t="inlineStr">
        <is>
          <t>Ikke startet</t>
        </is>
      </c>
    </row>
    <row r="4" ht="15.75" customHeight="1">
      <c r="A4" s="65" t="n">
        <v>3</v>
      </c>
      <c r="B4" s="174" t="inlineStr">
        <is>
          <t>Vis kilder og scoring fra RAG i UI for fagverifisering</t>
        </is>
      </c>
      <c r="C4" s="174" t="inlineStr">
        <is>
          <t>R1, R13</t>
        </is>
      </c>
      <c r="D4" s="174" t="inlineStr">
        <is>
          <t>Andreas Fadum</t>
        </is>
      </c>
      <c r="E4" s="69" t="inlineStr">
        <is>
          <t>31.07.2026</t>
        </is>
      </c>
      <c r="F4" s="65" t="inlineStr">
        <is>
          <t>Ikke startet</t>
        </is>
      </c>
    </row>
    <row r="5" ht="15.75" customHeight="1">
      <c r="A5" s="65" t="n">
        <v>4</v>
      </c>
      <c r="B5" s="174" t="inlineStr">
        <is>
          <t>Gjennomføre DPIA før produksjonssetting</t>
        </is>
      </c>
      <c r="C5" s="174" t="inlineStr">
        <is>
          <t>R8, R12</t>
        </is>
      </c>
      <c r="D5" s="174" t="inlineStr">
        <is>
          <t>PBE personvernombud</t>
        </is>
      </c>
      <c r="E5" s="69" t="inlineStr">
        <is>
          <t>30.06.2026</t>
        </is>
      </c>
      <c r="F5" s="65" t="inlineStr">
        <is>
          <t>Ikke startet</t>
        </is>
      </c>
    </row>
    <row r="6" ht="15.75" customHeight="1">
      <c r="A6" s="65" t="n">
        <v>5</v>
      </c>
      <c r="B6" s="174" t="inlineStr">
        <is>
          <t>Gjennomføre FRIA iht. kommende KI-forordning (mal fra Digitaliseringsetaten)</t>
        </is>
      </c>
      <c r="C6" s="174" t="inlineStr">
        <is>
          <t>R12</t>
        </is>
      </c>
      <c r="D6" s="174" t="inlineStr">
        <is>
          <t>PBE i samråd med Byrådsavdeling for finans</t>
        </is>
      </c>
      <c r="E6" s="69" t="inlineStr">
        <is>
          <t>31.08.2026</t>
        </is>
      </c>
      <c r="F6" s="65" t="inlineStr">
        <is>
          <t>Ikke startet</t>
        </is>
      </c>
    </row>
    <row r="7" ht="15.75" customHeight="1">
      <c r="A7" s="65" t="n">
        <v>6</v>
      </c>
      <c r="B7" s="174" t="inlineStr">
        <is>
          <t>Innfør rate limiting og input-sanitering i Express-proxy</t>
        </is>
      </c>
      <c r="C7" s="174" t="inlineStr">
        <is>
          <t>R4, R11</t>
        </is>
      </c>
      <c r="D7" s="174" t="inlineStr">
        <is>
          <t>Andreas Fadum</t>
        </is>
      </c>
      <c r="E7" s="69" t="inlineStr">
        <is>
          <t>30.06.2026</t>
        </is>
      </c>
      <c r="F7" s="65" t="inlineStr">
        <is>
          <t>Ikke startet</t>
        </is>
      </c>
    </row>
    <row r="8" ht="15.75" customHeight="1">
      <c r="A8" s="65" t="n">
        <v>7</v>
      </c>
      <c r="B8" s="174" t="inlineStr">
        <is>
          <t>Etabler uptime-overvåkning og e-postalarm mot /api/health</t>
        </is>
      </c>
      <c r="C8" s="174" t="inlineStr">
        <is>
          <t>R3</t>
        </is>
      </c>
      <c r="D8" s="174" t="inlineStr">
        <is>
          <t>Andreas Fadum</t>
        </is>
      </c>
      <c r="E8" s="69" t="inlineStr">
        <is>
          <t>10.06.2026</t>
        </is>
      </c>
      <c r="F8" s="65" t="inlineStr">
        <is>
          <t>Ikke startet</t>
        </is>
      </c>
    </row>
    <row r="9" ht="15.75" customHeight="1">
      <c r="A9" s="65" t="n">
        <v>8</v>
      </c>
      <c r="B9" s="174" t="inlineStr">
        <is>
          <t>Sett usage cap og forbruksalarm hos Anthropic</t>
        </is>
      </c>
      <c r="C9" s="174" t="inlineStr">
        <is>
          <t>R2, R11</t>
        </is>
      </c>
      <c r="D9" s="174" t="inlineStr">
        <is>
          <t>Andreas Fadum</t>
        </is>
      </c>
      <c r="E9" s="69" t="inlineStr">
        <is>
          <t>10.06.2026</t>
        </is>
      </c>
      <c r="F9" s="65" t="inlineStr">
        <is>
          <t>Ikke startet</t>
        </is>
      </c>
    </row>
    <row r="10" ht="15.75" customHeight="1">
      <c r="A10" s="65" t="n">
        <v>9</v>
      </c>
      <c r="B10" s="174" t="inlineStr">
        <is>
          <t>WCAG 2.1 AA-audit og publisering av tilgjengelighetserklæring</t>
        </is>
      </c>
      <c r="C10" s="174" t="inlineStr">
        <is>
          <t>R9</t>
        </is>
      </c>
      <c r="D10" s="174" t="inlineStr">
        <is>
          <t>PBE kommunikasjon</t>
        </is>
      </c>
      <c r="E10" s="69" t="inlineStr">
        <is>
          <t>31.08.2026</t>
        </is>
      </c>
      <c r="F10" s="65" t="inlineStr">
        <is>
          <t>Ikke startet</t>
        </is>
      </c>
    </row>
    <row r="11" ht="15.75" customHeight="1">
      <c r="A11" s="65" t="n">
        <v>10</v>
      </c>
      <c r="B11" s="174" t="inlineStr">
        <is>
          <t>Abstrahere KI-klient til model-agnostic interface og prototype mot Copilot</t>
        </is>
      </c>
      <c r="C11" s="174" t="inlineStr">
        <is>
          <t>R10</t>
        </is>
      </c>
      <c r="D11" s="174" t="inlineStr">
        <is>
          <t>Andreas Fadum</t>
        </is>
      </c>
      <c r="E11" s="69" t="inlineStr">
        <is>
          <t>30.09.2026</t>
        </is>
      </c>
      <c r="F11" s="65" t="inlineStr">
        <is>
          <t>Ikke startet</t>
        </is>
      </c>
    </row>
    <row r="12" ht="15.75" customHeight="1">
      <c r="A12" s="65" t="n">
        <v>11</v>
      </c>
      <c r="B12" s="174" t="inlineStr">
        <is>
          <t>Caching av eksterne API-svar (Kartverket, iNaturalist, GBIF, Artsdatabanken, NiN, Miljødirektoratet, Plankart Oslo, MGS Oslo) og degradert visning ved kildebortfall</t>
        </is>
      </c>
      <c r="C12" s="174" t="inlineStr">
        <is>
          <t>R6, R7</t>
        </is>
      </c>
      <c r="D12" s="174" t="inlineStr">
        <is>
          <t>Andreas Fadum</t>
        </is>
      </c>
      <c r="E12" s="69" t="inlineStr">
        <is>
          <t>31.07.2026</t>
        </is>
      </c>
      <c r="F12" s="65" t="inlineStr">
        <is>
          <t>Ikke startet</t>
        </is>
      </c>
    </row>
    <row r="13" ht="15.75" customHeight="1">
      <c r="A13" s="65" t="n">
        <v>12</v>
      </c>
      <c r="B13" s="174" t="inlineStr">
        <is>
          <t>Rutine for kvartalsvis nøkkelrotering (Anthropic / etterfølgende leverandør)</t>
        </is>
      </c>
      <c r="C13" s="174" t="inlineStr">
        <is>
          <t>R2</t>
        </is>
      </c>
      <c r="D13" s="174" t="inlineStr">
        <is>
          <t>PBE drift</t>
        </is>
      </c>
      <c r="E13" s="69" t="inlineStr">
        <is>
          <t>Løpende fra 30.06.2026</t>
        </is>
      </c>
      <c r="F13" s="65" t="inlineStr">
        <is>
          <t>Ikke startet</t>
        </is>
      </c>
    </row>
    <row r="14" ht="15.75" customHeight="1">
      <c r="A14" s="65" t="n">
        <v>13</v>
      </c>
      <c r="B14" s="174" t="inlineStr">
        <is>
          <t>Klassifisere Naturportrett iht. KI-forordningen og oppdatere dokumentasjon</t>
        </is>
      </c>
      <c r="C14" s="174" t="inlineStr">
        <is>
          <t>R12</t>
        </is>
      </c>
      <c r="D14" s="174" t="inlineStr">
        <is>
          <t>PBE i samråd med Byrådsavdeling for finans</t>
        </is>
      </c>
      <c r="E14" s="69" t="inlineStr">
        <is>
          <t>31.08.2026</t>
        </is>
      </c>
      <c r="F14" s="65" t="inlineStr">
        <is>
          <t>Ikke startet</t>
        </is>
      </c>
    </row>
    <row r="15" ht="15.75" customHeight="1">
      <c r="A15" s="65" t="n">
        <v>14</v>
      </c>
      <c r="B15" s="174" t="inlineStr">
        <is>
          <t>Visning av siste oppdateringsdato per datakilde i UI</t>
        </is>
      </c>
      <c r="C15" s="174" t="inlineStr">
        <is>
          <t>R7</t>
        </is>
      </c>
      <c r="D15" s="174" t="inlineStr">
        <is>
          <t>Andreas Fadum</t>
        </is>
      </c>
      <c r="E15" s="69" t="inlineStr">
        <is>
          <t>31.07.2026</t>
        </is>
      </c>
      <c r="F15" s="65" t="inlineStr">
        <is>
          <t>Ikke startet</t>
        </is>
      </c>
    </row>
    <row r="16" ht="15.75" customHeight="1">
      <c r="A16" s="65" t="n">
        <v>15</v>
      </c>
      <c r="B16" s="174" t="inlineStr">
        <is>
          <t>Alarm ved bruddendrende API-format-endringer fra eksterne kilder</t>
        </is>
      </c>
      <c r="C16" s="174" t="inlineStr">
        <is>
          <t>R6, R7</t>
        </is>
      </c>
      <c r="D16" s="174" t="inlineStr">
        <is>
          <t>Andreas Fadum</t>
        </is>
      </c>
      <c r="E16" s="69" t="inlineStr">
        <is>
          <t>31.08.2026</t>
        </is>
      </c>
      <c r="F16" s="65" t="inlineStr">
        <is>
          <t>Ikke startet</t>
        </is>
      </c>
    </row>
    <row r="17" ht="15.75" customHeight="1">
      <c r="A17" s="65" t="n"/>
      <c r="B17" s="65" t="n"/>
      <c r="C17" s="65" t="n"/>
      <c r="D17" s="65" t="n"/>
      <c r="E17" s="69" t="n"/>
      <c r="F17" s="65" t="n"/>
    </row>
    <row r="18" ht="15.75" customHeight="1">
      <c r="A18" s="65" t="n"/>
      <c r="B18" s="65" t="n"/>
      <c r="C18" s="65" t="n"/>
      <c r="D18" s="65" t="n"/>
      <c r="E18" s="69" t="n"/>
      <c r="F18" s="65" t="n"/>
    </row>
    <row r="19" ht="15.75" customHeight="1">
      <c r="A19" s="65" t="n"/>
      <c r="B19" s="65" t="n"/>
      <c r="C19" s="65" t="n"/>
      <c r="D19" s="65" t="n"/>
      <c r="E19" s="69" t="n"/>
      <c r="F19" s="65" t="n"/>
    </row>
    <row r="20" ht="15.75" customHeight="1">
      <c r="A20" s="65" t="n"/>
      <c r="B20" s="65" t="n"/>
      <c r="C20" s="65" t="n"/>
      <c r="D20" s="65" t="n"/>
      <c r="E20" s="69" t="n"/>
      <c r="F20" s="65" t="n"/>
    </row>
    <row r="21" ht="15.75" customHeight="1">
      <c r="A21" s="65" t="n"/>
      <c r="B21" s="65" t="n"/>
      <c r="C21" s="65" t="n"/>
      <c r="D21" s="65" t="n"/>
      <c r="E21" s="69" t="n"/>
      <c r="F21" s="65" t="n"/>
    </row>
    <row r="22" ht="15.75" customHeight="1">
      <c r="A22" s="65" t="n"/>
      <c r="B22" s="65" t="n"/>
      <c r="C22" s="65" t="n"/>
      <c r="D22" s="65" t="n"/>
      <c r="E22" s="69" t="n"/>
      <c r="F22" s="65" t="n"/>
    </row>
    <row r="23" ht="15.75" customHeight="1">
      <c r="A23" s="65" t="n"/>
      <c r="B23" s="65" t="n"/>
      <c r="C23" s="65" t="n"/>
      <c r="D23" s="65" t="n"/>
      <c r="E23" s="69" t="n"/>
      <c r="F23" s="65" t="n"/>
    </row>
    <row r="24" ht="15.75" customHeight="1">
      <c r="A24" s="65" t="n"/>
      <c r="B24" s="65" t="n"/>
      <c r="C24" s="65" t="n"/>
      <c r="D24" s="65" t="n"/>
      <c r="E24" s="69" t="n"/>
      <c r="F24" s="65" t="n"/>
    </row>
    <row r="25" ht="15.75" customHeight="1">
      <c r="A25" s="65" t="n"/>
      <c r="B25" s="65" t="n"/>
      <c r="C25" s="65" t="n"/>
      <c r="D25" s="65" t="n"/>
      <c r="E25" s="69" t="n"/>
      <c r="F25" s="65" t="n"/>
    </row>
    <row r="26" ht="15.75" customHeight="1">
      <c r="A26" s="65" t="n"/>
      <c r="B26" s="65" t="n"/>
      <c r="C26" s="65" t="n"/>
      <c r="D26" s="65" t="n"/>
      <c r="E26" s="69" t="n"/>
      <c r="F26" s="65" t="n"/>
    </row>
    <row r="27" ht="15.75" customHeight="1">
      <c r="A27" s="65" t="n"/>
      <c r="B27" s="65" t="n"/>
      <c r="C27" s="65" t="n"/>
      <c r="D27" s="65" t="n"/>
      <c r="E27" s="69" t="n"/>
      <c r="F27" s="65" t="n"/>
    </row>
    <row r="28" ht="15.75" customHeight="1">
      <c r="A28" s="65" t="n"/>
      <c r="B28" s="65" t="n"/>
      <c r="C28" s="65" t="n"/>
      <c r="D28" s="65" t="n"/>
      <c r="E28" s="69" t="n"/>
      <c r="F28" s="65" t="n"/>
    </row>
    <row r="29" ht="15.75" customHeight="1">
      <c r="A29" s="65" t="n"/>
      <c r="B29" s="65" t="n"/>
      <c r="C29" s="65" t="n"/>
      <c r="D29" s="65" t="n"/>
      <c r="E29" s="69" t="n"/>
      <c r="F29" s="65" t="n"/>
    </row>
    <row r="30" ht="15.75" customHeight="1">
      <c r="A30" s="65" t="n"/>
      <c r="B30" s="65" t="n"/>
      <c r="C30" s="65" t="n"/>
      <c r="D30" s="65" t="n"/>
      <c r="E30" s="69" t="n"/>
      <c r="F30" s="65" t="n"/>
    </row>
    <row r="31" ht="15.75" customHeight="1">
      <c r="A31" s="65" t="n"/>
      <c r="B31" s="65" t="n"/>
      <c r="C31" s="65" t="n"/>
      <c r="D31" s="65" t="n"/>
      <c r="E31" s="69" t="n"/>
      <c r="F31" s="65" t="n"/>
    </row>
    <row r="32" ht="15.75" customHeight="1">
      <c r="A32" s="65" t="n"/>
      <c r="B32" s="65" t="n"/>
      <c r="C32" s="65" t="n"/>
      <c r="D32" s="65" t="n"/>
      <c r="E32" s="69" t="n"/>
      <c r="F32" s="65" t="n"/>
    </row>
    <row r="33" ht="15.75" customHeight="1">
      <c r="A33" s="65" t="n"/>
      <c r="B33" s="65" t="n"/>
      <c r="C33" s="65" t="n"/>
      <c r="D33" s="65" t="n"/>
      <c r="E33" s="69" t="n"/>
      <c r="F33" s="65" t="n"/>
    </row>
    <row r="34" ht="15.75" customHeight="1">
      <c r="A34" s="65" t="n"/>
      <c r="B34" s="65" t="n"/>
      <c r="C34" s="65" t="n"/>
      <c r="D34" s="65" t="n"/>
      <c r="E34" s="69" t="n"/>
      <c r="F34" s="65" t="n"/>
    </row>
    <row r="35" ht="15.75" customHeight="1">
      <c r="A35" s="65" t="n"/>
      <c r="B35" s="65" t="n"/>
      <c r="C35" s="65" t="n"/>
      <c r="D35" s="65" t="n"/>
      <c r="E35" s="69" t="n"/>
      <c r="F35" s="65" t="n"/>
    </row>
    <row r="36" ht="15.75" customHeight="1">
      <c r="A36" s="65" t="n"/>
      <c r="B36" s="65" t="n"/>
      <c r="C36" s="65" t="n"/>
      <c r="D36" s="65" t="n"/>
      <c r="E36" s="69" t="n"/>
      <c r="F36" s="65" t="n"/>
    </row>
    <row r="37" ht="15.75" customHeight="1">
      <c r="A37" s="65" t="n"/>
      <c r="B37" s="65" t="n"/>
      <c r="C37" s="65" t="n"/>
      <c r="D37" s="65" t="n"/>
      <c r="E37" s="69" t="n"/>
      <c r="F37" s="65" t="n"/>
    </row>
    <row r="38" ht="15.75" customHeight="1">
      <c r="A38" s="65" t="n"/>
      <c r="B38" s="65" t="n"/>
      <c r="C38" s="65" t="n"/>
      <c r="D38" s="65" t="n"/>
      <c r="E38" s="69" t="n"/>
      <c r="F38" s="65" t="n"/>
    </row>
    <row r="39" ht="15.75" customHeight="1">
      <c r="A39" s="65" t="n"/>
      <c r="B39" s="65" t="n"/>
      <c r="C39" s="65" t="n"/>
      <c r="D39" s="65" t="n"/>
      <c r="E39" s="69" t="n"/>
      <c r="F39" s="65" t="n"/>
    </row>
    <row r="40" ht="15.75" customHeight="1">
      <c r="A40" s="65" t="n"/>
      <c r="B40" s="65" t="n"/>
      <c r="C40" s="65" t="n"/>
      <c r="D40" s="65" t="n"/>
      <c r="E40" s="69" t="n"/>
      <c r="F40" s="65" t="n"/>
    </row>
    <row r="41" ht="15.75" customHeight="1">
      <c r="A41" s="65" t="n"/>
      <c r="B41" s="65" t="n"/>
      <c r="C41" s="65" t="n"/>
      <c r="D41" s="65" t="n"/>
      <c r="E41" s="69" t="n"/>
      <c r="F41" s="65" t="n"/>
    </row>
    <row r="42" ht="15.75" customHeight="1">
      <c r="A42" s="65" t="n"/>
      <c r="B42" s="65" t="n"/>
      <c r="C42" s="65" t="n"/>
      <c r="D42" s="65" t="n"/>
      <c r="E42" s="69" t="n"/>
      <c r="F42" s="65" t="n"/>
    </row>
    <row r="43" ht="15.75" customHeight="1">
      <c r="A43" s="65" t="n"/>
      <c r="B43" s="65" t="n"/>
      <c r="C43" s="65" t="n"/>
      <c r="D43" s="65" t="n"/>
      <c r="E43" s="69" t="n"/>
      <c r="F43" s="65" t="n"/>
    </row>
    <row r="44" ht="15.75" customHeight="1">
      <c r="A44" s="65" t="n"/>
      <c r="B44" s="65" t="n"/>
      <c r="C44" s="65" t="n"/>
      <c r="D44" s="65" t="n"/>
      <c r="E44" s="69" t="n"/>
      <c r="F44" s="65" t="n"/>
    </row>
    <row r="45" ht="15.75" customHeight="1">
      <c r="A45" s="65" t="n"/>
      <c r="B45" s="65" t="n"/>
      <c r="C45" s="65" t="n"/>
      <c r="D45" s="65" t="n"/>
      <c r="E45" s="69" t="n"/>
      <c r="F45" s="65" t="n"/>
    </row>
    <row r="46" ht="15.75" customHeight="1">
      <c r="A46" s="65" t="n"/>
      <c r="B46" s="65" t="n"/>
      <c r="C46" s="65" t="n"/>
      <c r="D46" s="65" t="n"/>
      <c r="E46" s="69" t="n"/>
      <c r="F46" s="65" t="n"/>
    </row>
    <row r="47" ht="15.75" customHeight="1">
      <c r="A47" s="65" t="n"/>
      <c r="B47" s="65" t="n"/>
      <c r="C47" s="65" t="n"/>
      <c r="D47" s="65" t="n"/>
      <c r="E47" s="69" t="n"/>
      <c r="F47" s="65" t="n"/>
    </row>
    <row r="48" ht="15.75" customHeight="1">
      <c r="A48" s="65" t="n"/>
      <c r="B48" s="65" t="n"/>
      <c r="C48" s="65" t="n"/>
      <c r="D48" s="65" t="n"/>
      <c r="E48" s="69" t="n"/>
      <c r="F48" s="65" t="n"/>
    </row>
    <row r="49" ht="15.75" customHeight="1">
      <c r="A49" s="65" t="n"/>
      <c r="B49" s="65" t="n"/>
      <c r="C49" s="65" t="n"/>
      <c r="D49" s="65" t="n"/>
      <c r="E49" s="69" t="n"/>
      <c r="F49" s="65" t="n"/>
    </row>
    <row r="50" ht="15.75" customHeight="1">
      <c r="A50" s="65" t="n"/>
      <c r="B50" s="65" t="n"/>
      <c r="C50" s="65" t="n"/>
      <c r="D50" s="65" t="n"/>
      <c r="E50" s="69" t="n"/>
      <c r="F50" s="65" t="n"/>
    </row>
    <row r="51" ht="15.75" customHeight="1">
      <c r="A51" s="65" t="n"/>
      <c r="B51" s="65" t="n"/>
      <c r="C51" s="65" t="n"/>
      <c r="D51" s="65" t="n"/>
      <c r="E51" s="69" t="n"/>
      <c r="F51" s="65" t="n"/>
    </row>
    <row r="52" ht="15.75" customHeight="1">
      <c r="A52" s="65" t="n"/>
      <c r="B52" s="65" t="n"/>
      <c r="C52" s="65" t="n"/>
      <c r="D52" s="65" t="n"/>
      <c r="E52" s="69" t="n"/>
      <c r="F52" s="65" t="n"/>
    </row>
    <row r="53" ht="15.75" customHeight="1">
      <c r="A53" s="65" t="n"/>
      <c r="B53" s="65" t="n"/>
      <c r="C53" s="65" t="n"/>
      <c r="D53" s="65" t="n"/>
      <c r="E53" s="69" t="n"/>
      <c r="F53" s="65" t="n"/>
    </row>
    <row r="54" ht="15.75" customHeight="1">
      <c r="A54" s="65" t="n"/>
      <c r="B54" s="65" t="n"/>
      <c r="C54" s="65" t="n"/>
      <c r="D54" s="65" t="n"/>
      <c r="E54" s="69" t="n"/>
      <c r="F54" s="65" t="n"/>
    </row>
    <row r="55" ht="15.75" customHeight="1">
      <c r="A55" s="65" t="n"/>
      <c r="B55" s="65" t="n"/>
      <c r="C55" s="65" t="n"/>
      <c r="D55" s="65" t="n"/>
      <c r="E55" s="69" t="n"/>
      <c r="F55" s="65" t="n"/>
    </row>
    <row r="56" ht="15.75" customHeight="1">
      <c r="A56" s="65" t="n"/>
      <c r="B56" s="65" t="n"/>
      <c r="C56" s="65" t="n"/>
      <c r="D56" s="65" t="n"/>
      <c r="E56" s="69" t="n"/>
      <c r="F56" s="65" t="n"/>
    </row>
    <row r="57" ht="15.75" customHeight="1">
      <c r="A57" s="65" t="n"/>
      <c r="B57" s="65" t="n"/>
      <c r="C57" s="65" t="n"/>
      <c r="D57" s="65" t="n"/>
      <c r="E57" s="69" t="n"/>
      <c r="F57" s="65" t="n"/>
    </row>
    <row r="58" ht="15.75" customHeight="1">
      <c r="A58" s="65" t="n"/>
      <c r="B58" s="65" t="n"/>
      <c r="C58" s="65" t="n"/>
      <c r="D58" s="65" t="n"/>
      <c r="E58" s="69" t="n"/>
      <c r="F58" s="65" t="n"/>
    </row>
    <row r="59" ht="15.75" customHeight="1">
      <c r="A59" s="65" t="n"/>
      <c r="B59" s="65" t="n"/>
      <c r="C59" s="65" t="n"/>
      <c r="D59" s="65" t="n"/>
      <c r="E59" s="69" t="n"/>
      <c r="F59" s="65" t="n"/>
    </row>
    <row r="60" ht="15.75" customHeight="1">
      <c r="A60" s="65" t="n"/>
      <c r="B60" s="65" t="n"/>
      <c r="C60" s="65" t="n"/>
      <c r="D60" s="65" t="n"/>
      <c r="E60" s="69" t="n"/>
      <c r="F60" s="65" t="n"/>
    </row>
    <row r="61" ht="15.75" customHeight="1">
      <c r="A61" s="65" t="n"/>
      <c r="B61" s="65" t="n"/>
      <c r="C61" s="65" t="n"/>
      <c r="D61" s="65" t="n"/>
      <c r="E61" s="69" t="n"/>
      <c r="F61" s="65" t="n"/>
    </row>
    <row r="62" ht="15.75" customHeight="1">
      <c r="A62" s="65" t="n"/>
      <c r="B62" s="65" t="n"/>
      <c r="C62" s="65" t="n"/>
      <c r="D62" s="65" t="n"/>
      <c r="E62" s="69" t="n"/>
      <c r="F62" s="65" t="n"/>
    </row>
    <row r="63" ht="15.75" customHeight="1">
      <c r="A63" s="65" t="n"/>
      <c r="B63" s="65" t="n"/>
      <c r="C63" s="65" t="n"/>
      <c r="D63" s="65" t="n"/>
      <c r="E63" s="69" t="n"/>
      <c r="F63" s="65" t="n"/>
    </row>
    <row r="64" ht="15.75" customHeight="1">
      <c r="A64" s="65" t="n"/>
      <c r="B64" s="65" t="n"/>
      <c r="C64" s="65" t="n"/>
      <c r="D64" s="65" t="n"/>
      <c r="E64" s="69" t="n"/>
      <c r="F64" s="65" t="n"/>
    </row>
    <row r="65" ht="15.75" customHeight="1">
      <c r="A65" s="65" t="n"/>
      <c r="B65" s="65" t="n"/>
      <c r="C65" s="65" t="n"/>
      <c r="D65" s="65" t="n"/>
      <c r="E65" s="69" t="n"/>
      <c r="F65" s="65" t="n"/>
    </row>
    <row r="66" ht="15.75" customHeight="1">
      <c r="A66" s="65" t="n"/>
      <c r="B66" s="65" t="n"/>
      <c r="C66" s="65" t="n"/>
      <c r="D66" s="65" t="n"/>
      <c r="E66" s="69" t="n"/>
      <c r="F66" s="65" t="n"/>
    </row>
    <row r="67" ht="15.75" customHeight="1">
      <c r="A67" s="65" t="n"/>
      <c r="B67" s="65" t="n"/>
      <c r="C67" s="65" t="n"/>
      <c r="D67" s="65" t="n"/>
      <c r="E67" s="69" t="n"/>
      <c r="F67" s="65" t="n"/>
    </row>
    <row r="68" ht="15.75" customHeight="1">
      <c r="A68" s="65" t="n"/>
      <c r="B68" s="65" t="n"/>
      <c r="C68" s="65" t="n"/>
      <c r="D68" s="65" t="n"/>
      <c r="E68" s="69" t="n"/>
      <c r="F68" s="65" t="n"/>
    </row>
    <row r="69" ht="15.75" customHeight="1">
      <c r="A69" s="65" t="n"/>
      <c r="B69" s="65" t="n"/>
      <c r="C69" s="65" t="n"/>
      <c r="D69" s="65" t="n"/>
      <c r="E69" s="69" t="n"/>
      <c r="F69" s="65" t="n"/>
    </row>
    <row r="70" ht="15.75" customHeight="1">
      <c r="A70" s="65" t="n"/>
      <c r="B70" s="65" t="n"/>
      <c r="C70" s="65" t="n"/>
      <c r="D70" s="65" t="n"/>
      <c r="E70" s="69" t="n"/>
      <c r="F70" s="65" t="n"/>
    </row>
    <row r="71" ht="15.75" customHeight="1">
      <c r="A71" s="65" t="n"/>
      <c r="B71" s="65" t="n"/>
      <c r="C71" s="65" t="n"/>
      <c r="D71" s="65" t="n"/>
      <c r="E71" s="69" t="n"/>
      <c r="F71" s="65" t="n"/>
    </row>
    <row r="72" ht="15.75" customHeight="1">
      <c r="A72" s="65" t="n"/>
      <c r="B72" s="65" t="n"/>
      <c r="C72" s="65" t="n"/>
      <c r="D72" s="65" t="n"/>
      <c r="E72" s="69" t="n"/>
      <c r="F72" s="65" t="n"/>
    </row>
    <row r="73" ht="15.75" customHeight="1">
      <c r="A73" s="65" t="n"/>
      <c r="B73" s="65" t="n"/>
      <c r="C73" s="65" t="n"/>
      <c r="D73" s="65" t="n"/>
      <c r="E73" s="69" t="n"/>
      <c r="F73" s="65" t="n"/>
    </row>
    <row r="74" ht="15.75" customHeight="1">
      <c r="A74" s="65" t="n"/>
      <c r="B74" s="65" t="n"/>
      <c r="C74" s="65" t="n"/>
      <c r="D74" s="65" t="n"/>
      <c r="E74" s="69" t="n"/>
      <c r="F74" s="65" t="n"/>
    </row>
    <row r="75" ht="15.75" customHeight="1">
      <c r="A75" s="65" t="n"/>
      <c r="B75" s="65" t="n"/>
      <c r="C75" s="65" t="n"/>
      <c r="D75" s="65" t="n"/>
      <c r="E75" s="69" t="n"/>
      <c r="F75" s="65" t="n"/>
    </row>
    <row r="76" ht="15.75" customHeight="1">
      <c r="A76" s="65" t="n"/>
      <c r="B76" s="65" t="n"/>
      <c r="C76" s="65" t="n"/>
      <c r="D76" s="65" t="n"/>
      <c r="E76" s="69" t="n"/>
      <c r="F76" s="65" t="n"/>
    </row>
    <row r="77" ht="15.75" customHeight="1">
      <c r="A77" s="65" t="n"/>
      <c r="B77" s="65" t="n"/>
      <c r="C77" s="65" t="n"/>
      <c r="D77" s="65" t="n"/>
      <c r="E77" s="69" t="n"/>
      <c r="F77" s="65" t="n"/>
    </row>
    <row r="78" ht="15.75" customHeight="1">
      <c r="A78" s="65" t="n"/>
      <c r="B78" s="65" t="n"/>
      <c r="C78" s="65" t="n"/>
      <c r="D78" s="65" t="n"/>
      <c r="E78" s="69" t="n"/>
      <c r="F78" s="65" t="n"/>
    </row>
    <row r="79" ht="15.75" customHeight="1">
      <c r="A79" s="65" t="n"/>
      <c r="B79" s="65" t="n"/>
      <c r="C79" s="65" t="n"/>
      <c r="D79" s="65" t="n"/>
      <c r="E79" s="69" t="n"/>
      <c r="F79" s="65" t="n"/>
    </row>
    <row r="80" ht="15.75" customHeight="1">
      <c r="A80" s="65" t="n"/>
      <c r="B80" s="65" t="n"/>
      <c r="C80" s="65" t="n"/>
      <c r="D80" s="65" t="n"/>
      <c r="E80" s="69" t="n"/>
      <c r="F80" s="65" t="n"/>
    </row>
    <row r="81" ht="15.75" customHeight="1">
      <c r="A81" s="65" t="n"/>
      <c r="B81" s="65" t="n"/>
      <c r="C81" s="65" t="n"/>
      <c r="D81" s="65" t="n"/>
      <c r="E81" s="69" t="n"/>
      <c r="F81" s="65" t="n"/>
    </row>
    <row r="82" ht="15.75" customHeight="1">
      <c r="A82" s="65" t="n"/>
      <c r="B82" s="65" t="n"/>
      <c r="C82" s="65" t="n"/>
      <c r="D82" s="65" t="n"/>
      <c r="E82" s="69" t="n"/>
      <c r="F82" s="65" t="n"/>
    </row>
    <row r="83" ht="15.75" customHeight="1">
      <c r="A83" s="65" t="n"/>
      <c r="B83" s="65" t="n"/>
      <c r="C83" s="65" t="n"/>
      <c r="D83" s="65" t="n"/>
      <c r="E83" s="69" t="n"/>
      <c r="F83" s="65" t="n"/>
    </row>
    <row r="84" ht="15.75" customHeight="1">
      <c r="A84" s="65" t="n"/>
      <c r="B84" s="65" t="n"/>
      <c r="C84" s="65" t="n"/>
      <c r="D84" s="65" t="n"/>
      <c r="E84" s="69" t="n"/>
      <c r="F84" s="65" t="n"/>
    </row>
    <row r="85" ht="15.75" customHeight="1">
      <c r="A85" s="65" t="n"/>
      <c r="B85" s="65" t="n"/>
      <c r="C85" s="65" t="n"/>
      <c r="D85" s="65" t="n"/>
      <c r="E85" s="69" t="n"/>
      <c r="F85" s="65" t="n"/>
    </row>
    <row r="86" ht="15.75" customHeight="1">
      <c r="A86" s="65" t="n"/>
      <c r="B86" s="65" t="n"/>
      <c r="C86" s="65" t="n"/>
      <c r="D86" s="65" t="n"/>
      <c r="E86" s="69" t="n"/>
      <c r="F86" s="65" t="n"/>
    </row>
    <row r="87" ht="15.75" customHeight="1">
      <c r="A87" s="65" t="n"/>
      <c r="B87" s="65" t="n"/>
      <c r="C87" s="65" t="n"/>
      <c r="D87" s="65" t="n"/>
      <c r="E87" s="69" t="n"/>
      <c r="F87" s="65" t="n"/>
    </row>
    <row r="88" ht="15.75" customHeight="1">
      <c r="A88" s="65" t="n"/>
      <c r="B88" s="65" t="n"/>
      <c r="C88" s="65" t="n"/>
      <c r="D88" s="65" t="n"/>
      <c r="E88" s="69" t="n"/>
      <c r="F88" s="65" t="n"/>
    </row>
    <row r="89" ht="15.75" customHeight="1">
      <c r="A89" s="65" t="n"/>
      <c r="B89" s="65" t="n"/>
      <c r="C89" s="65" t="n"/>
      <c r="D89" s="65" t="n"/>
      <c r="E89" s="69" t="n"/>
      <c r="F89" s="65" t="n"/>
    </row>
    <row r="90" ht="15.75" customHeight="1">
      <c r="A90" s="65" t="n"/>
      <c r="B90" s="65" t="n"/>
      <c r="C90" s="65" t="n"/>
      <c r="D90" s="65" t="n"/>
      <c r="E90" s="69" t="n"/>
      <c r="F90" s="65" t="n"/>
    </row>
    <row r="91" ht="15.75" customHeight="1">
      <c r="A91" s="65" t="n"/>
      <c r="B91" s="65" t="n"/>
      <c r="C91" s="65" t="n"/>
      <c r="D91" s="65" t="n"/>
      <c r="E91" s="69" t="n"/>
      <c r="F91" s="65" t="n"/>
    </row>
    <row r="92" ht="15.75" customHeight="1">
      <c r="A92" s="65" t="n"/>
      <c r="B92" s="65" t="n"/>
      <c r="C92" s="65" t="n"/>
      <c r="D92" s="65" t="n"/>
      <c r="E92" s="69" t="n"/>
      <c r="F92" s="65" t="n"/>
    </row>
    <row r="93" ht="15.75" customHeight="1">
      <c r="A93" s="65" t="n"/>
      <c r="B93" s="65" t="n"/>
      <c r="C93" s="65" t="n"/>
      <c r="D93" s="65" t="n"/>
      <c r="E93" s="69" t="n"/>
      <c r="F93" s="65" t="n"/>
    </row>
    <row r="94" ht="15.75" customHeight="1">
      <c r="A94" s="65" t="n"/>
      <c r="B94" s="65" t="n"/>
      <c r="C94" s="65" t="n"/>
      <c r="D94" s="65" t="n"/>
      <c r="E94" s="69" t="n"/>
      <c r="F94" s="65" t="n"/>
    </row>
    <row r="95" ht="15.75" customHeight="1">
      <c r="A95" s="65" t="n"/>
      <c r="B95" s="65" t="n"/>
      <c r="C95" s="65" t="n"/>
      <c r="D95" s="65" t="n"/>
      <c r="E95" s="69" t="n"/>
      <c r="F95" s="65" t="n"/>
    </row>
    <row r="96" ht="15.75" customHeight="1">
      <c r="A96" s="65" t="n"/>
      <c r="B96" s="65" t="n"/>
      <c r="C96" s="65" t="n"/>
      <c r="D96" s="65" t="n"/>
      <c r="E96" s="69" t="n"/>
      <c r="F96" s="65" t="n"/>
    </row>
    <row r="97" ht="15.75" customHeight="1">
      <c r="A97" s="65" t="n"/>
      <c r="B97" s="65" t="n"/>
      <c r="C97" s="65" t="n"/>
      <c r="D97" s="65" t="n"/>
      <c r="E97" s="69" t="n"/>
      <c r="F97" s="65" t="n"/>
    </row>
    <row r="98" ht="15.75" customHeight="1">
      <c r="A98" s="65" t="n"/>
      <c r="B98" s="65" t="n"/>
      <c r="C98" s="65" t="n"/>
      <c r="D98" s="65" t="n"/>
      <c r="E98" s="69" t="n"/>
      <c r="F98" s="65" t="n"/>
    </row>
    <row r="99" ht="15.75" customHeight="1">
      <c r="A99" s="65" t="n"/>
      <c r="B99" s="65" t="n"/>
      <c r="C99" s="65" t="n"/>
      <c r="D99" s="65" t="n"/>
      <c r="E99" s="69" t="n"/>
      <c r="F99" s="65" t="n"/>
    </row>
    <row r="100" ht="15.75" customHeight="1">
      <c r="A100" s="65" t="n"/>
      <c r="B100" s="65" t="n"/>
      <c r="C100" s="65" t="n"/>
      <c r="D100" s="65" t="n"/>
      <c r="E100" s="69" t="n"/>
      <c r="F100" s="65" t="n"/>
    </row>
    <row r="101" ht="15.75" customHeight="1">
      <c r="A101" s="65" t="n"/>
      <c r="B101" s="65" t="n"/>
      <c r="C101" s="65" t="n"/>
      <c r="D101" s="65" t="n"/>
      <c r="E101" s="69" t="n"/>
      <c r="F101" s="65" t="n"/>
    </row>
    <row r="102" ht="15.75" customHeight="1">
      <c r="A102" s="65" t="n"/>
      <c r="B102" s="65" t="n"/>
      <c r="C102" s="65" t="n"/>
      <c r="D102" s="65" t="n"/>
      <c r="E102" s="69" t="n"/>
      <c r="F102" s="65" t="n"/>
    </row>
    <row r="103" ht="15.75" customHeight="1">
      <c r="A103" s="65" t="n"/>
      <c r="B103" s="65" t="n"/>
      <c r="C103" s="65" t="n"/>
      <c r="D103" s="65" t="n"/>
      <c r="E103" s="69" t="n"/>
      <c r="F103" s="65" t="n"/>
    </row>
    <row r="104" ht="15.75" customHeight="1">
      <c r="A104" s="65" t="n"/>
      <c r="B104" s="65" t="n"/>
      <c r="C104" s="65" t="n"/>
      <c r="D104" s="65" t="n"/>
      <c r="E104" s="69" t="n"/>
      <c r="F104" s="65" t="n"/>
    </row>
    <row r="105" ht="15.75" customHeight="1">
      <c r="A105" s="65" t="n"/>
      <c r="B105" s="65" t="n"/>
      <c r="C105" s="65" t="n"/>
      <c r="D105" s="65" t="n"/>
      <c r="E105" s="69" t="n"/>
      <c r="F105" s="65" t="n"/>
    </row>
    <row r="106" ht="15.75" customHeight="1">
      <c r="A106" s="65" t="n"/>
      <c r="B106" s="65" t="n"/>
      <c r="C106" s="65" t="n"/>
      <c r="D106" s="65" t="n"/>
      <c r="E106" s="69" t="n"/>
      <c r="F106" s="65" t="n"/>
    </row>
    <row r="107" ht="15.75" customHeight="1">
      <c r="A107" s="65" t="n"/>
      <c r="B107" s="65" t="n"/>
      <c r="C107" s="65" t="n"/>
      <c r="D107" s="65" t="n"/>
      <c r="E107" s="69" t="n"/>
      <c r="F107" s="65" t="n"/>
    </row>
    <row r="108" ht="15.75" customHeight="1">
      <c r="A108" s="65" t="n"/>
      <c r="B108" s="65" t="n"/>
      <c r="C108" s="65" t="n"/>
      <c r="D108" s="65" t="n"/>
      <c r="E108" s="69" t="n"/>
      <c r="F108" s="65" t="n"/>
    </row>
    <row r="109" ht="15.75" customHeight="1">
      <c r="A109" s="65" t="n"/>
      <c r="B109" s="65" t="n"/>
      <c r="C109" s="65" t="n"/>
      <c r="D109" s="65" t="n"/>
      <c r="E109" s="69" t="n"/>
      <c r="F109" s="65" t="n"/>
    </row>
    <row r="110" ht="15.75" customHeight="1">
      <c r="A110" s="65" t="n"/>
      <c r="B110" s="65" t="n"/>
      <c r="C110" s="65" t="n"/>
      <c r="D110" s="65" t="n"/>
      <c r="E110" s="69" t="n"/>
      <c r="F110" s="65" t="n"/>
    </row>
    <row r="111" ht="15.75" customHeight="1">
      <c r="A111" s="65" t="n"/>
      <c r="B111" s="65" t="n"/>
      <c r="C111" s="65" t="n"/>
      <c r="D111" s="65" t="n"/>
      <c r="E111" s="69" t="n"/>
      <c r="F111" s="65" t="n"/>
    </row>
    <row r="112" ht="15.75" customHeight="1">
      <c r="A112" s="65" t="n"/>
      <c r="B112" s="65" t="n"/>
      <c r="C112" s="65" t="n"/>
      <c r="D112" s="65" t="n"/>
      <c r="E112" s="69" t="n"/>
      <c r="F112" s="65" t="n"/>
    </row>
    <row r="113" ht="15.75" customHeight="1">
      <c r="A113" s="65" t="n"/>
      <c r="B113" s="65" t="n"/>
      <c r="C113" s="65" t="n"/>
      <c r="D113" s="65" t="n"/>
      <c r="E113" s="69" t="n"/>
      <c r="F113" s="65" t="n"/>
    </row>
    <row r="114" ht="15.75" customHeight="1">
      <c r="A114" s="65" t="n"/>
      <c r="B114" s="65" t="n"/>
      <c r="C114" s="65" t="n"/>
      <c r="D114" s="65" t="n"/>
      <c r="E114" s="69" t="n"/>
      <c r="F114" s="65" t="n"/>
    </row>
    <row r="115" ht="15.75" customHeight="1">
      <c r="A115" s="65" t="n"/>
      <c r="B115" s="65" t="n"/>
      <c r="C115" s="65" t="n"/>
      <c r="D115" s="65" t="n"/>
      <c r="E115" s="69" t="n"/>
      <c r="F115" s="65" t="n"/>
    </row>
    <row r="116" ht="15.75" customHeight="1">
      <c r="A116" s="65" t="n"/>
      <c r="B116" s="65" t="n"/>
      <c r="C116" s="65" t="n"/>
      <c r="D116" s="65" t="n"/>
      <c r="E116" s="69" t="n"/>
      <c r="F116" s="65" t="n"/>
    </row>
    <row r="117" ht="15.75" customHeight="1">
      <c r="A117" s="65" t="n"/>
      <c r="B117" s="65" t="n"/>
      <c r="C117" s="65" t="n"/>
      <c r="D117" s="65" t="n"/>
      <c r="E117" s="69" t="n"/>
      <c r="F117" s="65" t="n"/>
    </row>
    <row r="118" ht="15.75" customHeight="1">
      <c r="A118" s="65" t="n"/>
      <c r="B118" s="65" t="n"/>
      <c r="C118" s="65" t="n"/>
      <c r="D118" s="65" t="n"/>
      <c r="E118" s="69" t="n"/>
      <c r="F118" s="65" t="n"/>
    </row>
    <row r="119" ht="15.75" customHeight="1">
      <c r="A119" s="65" t="n"/>
      <c r="B119" s="65" t="n"/>
      <c r="C119" s="65" t="n"/>
      <c r="D119" s="65" t="n"/>
      <c r="E119" s="69" t="n"/>
      <c r="F119" s="65" t="n"/>
    </row>
    <row r="120" ht="15.75" customHeight="1">
      <c r="A120" s="65" t="n"/>
      <c r="B120" s="65" t="n"/>
      <c r="C120" s="65" t="n"/>
      <c r="D120" s="65" t="n"/>
      <c r="E120" s="69" t="n"/>
      <c r="F120" s="65" t="n"/>
    </row>
    <row r="121" ht="15.75" customHeight="1">
      <c r="A121" s="65" t="n"/>
      <c r="B121" s="65" t="n"/>
      <c r="C121" s="65" t="n"/>
      <c r="D121" s="65" t="n"/>
      <c r="E121" s="69" t="n"/>
      <c r="F121" s="65" t="n"/>
    </row>
    <row r="122" ht="15.75" customHeight="1">
      <c r="A122" s="65" t="n"/>
      <c r="B122" s="65" t="n"/>
      <c r="C122" s="65" t="n"/>
      <c r="D122" s="65" t="n"/>
      <c r="E122" s="69" t="n"/>
      <c r="F122" s="65" t="n"/>
    </row>
    <row r="123" ht="15.75" customHeight="1">
      <c r="A123" s="65" t="n"/>
      <c r="B123" s="65" t="n"/>
      <c r="C123" s="65" t="n"/>
      <c r="D123" s="65" t="n"/>
      <c r="E123" s="69" t="n"/>
      <c r="F123" s="65" t="n"/>
    </row>
    <row r="124" ht="15.75" customHeight="1">
      <c r="A124" s="65" t="n"/>
      <c r="B124" s="65" t="n"/>
      <c r="C124" s="65" t="n"/>
      <c r="D124" s="65" t="n"/>
      <c r="E124" s="69" t="n"/>
      <c r="F124" s="65" t="n"/>
    </row>
    <row r="125" ht="15.75" customHeight="1">
      <c r="A125" s="65" t="n"/>
      <c r="B125" s="65" t="n"/>
      <c r="C125" s="65" t="n"/>
      <c r="D125" s="65" t="n"/>
      <c r="E125" s="69" t="n"/>
      <c r="F125" s="65" t="n"/>
    </row>
    <row r="126" ht="15.75" customHeight="1">
      <c r="A126" s="65" t="n"/>
      <c r="B126" s="65" t="n"/>
      <c r="C126" s="65" t="n"/>
      <c r="D126" s="65" t="n"/>
      <c r="E126" s="69" t="n"/>
      <c r="F126" s="65" t="n"/>
    </row>
    <row r="127" ht="15.75" customHeight="1">
      <c r="A127" s="65" t="n"/>
      <c r="B127" s="65" t="n"/>
      <c r="C127" s="65" t="n"/>
      <c r="D127" s="65" t="n"/>
      <c r="E127" s="69" t="n"/>
      <c r="F127" s="65" t="n"/>
    </row>
    <row r="128" ht="15.75" customHeight="1">
      <c r="A128" s="65" t="n"/>
      <c r="B128" s="65" t="n"/>
      <c r="C128" s="65" t="n"/>
      <c r="D128" s="65" t="n"/>
      <c r="E128" s="69" t="n"/>
      <c r="F128" s="65" t="n"/>
    </row>
    <row r="129" ht="15.75" customHeight="1">
      <c r="A129" s="65" t="n"/>
      <c r="B129" s="65" t="n"/>
      <c r="C129" s="65" t="n"/>
      <c r="D129" s="65" t="n"/>
      <c r="E129" s="69" t="n"/>
      <c r="F129" s="65" t="n"/>
    </row>
    <row r="130" ht="15.75" customHeight="1">
      <c r="A130" s="65" t="n"/>
      <c r="B130" s="65" t="n"/>
      <c r="C130" s="65" t="n"/>
      <c r="D130" s="65" t="n"/>
      <c r="E130" s="69" t="n"/>
      <c r="F130" s="65" t="n"/>
    </row>
    <row r="131" ht="15.75" customHeight="1">
      <c r="A131" s="65" t="n"/>
      <c r="B131" s="65" t="n"/>
      <c r="C131" s="65" t="n"/>
      <c r="D131" s="65" t="n"/>
      <c r="E131" s="69" t="n"/>
      <c r="F131" s="65" t="n"/>
    </row>
    <row r="132" ht="15.75" customHeight="1">
      <c r="A132" s="65" t="n"/>
      <c r="B132" s="65" t="n"/>
      <c r="C132" s="65" t="n"/>
      <c r="D132" s="65" t="n"/>
      <c r="E132" s="69" t="n"/>
      <c r="F132" s="65" t="n"/>
    </row>
    <row r="133" ht="15.75" customHeight="1">
      <c r="A133" s="65" t="n"/>
      <c r="B133" s="65" t="n"/>
      <c r="C133" s="65" t="n"/>
      <c r="D133" s="65" t="n"/>
      <c r="E133" s="69" t="n"/>
      <c r="F133" s="65" t="n"/>
    </row>
    <row r="134" ht="15.75" customHeight="1">
      <c r="A134" s="65" t="n"/>
      <c r="B134" s="65" t="n"/>
      <c r="C134" s="65" t="n"/>
      <c r="D134" s="65" t="n"/>
      <c r="E134" s="69" t="n"/>
      <c r="F134" s="65" t="n"/>
    </row>
    <row r="135" ht="15.75" customHeight="1">
      <c r="A135" s="65" t="n"/>
      <c r="B135" s="65" t="n"/>
      <c r="C135" s="65" t="n"/>
      <c r="D135" s="65" t="n"/>
      <c r="E135" s="69" t="n"/>
      <c r="F135" s="65" t="n"/>
    </row>
    <row r="136" ht="15.75" customHeight="1">
      <c r="A136" s="65" t="n"/>
      <c r="B136" s="65" t="n"/>
      <c r="C136" s="65" t="n"/>
      <c r="D136" s="65" t="n"/>
      <c r="E136" s="69" t="n"/>
      <c r="F136" s="65" t="n"/>
    </row>
    <row r="137" ht="15.75" customHeight="1">
      <c r="A137" s="65" t="n"/>
      <c r="B137" s="65" t="n"/>
      <c r="C137" s="65" t="n"/>
      <c r="D137" s="65" t="n"/>
      <c r="E137" s="69" t="n"/>
      <c r="F137" s="65" t="n"/>
    </row>
    <row r="138" ht="15.75" customHeight="1">
      <c r="A138" s="65" t="n"/>
      <c r="B138" s="65" t="n"/>
      <c r="C138" s="65" t="n"/>
      <c r="D138" s="65" t="n"/>
      <c r="E138" s="69" t="n"/>
      <c r="F138" s="65" t="n"/>
    </row>
    <row r="139" ht="15.75" customHeight="1">
      <c r="A139" s="65" t="n"/>
      <c r="B139" s="65" t="n"/>
      <c r="C139" s="65" t="n"/>
      <c r="D139" s="65" t="n"/>
      <c r="E139" s="69" t="n"/>
      <c r="F139" s="65" t="n"/>
    </row>
    <row r="140" ht="15.75" customHeight="1">
      <c r="A140" s="65" t="n"/>
      <c r="B140" s="65" t="n"/>
      <c r="C140" s="65" t="n"/>
      <c r="D140" s="65" t="n"/>
      <c r="E140" s="69" t="n"/>
      <c r="F140" s="65" t="n"/>
    </row>
    <row r="141" ht="15.75" customHeight="1">
      <c r="A141" s="65" t="n"/>
      <c r="B141" s="65" t="n"/>
      <c r="C141" s="65" t="n"/>
      <c r="D141" s="65" t="n"/>
      <c r="E141" s="69" t="n"/>
      <c r="F141" s="65" t="n"/>
    </row>
    <row r="142" ht="15.75" customHeight="1">
      <c r="A142" s="65" t="n"/>
      <c r="B142" s="65" t="n"/>
      <c r="C142" s="65" t="n"/>
      <c r="D142" s="65" t="n"/>
      <c r="E142" s="69" t="n"/>
      <c r="F142" s="65" t="n"/>
    </row>
    <row r="143" ht="15.75" customHeight="1">
      <c r="A143" s="65" t="n"/>
      <c r="B143" s="65" t="n"/>
      <c r="C143" s="65" t="n"/>
      <c r="D143" s="65" t="n"/>
      <c r="E143" s="69" t="n"/>
      <c r="F143" s="65" t="n"/>
    </row>
    <row r="144" ht="15.75" customHeight="1">
      <c r="A144" s="65" t="n"/>
      <c r="B144" s="65" t="n"/>
      <c r="C144" s="65" t="n"/>
      <c r="D144" s="65" t="n"/>
      <c r="E144" s="69" t="n"/>
      <c r="F144" s="65" t="n"/>
    </row>
    <row r="145" ht="15.75" customHeight="1">
      <c r="A145" s="65" t="n"/>
      <c r="B145" s="65" t="n"/>
      <c r="C145" s="65" t="n"/>
      <c r="D145" s="65" t="n"/>
      <c r="E145" s="69" t="n"/>
      <c r="F145" s="65" t="n"/>
    </row>
    <row r="146" ht="15.75" customHeight="1">
      <c r="A146" s="65" t="n"/>
      <c r="B146" s="65" t="n"/>
      <c r="C146" s="65" t="n"/>
      <c r="D146" s="65" t="n"/>
      <c r="E146" s="69" t="n"/>
      <c r="F146" s="65" t="n"/>
    </row>
    <row r="147" ht="15.75" customHeight="1">
      <c r="A147" s="65" t="n"/>
      <c r="B147" s="65" t="n"/>
      <c r="C147" s="65" t="n"/>
      <c r="D147" s="65" t="n"/>
      <c r="E147" s="69" t="n"/>
      <c r="F147" s="65" t="n"/>
    </row>
    <row r="148" ht="15.75" customHeight="1">
      <c r="A148" s="65" t="n"/>
      <c r="B148" s="65" t="n"/>
      <c r="C148" s="65" t="n"/>
      <c r="D148" s="65" t="n"/>
      <c r="E148" s="69" t="n"/>
      <c r="F148" s="65" t="n"/>
    </row>
    <row r="149" ht="15.75" customHeight="1">
      <c r="A149" s="65" t="n"/>
      <c r="B149" s="65" t="n"/>
      <c r="C149" s="65" t="n"/>
      <c r="D149" s="65" t="n"/>
      <c r="E149" s="69" t="n"/>
      <c r="F149" s="65" t="n"/>
    </row>
    <row r="150" ht="15.75" customHeight="1">
      <c r="A150" s="65" t="n"/>
      <c r="B150" s="65" t="n"/>
      <c r="C150" s="65" t="n"/>
      <c r="D150" s="65" t="n"/>
      <c r="E150" s="69" t="n"/>
      <c r="F150" s="65" t="n"/>
    </row>
    <row r="151" ht="15.75" customHeight="1">
      <c r="A151" s="65" t="n"/>
      <c r="B151" s="65" t="n"/>
      <c r="C151" s="65" t="n"/>
      <c r="D151" s="65" t="n"/>
      <c r="E151" s="69" t="n"/>
      <c r="F151" s="65" t="n"/>
    </row>
    <row r="152" ht="15.75" customHeight="1">
      <c r="A152" s="65" t="n"/>
      <c r="B152" s="65" t="n"/>
      <c r="C152" s="65" t="n"/>
      <c r="D152" s="65" t="n"/>
      <c r="E152" s="69" t="n"/>
      <c r="F152" s="65" t="n"/>
    </row>
    <row r="153" ht="15.75" customHeight="1">
      <c r="A153" s="65" t="n"/>
      <c r="B153" s="65" t="n"/>
      <c r="C153" s="65" t="n"/>
      <c r="D153" s="65" t="n"/>
      <c r="E153" s="69" t="n"/>
      <c r="F153" s="65" t="n"/>
    </row>
    <row r="154" ht="15.75" customHeight="1">
      <c r="A154" s="65" t="n"/>
      <c r="B154" s="65" t="n"/>
      <c r="C154" s="65" t="n"/>
      <c r="D154" s="65" t="n"/>
      <c r="E154" s="69" t="n"/>
      <c r="F154" s="65" t="n"/>
    </row>
    <row r="155" ht="15.75" customHeight="1">
      <c r="A155" s="65" t="n"/>
      <c r="B155" s="65" t="n"/>
      <c r="C155" s="65" t="n"/>
      <c r="D155" s="65" t="n"/>
      <c r="E155" s="69" t="n"/>
      <c r="F155" s="65" t="n"/>
    </row>
    <row r="156" ht="15.75" customHeight="1">
      <c r="A156" s="65" t="n"/>
      <c r="B156" s="65" t="n"/>
      <c r="C156" s="65" t="n"/>
      <c r="D156" s="65" t="n"/>
      <c r="E156" s="69" t="n"/>
      <c r="F156" s="65" t="n"/>
    </row>
    <row r="157" ht="15.75" customHeight="1">
      <c r="A157" s="65" t="n"/>
      <c r="B157" s="65" t="n"/>
      <c r="C157" s="65" t="n"/>
      <c r="D157" s="65" t="n"/>
      <c r="E157" s="69" t="n"/>
      <c r="F157" s="65" t="n"/>
    </row>
    <row r="158" ht="15.75" customHeight="1">
      <c r="A158" s="65" t="n"/>
      <c r="B158" s="65" t="n"/>
      <c r="C158" s="65" t="n"/>
      <c r="D158" s="65" t="n"/>
      <c r="E158" s="69" t="n"/>
      <c r="F158" s="65" t="n"/>
    </row>
    <row r="159" ht="15.75" customHeight="1">
      <c r="A159" s="65" t="n"/>
      <c r="B159" s="65" t="n"/>
      <c r="C159" s="65" t="n"/>
      <c r="D159" s="65" t="n"/>
      <c r="E159" s="69" t="n"/>
      <c r="F159" s="65" t="n"/>
    </row>
    <row r="160" ht="15.75" customHeight="1">
      <c r="A160" s="65" t="n"/>
      <c r="B160" s="65" t="n"/>
      <c r="C160" s="65" t="n"/>
      <c r="D160" s="65" t="n"/>
      <c r="E160" s="69" t="n"/>
      <c r="F160" s="65" t="n"/>
    </row>
    <row r="161" ht="15.75" customHeight="1">
      <c r="A161" s="65" t="n"/>
      <c r="B161" s="65" t="n"/>
      <c r="C161" s="65" t="n"/>
      <c r="D161" s="65" t="n"/>
      <c r="E161" s="69" t="n"/>
      <c r="F161" s="65" t="n"/>
    </row>
    <row r="162" ht="15.75" customHeight="1">
      <c r="A162" s="65" t="n"/>
      <c r="B162" s="65" t="n"/>
      <c r="C162" s="65" t="n"/>
      <c r="D162" s="65" t="n"/>
      <c r="E162" s="69" t="n"/>
      <c r="F162" s="65" t="n"/>
    </row>
    <row r="163" ht="15.75" customHeight="1">
      <c r="A163" s="65" t="n"/>
      <c r="B163" s="65" t="n"/>
      <c r="C163" s="65" t="n"/>
      <c r="D163" s="65" t="n"/>
      <c r="E163" s="69" t="n"/>
      <c r="F163" s="65" t="n"/>
    </row>
    <row r="164" ht="15.75" customHeight="1">
      <c r="A164" s="65" t="n"/>
      <c r="B164" s="65" t="n"/>
      <c r="C164" s="65" t="n"/>
      <c r="D164" s="65" t="n"/>
      <c r="E164" s="69" t="n"/>
      <c r="F164" s="65" t="n"/>
    </row>
    <row r="165" ht="15.75" customHeight="1">
      <c r="A165" s="65" t="n"/>
      <c r="B165" s="65" t="n"/>
      <c r="C165" s="65" t="n"/>
      <c r="D165" s="65" t="n"/>
      <c r="E165" s="69" t="n"/>
      <c r="F165" s="65" t="n"/>
    </row>
    <row r="166" ht="15.75" customHeight="1">
      <c r="A166" s="65" t="n"/>
      <c r="B166" s="65" t="n"/>
      <c r="C166" s="65" t="n"/>
      <c r="D166" s="65" t="n"/>
      <c r="E166" s="69" t="n"/>
      <c r="F166" s="65" t="n"/>
    </row>
    <row r="167" ht="15.75" customHeight="1">
      <c r="A167" s="65" t="n"/>
      <c r="B167" s="65" t="n"/>
      <c r="C167" s="65" t="n"/>
      <c r="D167" s="65" t="n"/>
      <c r="E167" s="69" t="n"/>
      <c r="F167" s="65" t="n"/>
    </row>
    <row r="168" ht="15.75" customHeight="1">
      <c r="A168" s="65" t="n"/>
      <c r="B168" s="65" t="n"/>
      <c r="C168" s="65" t="n"/>
      <c r="D168" s="65" t="n"/>
      <c r="E168" s="69" t="n"/>
      <c r="F168" s="65" t="n"/>
    </row>
    <row r="169" ht="15.75" customHeight="1">
      <c r="A169" s="65" t="n"/>
      <c r="B169" s="65" t="n"/>
      <c r="C169" s="65" t="n"/>
      <c r="D169" s="65" t="n"/>
      <c r="E169" s="69" t="n"/>
      <c r="F169" s="65" t="n"/>
    </row>
    <row r="170" ht="15.75" customHeight="1">
      <c r="A170" s="65" t="n"/>
      <c r="B170" s="65" t="n"/>
      <c r="C170" s="65" t="n"/>
      <c r="D170" s="65" t="n"/>
      <c r="E170" s="69" t="n"/>
      <c r="F170" s="65" t="n"/>
    </row>
    <row r="171" ht="15.75" customHeight="1">
      <c r="A171" s="65" t="n"/>
      <c r="B171" s="65" t="n"/>
      <c r="C171" s="65" t="n"/>
      <c r="D171" s="65" t="n"/>
      <c r="E171" s="69" t="n"/>
      <c r="F171" s="65" t="n"/>
    </row>
    <row r="172" ht="15.75" customHeight="1">
      <c r="A172" s="65" t="n"/>
      <c r="B172" s="65" t="n"/>
      <c r="C172" s="65" t="n"/>
      <c r="D172" s="65" t="n"/>
      <c r="E172" s="69" t="n"/>
      <c r="F172" s="65" t="n"/>
    </row>
    <row r="173" ht="15.75" customHeight="1">
      <c r="A173" s="65" t="n"/>
      <c r="B173" s="65" t="n"/>
      <c r="C173" s="65" t="n"/>
      <c r="D173" s="65" t="n"/>
      <c r="E173" s="69" t="n"/>
      <c r="F173" s="65" t="n"/>
    </row>
    <row r="174" ht="15.75" customHeight="1">
      <c r="A174" s="65" t="n"/>
      <c r="B174" s="65" t="n"/>
      <c r="C174" s="65" t="n"/>
      <c r="D174" s="65" t="n"/>
      <c r="E174" s="69" t="n"/>
      <c r="F174" s="65" t="n"/>
    </row>
    <row r="175" ht="15.75" customHeight="1">
      <c r="A175" s="65" t="n"/>
      <c r="B175" s="65" t="n"/>
      <c r="C175" s="65" t="n"/>
      <c r="D175" s="65" t="n"/>
      <c r="E175" s="69" t="n"/>
      <c r="F175" s="65" t="n"/>
    </row>
    <row r="176" ht="15.75" customHeight="1">
      <c r="A176" s="65" t="n"/>
      <c r="B176" s="65" t="n"/>
      <c r="C176" s="65" t="n"/>
      <c r="D176" s="65" t="n"/>
      <c r="E176" s="69" t="n"/>
      <c r="F176" s="65" t="n"/>
    </row>
    <row r="177" ht="15.75" customHeight="1">
      <c r="A177" s="65" t="n"/>
      <c r="B177" s="65" t="n"/>
      <c r="C177" s="65" t="n"/>
      <c r="D177" s="65" t="n"/>
      <c r="E177" s="69" t="n"/>
      <c r="F177" s="65" t="n"/>
    </row>
    <row r="178" ht="15.75" customHeight="1">
      <c r="A178" s="65" t="n"/>
      <c r="B178" s="65" t="n"/>
      <c r="C178" s="65" t="n"/>
      <c r="D178" s="65" t="n"/>
      <c r="E178" s="69" t="n"/>
      <c r="F178" s="65" t="n"/>
    </row>
    <row r="179" ht="15.75" customHeight="1">
      <c r="A179" s="65" t="n"/>
      <c r="B179" s="65" t="n"/>
      <c r="C179" s="65" t="n"/>
      <c r="D179" s="65" t="n"/>
      <c r="E179" s="69" t="n"/>
      <c r="F179" s="65" t="n"/>
    </row>
    <row r="180" ht="15.75" customHeight="1">
      <c r="A180" s="65" t="n"/>
      <c r="B180" s="65" t="n"/>
      <c r="C180" s="65" t="n"/>
      <c r="D180" s="65" t="n"/>
      <c r="E180" s="69" t="n"/>
      <c r="F180" s="65" t="n"/>
    </row>
    <row r="181" ht="15.75" customHeight="1">
      <c r="A181" s="65" t="n"/>
      <c r="B181" s="65" t="n"/>
      <c r="C181" s="65" t="n"/>
      <c r="D181" s="65" t="n"/>
      <c r="E181" s="69" t="n"/>
      <c r="F181" s="65" t="n"/>
    </row>
    <row r="182" ht="15.75" customHeight="1">
      <c r="A182" s="65" t="n"/>
      <c r="B182" s="65" t="n"/>
      <c r="C182" s="65" t="n"/>
      <c r="D182" s="65" t="n"/>
      <c r="E182" s="69" t="n"/>
      <c r="F182" s="65" t="n"/>
    </row>
    <row r="183" ht="15.75" customHeight="1">
      <c r="A183" s="65" t="n"/>
      <c r="B183" s="65" t="n"/>
      <c r="C183" s="65" t="n"/>
      <c r="D183" s="65" t="n"/>
      <c r="E183" s="69" t="n"/>
      <c r="F183" s="65" t="n"/>
    </row>
    <row r="184" ht="15.75" customHeight="1">
      <c r="A184" s="65" t="n"/>
      <c r="B184" s="65" t="n"/>
      <c r="C184" s="65" t="n"/>
      <c r="D184" s="65" t="n"/>
      <c r="E184" s="69" t="n"/>
      <c r="F184" s="65" t="n"/>
    </row>
    <row r="185" ht="15.75" customHeight="1">
      <c r="A185" s="65" t="n"/>
      <c r="B185" s="65" t="n"/>
      <c r="C185" s="65" t="n"/>
      <c r="D185" s="65" t="n"/>
      <c r="E185" s="69" t="n"/>
      <c r="F185" s="65" t="n"/>
    </row>
    <row r="186" ht="15.75" customHeight="1">
      <c r="A186" s="65" t="n"/>
      <c r="B186" s="65" t="n"/>
      <c r="C186" s="65" t="n"/>
      <c r="D186" s="65" t="n"/>
      <c r="E186" s="69" t="n"/>
      <c r="F186" s="65" t="n"/>
    </row>
    <row r="187" ht="15.75" customHeight="1">
      <c r="A187" s="65" t="n"/>
      <c r="B187" s="65" t="n"/>
      <c r="C187" s="65" t="n"/>
      <c r="D187" s="65" t="n"/>
      <c r="E187" s="69" t="n"/>
      <c r="F187" s="65" t="n"/>
    </row>
    <row r="188" ht="15.75" customHeight="1">
      <c r="A188" s="65" t="n"/>
      <c r="B188" s="65" t="n"/>
      <c r="C188" s="65" t="n"/>
      <c r="D188" s="65" t="n"/>
      <c r="E188" s="69" t="n"/>
      <c r="F188" s="65" t="n"/>
    </row>
    <row r="189" ht="15.75" customHeight="1">
      <c r="A189" s="65" t="n"/>
      <c r="B189" s="65" t="n"/>
      <c r="C189" s="65" t="n"/>
      <c r="D189" s="65" t="n"/>
      <c r="E189" s="69" t="n"/>
      <c r="F189" s="65" t="n"/>
    </row>
    <row r="190" ht="15.75" customHeight="1">
      <c r="A190" s="65" t="n"/>
      <c r="B190" s="65" t="n"/>
      <c r="C190" s="65" t="n"/>
      <c r="D190" s="65" t="n"/>
      <c r="E190" s="69" t="n"/>
      <c r="F190" s="65" t="n"/>
    </row>
    <row r="191" ht="15.75" customHeight="1">
      <c r="A191" s="65" t="n"/>
      <c r="B191" s="65" t="n"/>
      <c r="C191" s="65" t="n"/>
      <c r="D191" s="65" t="n"/>
      <c r="E191" s="69" t="n"/>
      <c r="F191" s="65" t="n"/>
    </row>
    <row r="192" ht="15.75" customHeight="1">
      <c r="A192" s="65" t="n"/>
      <c r="B192" s="65" t="n"/>
      <c r="C192" s="65" t="n"/>
      <c r="D192" s="65" t="n"/>
      <c r="E192" s="69" t="n"/>
      <c r="F192" s="65" t="n"/>
    </row>
    <row r="193" ht="15.75" customHeight="1">
      <c r="A193" s="65" t="n"/>
      <c r="B193" s="65" t="n"/>
      <c r="C193" s="65" t="n"/>
      <c r="D193" s="65" t="n"/>
      <c r="E193" s="69" t="n"/>
      <c r="F193" s="65" t="n"/>
    </row>
    <row r="194" ht="15.75" customHeight="1">
      <c r="A194" s="65" t="n"/>
      <c r="B194" s="65" t="n"/>
      <c r="C194" s="65" t="n"/>
      <c r="D194" s="65" t="n"/>
      <c r="E194" s="69" t="n"/>
      <c r="F194" s="65" t="n"/>
    </row>
    <row r="195" ht="15.75" customHeight="1">
      <c r="A195" s="65" t="n"/>
      <c r="B195" s="65" t="n"/>
      <c r="C195" s="65" t="n"/>
      <c r="D195" s="65" t="n"/>
      <c r="E195" s="69" t="n"/>
      <c r="F195" s="65" t="n"/>
    </row>
    <row r="196" ht="15.75" customHeight="1">
      <c r="A196" s="65" t="n"/>
      <c r="B196" s="65" t="n"/>
      <c r="C196" s="65" t="n"/>
      <c r="D196" s="65" t="n"/>
      <c r="E196" s="69" t="n"/>
      <c r="F196" s="65" t="n"/>
    </row>
    <row r="197" ht="15.75" customHeight="1">
      <c r="A197" s="65" t="n"/>
      <c r="B197" s="65" t="n"/>
      <c r="C197" s="65" t="n"/>
      <c r="D197" s="65" t="n"/>
      <c r="E197" s="69" t="n"/>
      <c r="F197" s="65" t="n"/>
    </row>
    <row r="198" ht="15.75" customHeight="1">
      <c r="A198" s="65" t="n"/>
      <c r="B198" s="65" t="n"/>
      <c r="C198" s="65" t="n"/>
      <c r="D198" s="65" t="n"/>
      <c r="E198" s="69" t="n"/>
      <c r="F198" s="65" t="n"/>
    </row>
    <row r="199" ht="15.75" customHeight="1">
      <c r="A199" s="65" t="n"/>
      <c r="B199" s="65" t="n"/>
      <c r="C199" s="65" t="n"/>
      <c r="D199" s="65" t="n"/>
      <c r="E199" s="69" t="n"/>
      <c r="F199" s="65" t="n"/>
    </row>
    <row r="200" ht="15.75" customHeight="1">
      <c r="A200" s="65" t="n"/>
      <c r="B200" s="65" t="n"/>
      <c r="C200" s="65" t="n"/>
      <c r="D200" s="65" t="n"/>
      <c r="E200" s="69" t="n"/>
      <c r="F200" s="65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6">
    <tabColor rgb="FF92D050"/>
    <outlinePr summaryBelow="1" summaryRight="1"/>
    <pageSetUpPr/>
  </sheetPr>
  <dimension ref="A1:H50"/>
  <sheetViews>
    <sheetView workbookViewId="0">
      <selection activeCell="B50" sqref="B50"/>
    </sheetView>
  </sheetViews>
  <sheetFormatPr baseColWidth="10" defaultColWidth="8.85546875" defaultRowHeight="15"/>
  <sheetData>
    <row r="1" ht="90.75" customHeight="1">
      <c r="A1" t="inlineStr">
        <is>
          <t>Id</t>
        </is>
      </c>
      <c r="B1" t="inlineStr">
        <is>
          <t>Nr</t>
        </is>
      </c>
      <c r="C1" s="5" t="inlineStr">
        <is>
          <t>Sanns_verdi</t>
        </is>
      </c>
      <c r="D1" s="5" t="inlineStr">
        <is>
          <t>Kons_Verdi</t>
        </is>
      </c>
      <c r="E1" s="5" t="inlineStr">
        <is>
          <t>Risiko_Verdi</t>
        </is>
      </c>
      <c r="F1" s="5" t="inlineStr">
        <is>
          <t>Sanns_etter_verdi</t>
        </is>
      </c>
      <c r="G1" s="5" t="inlineStr">
        <is>
          <t>Kons_etter_verdi</t>
        </is>
      </c>
      <c r="H1" s="5" t="inlineStr">
        <is>
          <t>Gj_risiko_verdi</t>
        </is>
      </c>
    </row>
    <row r="2">
      <c r="A2">
        <f>IF(B2="","","R"&amp;B2)</f>
        <v/>
      </c>
      <c r="B2">
        <f>IF('Risikoanalyse'!#REF!="","",'Risikoanalyse'!#REF!)</f>
        <v/>
      </c>
      <c r="C2">
        <f>'Risikoanalyse'!#REF!</f>
        <v/>
      </c>
      <c r="D2">
        <f>'Risikoanalyse'!#REF!</f>
        <v/>
      </c>
      <c r="E2">
        <f>'Risikoanalyse'!#REF!</f>
        <v/>
      </c>
      <c r="F2">
        <f>'Risikoanalyse'!#REF!</f>
        <v/>
      </c>
      <c r="G2">
        <f>'Risikoanalyse'!#REF!</f>
        <v/>
      </c>
      <c r="H2">
        <f>'Risikoanalyse'!#REF!</f>
        <v/>
      </c>
    </row>
    <row r="3">
      <c r="A3">
        <f>IF(B3="","","R"&amp;B3)</f>
        <v/>
      </c>
      <c r="B3">
        <f>IF('Risikoanalyse'!#REF!="","",'Risikoanalyse'!#REF!)</f>
        <v/>
      </c>
      <c r="C3">
        <f>'Risikoanalyse'!#REF!</f>
        <v/>
      </c>
      <c r="D3">
        <f>'Risikoanalyse'!#REF!</f>
        <v/>
      </c>
      <c r="E3">
        <f>'Risikoanalyse'!#REF!</f>
        <v/>
      </c>
      <c r="F3">
        <f>'Risikoanalyse'!#REF!</f>
        <v/>
      </c>
      <c r="G3">
        <f>'Risikoanalyse'!#REF!</f>
        <v/>
      </c>
      <c r="H3">
        <f>'Risikoanalyse'!#REF!</f>
        <v/>
      </c>
    </row>
    <row r="4">
      <c r="A4">
        <f>IF(B4="","","R"&amp;B4)</f>
        <v/>
      </c>
      <c r="B4">
        <f>IF('Risikoanalyse'!#REF!="","",'Risikoanalyse'!#REF!)</f>
        <v/>
      </c>
      <c r="C4">
        <f>'Risikoanalyse'!#REF!</f>
        <v/>
      </c>
      <c r="D4">
        <f>'Risikoanalyse'!#REF!</f>
        <v/>
      </c>
      <c r="E4">
        <f>'Risikoanalyse'!#REF!</f>
        <v/>
      </c>
      <c r="F4">
        <f>'Risikoanalyse'!#REF!</f>
        <v/>
      </c>
      <c r="G4">
        <f>'Risikoanalyse'!#REF!</f>
        <v/>
      </c>
      <c r="H4">
        <f>'Risikoanalyse'!#REF!</f>
        <v/>
      </c>
    </row>
    <row r="5">
      <c r="A5">
        <f>IF(B5="","","R"&amp;B5)</f>
        <v/>
      </c>
      <c r="B5">
        <f>IF('Risikoanalyse'!#REF!="","",'Risikoanalyse'!#REF!)</f>
        <v/>
      </c>
      <c r="C5">
        <f>'Risikoanalyse'!#REF!</f>
        <v/>
      </c>
      <c r="D5">
        <f>'Risikoanalyse'!#REF!</f>
        <v/>
      </c>
      <c r="E5">
        <f>'Risikoanalyse'!#REF!</f>
        <v/>
      </c>
      <c r="F5">
        <f>'Risikoanalyse'!#REF!</f>
        <v/>
      </c>
      <c r="G5">
        <f>'Risikoanalyse'!#REF!</f>
        <v/>
      </c>
      <c r="H5">
        <f>'Risikoanalyse'!#REF!</f>
        <v/>
      </c>
    </row>
    <row r="6">
      <c r="A6">
        <f>IF(B6="","","R"&amp;B6)</f>
        <v/>
      </c>
      <c r="B6">
        <f>IF('Risikoanalyse'!#REF!="","",'Risikoanalyse'!#REF!)</f>
        <v/>
      </c>
      <c r="C6">
        <f>'Risikoanalyse'!#REF!</f>
        <v/>
      </c>
      <c r="D6">
        <f>'Risikoanalyse'!#REF!</f>
        <v/>
      </c>
      <c r="E6">
        <f>'Risikoanalyse'!#REF!</f>
        <v/>
      </c>
      <c r="F6">
        <f>'Risikoanalyse'!#REF!</f>
        <v/>
      </c>
      <c r="G6">
        <f>'Risikoanalyse'!#REF!</f>
        <v/>
      </c>
      <c r="H6">
        <f>'Risikoanalyse'!#REF!</f>
        <v/>
      </c>
    </row>
    <row r="7">
      <c r="A7">
        <f>IF(B7="","","R"&amp;B7)</f>
        <v/>
      </c>
      <c r="B7">
        <f>IF('Risikoanalyse'!#REF!="","",'Risikoanalyse'!#REF!)</f>
        <v/>
      </c>
      <c r="C7">
        <f>'Risikoanalyse'!#REF!</f>
        <v/>
      </c>
      <c r="D7">
        <f>'Risikoanalyse'!#REF!</f>
        <v/>
      </c>
      <c r="E7">
        <f>'Risikoanalyse'!#REF!</f>
        <v/>
      </c>
      <c r="F7">
        <f>'Risikoanalyse'!#REF!</f>
        <v/>
      </c>
      <c r="G7">
        <f>'Risikoanalyse'!#REF!</f>
        <v/>
      </c>
      <c r="H7">
        <f>'Risikoanalyse'!#REF!</f>
        <v/>
      </c>
    </row>
    <row r="8">
      <c r="A8">
        <f>IF(B8="","","R"&amp;B8)</f>
        <v/>
      </c>
      <c r="B8">
        <f>IF('Risikoanalyse'!#REF!="","",'Risikoanalyse'!#REF!)</f>
        <v/>
      </c>
      <c r="C8">
        <f>'Risikoanalyse'!#REF!</f>
        <v/>
      </c>
      <c r="D8">
        <f>'Risikoanalyse'!#REF!</f>
        <v/>
      </c>
      <c r="E8">
        <f>'Risikoanalyse'!#REF!</f>
        <v/>
      </c>
      <c r="F8">
        <f>'Risikoanalyse'!#REF!</f>
        <v/>
      </c>
      <c r="G8">
        <f>'Risikoanalyse'!#REF!</f>
        <v/>
      </c>
      <c r="H8">
        <f>'Risikoanalyse'!#REF!</f>
        <v/>
      </c>
    </row>
    <row r="9">
      <c r="A9">
        <f>IF(B9="","","R"&amp;B9)</f>
        <v/>
      </c>
      <c r="B9">
        <f>IF('Risikoanalyse'!#REF!="","",'Risikoanalyse'!#REF!)</f>
        <v/>
      </c>
      <c r="C9">
        <f>'Risikoanalyse'!#REF!</f>
        <v/>
      </c>
      <c r="D9">
        <f>'Risikoanalyse'!#REF!</f>
        <v/>
      </c>
      <c r="E9">
        <f>'Risikoanalyse'!#REF!</f>
        <v/>
      </c>
      <c r="F9">
        <f>'Risikoanalyse'!#REF!</f>
        <v/>
      </c>
      <c r="G9">
        <f>'Risikoanalyse'!#REF!</f>
        <v/>
      </c>
      <c r="H9">
        <f>'Risikoanalyse'!#REF!</f>
        <v/>
      </c>
    </row>
    <row r="10">
      <c r="A10">
        <f>IF(B10="","","R"&amp;B10)</f>
        <v/>
      </c>
      <c r="B10">
        <f>IF('Risikoanalyse'!#REF!="","",'Risikoanalyse'!#REF!)</f>
        <v/>
      </c>
      <c r="C10">
        <f>'Risikoanalyse'!#REF!</f>
        <v/>
      </c>
      <c r="D10">
        <f>'Risikoanalyse'!#REF!</f>
        <v/>
      </c>
      <c r="E10">
        <f>'Risikoanalyse'!#REF!</f>
        <v/>
      </c>
      <c r="F10">
        <f>'Risikoanalyse'!#REF!</f>
        <v/>
      </c>
      <c r="G10">
        <f>'Risikoanalyse'!#REF!</f>
        <v/>
      </c>
      <c r="H10">
        <f>'Risikoanalyse'!#REF!</f>
        <v/>
      </c>
    </row>
    <row r="11">
      <c r="A11">
        <f>IF(B11="","","R"&amp;B11)</f>
        <v/>
      </c>
      <c r="B11">
        <f>IF('Risikoanalyse'!#REF!="","",'Risikoanalyse'!#REF!)</f>
        <v/>
      </c>
      <c r="C11">
        <f>'Risikoanalyse'!#REF!</f>
        <v/>
      </c>
      <c r="D11">
        <f>'Risikoanalyse'!#REF!</f>
        <v/>
      </c>
      <c r="E11">
        <f>'Risikoanalyse'!#REF!</f>
        <v/>
      </c>
      <c r="F11">
        <f>'Risikoanalyse'!#REF!</f>
        <v/>
      </c>
      <c r="G11">
        <f>'Risikoanalyse'!#REF!</f>
        <v/>
      </c>
      <c r="H11">
        <f>'Risikoanalyse'!#REF!</f>
        <v/>
      </c>
    </row>
    <row r="12">
      <c r="A12">
        <f>IF(B12="","","R"&amp;B12)</f>
        <v/>
      </c>
      <c r="B12">
        <f>IF('Risikoanalyse'!#REF!="","",'Risikoanalyse'!#REF!)</f>
        <v/>
      </c>
      <c r="C12">
        <f>'Risikoanalyse'!#REF!</f>
        <v/>
      </c>
      <c r="D12">
        <f>'Risikoanalyse'!#REF!</f>
        <v/>
      </c>
      <c r="E12">
        <f>'Risikoanalyse'!#REF!</f>
        <v/>
      </c>
      <c r="F12">
        <f>'Risikoanalyse'!#REF!</f>
        <v/>
      </c>
      <c r="G12">
        <f>'Risikoanalyse'!#REF!</f>
        <v/>
      </c>
      <c r="H12">
        <f>'Risikoanalyse'!#REF!</f>
        <v/>
      </c>
    </row>
    <row r="13">
      <c r="A13">
        <f>IF(B13="","","R"&amp;B13)</f>
        <v/>
      </c>
      <c r="B13">
        <f>IF('Risikoanalyse'!#REF!="","",'Risikoanalyse'!#REF!)</f>
        <v/>
      </c>
      <c r="C13">
        <f>'Risikoanalyse'!#REF!</f>
        <v/>
      </c>
      <c r="D13">
        <f>'Risikoanalyse'!#REF!</f>
        <v/>
      </c>
      <c r="E13">
        <f>'Risikoanalyse'!#REF!</f>
        <v/>
      </c>
      <c r="F13">
        <f>'Risikoanalyse'!#REF!</f>
        <v/>
      </c>
      <c r="G13">
        <f>'Risikoanalyse'!#REF!</f>
        <v/>
      </c>
      <c r="H13">
        <f>'Risikoanalyse'!#REF!</f>
        <v/>
      </c>
    </row>
    <row r="14">
      <c r="A14">
        <f>IF(B14="","","R"&amp;B14)</f>
        <v/>
      </c>
      <c r="B14">
        <f>IF('Risikoanalyse'!#REF!="","",'Risikoanalyse'!#REF!)</f>
        <v/>
      </c>
      <c r="C14">
        <f>'Risikoanalyse'!#REF!</f>
        <v/>
      </c>
      <c r="D14">
        <f>'Risikoanalyse'!#REF!</f>
        <v/>
      </c>
      <c r="E14">
        <f>'Risikoanalyse'!#REF!</f>
        <v/>
      </c>
      <c r="F14">
        <f>'Risikoanalyse'!#REF!</f>
        <v/>
      </c>
      <c r="G14">
        <f>'Risikoanalyse'!#REF!</f>
        <v/>
      </c>
      <c r="H14">
        <f>'Risikoanalyse'!#REF!</f>
        <v/>
      </c>
    </row>
    <row r="15">
      <c r="A15">
        <f>IF(B15="","","R"&amp;B15)</f>
        <v/>
      </c>
      <c r="B15">
        <f>IF('Risikoanalyse'!#REF!="","",'Risikoanalyse'!#REF!)</f>
        <v/>
      </c>
      <c r="C15">
        <f>'Risikoanalyse'!#REF!</f>
        <v/>
      </c>
      <c r="D15">
        <f>'Risikoanalyse'!#REF!</f>
        <v/>
      </c>
      <c r="E15">
        <f>'Risikoanalyse'!#REF!</f>
        <v/>
      </c>
      <c r="F15">
        <f>'Risikoanalyse'!#REF!</f>
        <v/>
      </c>
      <c r="G15">
        <f>'Risikoanalyse'!#REF!</f>
        <v/>
      </c>
      <c r="H15">
        <f>'Risikoanalyse'!#REF!</f>
        <v/>
      </c>
    </row>
    <row r="16">
      <c r="A16">
        <f>IF(B16="","","R"&amp;B16)</f>
        <v/>
      </c>
      <c r="B16">
        <f>IF('Risikoanalyse'!#REF!="","",'Risikoanalyse'!#REF!)</f>
        <v/>
      </c>
      <c r="C16">
        <f>'Risikoanalyse'!#REF!</f>
        <v/>
      </c>
      <c r="D16">
        <f>'Risikoanalyse'!#REF!</f>
        <v/>
      </c>
      <c r="E16">
        <f>'Risikoanalyse'!#REF!</f>
        <v/>
      </c>
      <c r="F16">
        <f>'Risikoanalyse'!#REF!</f>
        <v/>
      </c>
      <c r="G16">
        <f>'Risikoanalyse'!#REF!</f>
        <v/>
      </c>
      <c r="H16">
        <f>'Risikoanalyse'!#REF!</f>
        <v/>
      </c>
    </row>
    <row r="17">
      <c r="A17">
        <f>IF(B17="","","R"&amp;B17)</f>
        <v/>
      </c>
      <c r="B17">
        <f>IF('Risikoanalyse'!#REF!="","",'Risikoanalyse'!#REF!)</f>
        <v/>
      </c>
      <c r="C17">
        <f>'Risikoanalyse'!#REF!</f>
        <v/>
      </c>
      <c r="D17">
        <f>'Risikoanalyse'!#REF!</f>
        <v/>
      </c>
      <c r="E17">
        <f>'Risikoanalyse'!#REF!</f>
        <v/>
      </c>
      <c r="F17">
        <f>'Risikoanalyse'!#REF!</f>
        <v/>
      </c>
      <c r="G17">
        <f>'Risikoanalyse'!#REF!</f>
        <v/>
      </c>
      <c r="H17">
        <f>'Risikoanalyse'!#REF!</f>
        <v/>
      </c>
    </row>
    <row r="18">
      <c r="A18">
        <f>IF(B18="","","R"&amp;B18)</f>
        <v/>
      </c>
      <c r="B18">
        <f>IF('Risikoanalyse'!#REF!="","",'Risikoanalyse'!#REF!)</f>
        <v/>
      </c>
      <c r="C18">
        <f>'Risikoanalyse'!#REF!</f>
        <v/>
      </c>
      <c r="D18">
        <f>'Risikoanalyse'!#REF!</f>
        <v/>
      </c>
      <c r="E18">
        <f>'Risikoanalyse'!#REF!</f>
        <v/>
      </c>
      <c r="F18">
        <f>'Risikoanalyse'!#REF!</f>
        <v/>
      </c>
      <c r="G18">
        <f>'Risikoanalyse'!#REF!</f>
        <v/>
      </c>
      <c r="H18">
        <f>'Risikoanalyse'!#REF!</f>
        <v/>
      </c>
    </row>
    <row r="19">
      <c r="A19">
        <f>IF(B19="","","R"&amp;B19)</f>
        <v/>
      </c>
      <c r="B19">
        <f>IF('Risikoanalyse'!#REF!="","",'Risikoanalyse'!#REF!)</f>
        <v/>
      </c>
      <c r="C19">
        <f>'Risikoanalyse'!#REF!</f>
        <v/>
      </c>
      <c r="D19">
        <f>'Risikoanalyse'!#REF!</f>
        <v/>
      </c>
      <c r="E19">
        <f>'Risikoanalyse'!#REF!</f>
        <v/>
      </c>
      <c r="F19">
        <f>'Risikoanalyse'!#REF!</f>
        <v/>
      </c>
      <c r="G19">
        <f>'Risikoanalyse'!#REF!</f>
        <v/>
      </c>
      <c r="H19">
        <f>'Risikoanalyse'!#REF!</f>
        <v/>
      </c>
    </row>
    <row r="20">
      <c r="A20">
        <f>IF(B20="","","R"&amp;B20)</f>
        <v/>
      </c>
      <c r="B20">
        <f>IF('Risikoanalyse'!#REF!="","",'Risikoanalyse'!#REF!)</f>
        <v/>
      </c>
      <c r="C20">
        <f>'Risikoanalyse'!#REF!</f>
        <v/>
      </c>
      <c r="D20">
        <f>'Risikoanalyse'!#REF!</f>
        <v/>
      </c>
      <c r="E20">
        <f>'Risikoanalyse'!#REF!</f>
        <v/>
      </c>
      <c r="F20">
        <f>'Risikoanalyse'!#REF!</f>
        <v/>
      </c>
      <c r="G20">
        <f>'Risikoanalyse'!#REF!</f>
        <v/>
      </c>
      <c r="H20">
        <f>'Risikoanalyse'!#REF!</f>
        <v/>
      </c>
    </row>
    <row r="21">
      <c r="A21">
        <f>IF(B21="","","R"&amp;B21)</f>
        <v/>
      </c>
      <c r="B21">
        <f>IF('Risikoanalyse'!#REF!="","",'Risikoanalyse'!#REF!)</f>
        <v/>
      </c>
      <c r="C21">
        <f>'Risikoanalyse'!#REF!</f>
        <v/>
      </c>
      <c r="D21">
        <f>'Risikoanalyse'!#REF!</f>
        <v/>
      </c>
      <c r="E21">
        <f>'Risikoanalyse'!#REF!</f>
        <v/>
      </c>
      <c r="F21">
        <f>'Risikoanalyse'!#REF!</f>
        <v/>
      </c>
      <c r="G21">
        <f>'Risikoanalyse'!#REF!</f>
        <v/>
      </c>
      <c r="H21">
        <f>'Risikoanalyse'!#REF!</f>
        <v/>
      </c>
    </row>
    <row r="22">
      <c r="A22">
        <f>IF(B22="","","R"&amp;B22)</f>
        <v/>
      </c>
      <c r="B22">
        <f>IF('Risikoanalyse'!#REF!="","",'Risikoanalyse'!#REF!)</f>
        <v/>
      </c>
      <c r="C22">
        <f>'Risikoanalyse'!#REF!</f>
        <v/>
      </c>
      <c r="D22">
        <f>'Risikoanalyse'!#REF!</f>
        <v/>
      </c>
      <c r="E22">
        <f>'Risikoanalyse'!#REF!</f>
        <v/>
      </c>
      <c r="F22">
        <f>'Risikoanalyse'!#REF!</f>
        <v/>
      </c>
      <c r="G22">
        <f>'Risikoanalyse'!#REF!</f>
        <v/>
      </c>
      <c r="H22">
        <f>'Risikoanalyse'!#REF!</f>
        <v/>
      </c>
    </row>
    <row r="23">
      <c r="A23">
        <f>IF(B23="","","R"&amp;B23)</f>
        <v/>
      </c>
      <c r="B23">
        <f>IF('Risikoanalyse'!#REF!="","",'Risikoanalyse'!#REF!)</f>
        <v/>
      </c>
      <c r="C23">
        <f>'Risikoanalyse'!#REF!</f>
        <v/>
      </c>
      <c r="D23">
        <f>'Risikoanalyse'!#REF!</f>
        <v/>
      </c>
      <c r="E23">
        <f>'Risikoanalyse'!#REF!</f>
        <v/>
      </c>
      <c r="F23">
        <f>'Risikoanalyse'!#REF!</f>
        <v/>
      </c>
      <c r="G23">
        <f>'Risikoanalyse'!#REF!</f>
        <v/>
      </c>
      <c r="H23">
        <f>'Risikoanalyse'!#REF!</f>
        <v/>
      </c>
    </row>
    <row r="24">
      <c r="A24">
        <f>IF(B24="","","R"&amp;B24)</f>
        <v/>
      </c>
      <c r="B24">
        <f>IF('Risikoanalyse'!#REF!="","",'Risikoanalyse'!#REF!)</f>
        <v/>
      </c>
      <c r="C24">
        <f>'Risikoanalyse'!#REF!</f>
        <v/>
      </c>
      <c r="D24">
        <f>'Risikoanalyse'!#REF!</f>
        <v/>
      </c>
      <c r="E24">
        <f>'Risikoanalyse'!#REF!</f>
        <v/>
      </c>
      <c r="F24">
        <f>'Risikoanalyse'!#REF!</f>
        <v/>
      </c>
      <c r="G24">
        <f>'Risikoanalyse'!#REF!</f>
        <v/>
      </c>
      <c r="H24">
        <f>'Risikoanalyse'!#REF!</f>
        <v/>
      </c>
    </row>
    <row r="25">
      <c r="A25">
        <f>IF(B25="","","R"&amp;B25)</f>
        <v/>
      </c>
      <c r="B25">
        <f>IF('Risikoanalyse'!#REF!="","",'Risikoanalyse'!#REF!)</f>
        <v/>
      </c>
      <c r="C25">
        <f>'Risikoanalyse'!#REF!</f>
        <v/>
      </c>
      <c r="D25">
        <f>'Risikoanalyse'!#REF!</f>
        <v/>
      </c>
      <c r="E25">
        <f>'Risikoanalyse'!#REF!</f>
        <v/>
      </c>
      <c r="F25">
        <f>'Risikoanalyse'!#REF!</f>
        <v/>
      </c>
      <c r="G25">
        <f>'Risikoanalyse'!#REF!</f>
        <v/>
      </c>
      <c r="H25">
        <f>'Risikoanalyse'!#REF!</f>
        <v/>
      </c>
    </row>
    <row r="26">
      <c r="A26">
        <f>IF(B26="","","R"&amp;B26)</f>
        <v/>
      </c>
      <c r="B26">
        <f>IF('Risikoanalyse'!#REF!="","",'Risikoanalyse'!#REF!)</f>
        <v/>
      </c>
      <c r="C26">
        <f>'Risikoanalyse'!#REF!</f>
        <v/>
      </c>
      <c r="D26">
        <f>'Risikoanalyse'!#REF!</f>
        <v/>
      </c>
      <c r="E26">
        <f>'Risikoanalyse'!#REF!</f>
        <v/>
      </c>
      <c r="F26">
        <f>'Risikoanalyse'!#REF!</f>
        <v/>
      </c>
      <c r="G26">
        <f>'Risikoanalyse'!#REF!</f>
        <v/>
      </c>
      <c r="H26">
        <f>'Risikoanalyse'!#REF!</f>
        <v/>
      </c>
    </row>
    <row r="27">
      <c r="A27">
        <f>IF(B27="","","R"&amp;B27)</f>
        <v/>
      </c>
      <c r="B27">
        <f>IF('Risikoanalyse'!#REF!="","",'Risikoanalyse'!#REF!)</f>
        <v/>
      </c>
      <c r="C27">
        <f>'Risikoanalyse'!#REF!</f>
        <v/>
      </c>
      <c r="D27">
        <f>'Risikoanalyse'!#REF!</f>
        <v/>
      </c>
      <c r="E27">
        <f>'Risikoanalyse'!#REF!</f>
        <v/>
      </c>
      <c r="F27">
        <f>'Risikoanalyse'!#REF!</f>
        <v/>
      </c>
      <c r="G27">
        <f>'Risikoanalyse'!#REF!</f>
        <v/>
      </c>
      <c r="H27">
        <f>'Risikoanalyse'!#REF!</f>
        <v/>
      </c>
    </row>
    <row r="28">
      <c r="A28">
        <f>IF(B28="","","R"&amp;B28)</f>
        <v/>
      </c>
      <c r="B28">
        <f>IF('Risikoanalyse'!#REF!="","",'Risikoanalyse'!#REF!)</f>
        <v/>
      </c>
      <c r="C28">
        <f>'Risikoanalyse'!#REF!</f>
        <v/>
      </c>
      <c r="D28">
        <f>'Risikoanalyse'!#REF!</f>
        <v/>
      </c>
      <c r="E28">
        <f>'Risikoanalyse'!#REF!</f>
        <v/>
      </c>
      <c r="F28">
        <f>'Risikoanalyse'!#REF!</f>
        <v/>
      </c>
      <c r="G28">
        <f>'Risikoanalyse'!#REF!</f>
        <v/>
      </c>
      <c r="H28">
        <f>'Risikoanalyse'!#REF!</f>
        <v/>
      </c>
    </row>
    <row r="29">
      <c r="A29">
        <f>IF(B29="","","R"&amp;B29)</f>
        <v/>
      </c>
      <c r="B29">
        <f>IF('Risikoanalyse'!#REF!="","",'Risikoanalyse'!#REF!)</f>
        <v/>
      </c>
      <c r="C29">
        <f>'Risikoanalyse'!#REF!</f>
        <v/>
      </c>
      <c r="D29">
        <f>'Risikoanalyse'!#REF!</f>
        <v/>
      </c>
      <c r="E29">
        <f>'Risikoanalyse'!#REF!</f>
        <v/>
      </c>
      <c r="F29">
        <f>'Risikoanalyse'!#REF!</f>
        <v/>
      </c>
      <c r="G29">
        <f>'Risikoanalyse'!#REF!</f>
        <v/>
      </c>
      <c r="H29">
        <f>'Risikoanalyse'!#REF!</f>
        <v/>
      </c>
    </row>
    <row r="30">
      <c r="A30">
        <f>IF(B30="","","R"&amp;B30)</f>
        <v/>
      </c>
      <c r="B30">
        <f>IF('Risikoanalyse'!#REF!="","",'Risikoanalyse'!#REF!)</f>
        <v/>
      </c>
      <c r="C30">
        <f>'Risikoanalyse'!#REF!</f>
        <v/>
      </c>
      <c r="D30">
        <f>'Risikoanalyse'!#REF!</f>
        <v/>
      </c>
      <c r="E30">
        <f>'Risikoanalyse'!#REF!</f>
        <v/>
      </c>
      <c r="F30">
        <f>'Risikoanalyse'!#REF!</f>
        <v/>
      </c>
      <c r="G30">
        <f>'Risikoanalyse'!#REF!</f>
        <v/>
      </c>
      <c r="H30">
        <f>'Risikoanalyse'!#REF!</f>
        <v/>
      </c>
    </row>
    <row r="31">
      <c r="A31">
        <f>IF(B31="","","R"&amp;B31)</f>
        <v/>
      </c>
      <c r="B31">
        <f>IF('Risikoanalyse'!#REF!="","",'Risikoanalyse'!#REF!)</f>
        <v/>
      </c>
      <c r="C31">
        <f>'Risikoanalyse'!#REF!</f>
        <v/>
      </c>
      <c r="D31">
        <f>'Risikoanalyse'!#REF!</f>
        <v/>
      </c>
      <c r="E31">
        <f>'Risikoanalyse'!#REF!</f>
        <v/>
      </c>
      <c r="F31">
        <f>'Risikoanalyse'!#REF!</f>
        <v/>
      </c>
      <c r="G31">
        <f>'Risikoanalyse'!#REF!</f>
        <v/>
      </c>
      <c r="H31">
        <f>'Risikoanalyse'!#REF!</f>
        <v/>
      </c>
    </row>
    <row r="32">
      <c r="A32">
        <f>IF(B32="","","R"&amp;B32)</f>
        <v/>
      </c>
      <c r="B32">
        <f>IF('Risikoanalyse'!#REF!="","",'Risikoanalyse'!#REF!)</f>
        <v/>
      </c>
      <c r="C32">
        <f>'Risikoanalyse'!#REF!</f>
        <v/>
      </c>
      <c r="D32">
        <f>'Risikoanalyse'!#REF!</f>
        <v/>
      </c>
      <c r="E32">
        <f>'Risikoanalyse'!#REF!</f>
        <v/>
      </c>
      <c r="F32">
        <f>'Risikoanalyse'!#REF!</f>
        <v/>
      </c>
      <c r="G32">
        <f>'Risikoanalyse'!#REF!</f>
        <v/>
      </c>
      <c r="H32">
        <f>'Risikoanalyse'!#REF!</f>
        <v/>
      </c>
    </row>
    <row r="33">
      <c r="A33">
        <f>IF(B33="","","R"&amp;B33)</f>
        <v/>
      </c>
      <c r="B33">
        <f>IF('Risikoanalyse'!#REF!="","",'Risikoanalyse'!#REF!)</f>
        <v/>
      </c>
      <c r="C33">
        <f>'Risikoanalyse'!#REF!</f>
        <v/>
      </c>
      <c r="D33">
        <f>'Risikoanalyse'!#REF!</f>
        <v/>
      </c>
      <c r="E33">
        <f>'Risikoanalyse'!#REF!</f>
        <v/>
      </c>
      <c r="F33">
        <f>'Risikoanalyse'!#REF!</f>
        <v/>
      </c>
      <c r="G33">
        <f>'Risikoanalyse'!#REF!</f>
        <v/>
      </c>
      <c r="H33">
        <f>'Risikoanalyse'!#REF!</f>
        <v/>
      </c>
    </row>
    <row r="34">
      <c r="A34">
        <f>IF(B34="","","R"&amp;B34)</f>
        <v/>
      </c>
      <c r="B34">
        <f>IF('Risikoanalyse'!#REF!="","",'Risikoanalyse'!#REF!)</f>
        <v/>
      </c>
      <c r="C34">
        <f>'Risikoanalyse'!#REF!</f>
        <v/>
      </c>
      <c r="D34">
        <f>'Risikoanalyse'!#REF!</f>
        <v/>
      </c>
      <c r="E34">
        <f>'Risikoanalyse'!#REF!</f>
        <v/>
      </c>
      <c r="F34">
        <f>'Risikoanalyse'!#REF!</f>
        <v/>
      </c>
      <c r="G34">
        <f>'Risikoanalyse'!#REF!</f>
        <v/>
      </c>
      <c r="H34">
        <f>'Risikoanalyse'!#REF!</f>
        <v/>
      </c>
    </row>
    <row r="35">
      <c r="A35">
        <f>IF(B35="","","R"&amp;B35)</f>
        <v/>
      </c>
      <c r="B35">
        <f>IF('Risikoanalyse'!E2="","",'Risikoanalyse'!E2)</f>
        <v/>
      </c>
      <c r="C35">
        <f>'Risikoanalyse'!A2</f>
        <v/>
      </c>
      <c r="D35">
        <f>'Risikoanalyse'!B2</f>
        <v/>
      </c>
      <c r="E35">
        <f>'Risikoanalyse'!#REF!</f>
        <v/>
      </c>
      <c r="F35">
        <f>'Risikoanalyse'!C2</f>
        <v/>
      </c>
      <c r="G35">
        <f>'Risikoanalyse'!D2</f>
        <v/>
      </c>
      <c r="H35">
        <f>'Risikoanalyse'!#REF!</f>
        <v/>
      </c>
    </row>
    <row r="36">
      <c r="A36">
        <f>IF(B36="","","R"&amp;B36)</f>
        <v/>
      </c>
      <c r="B36">
        <f>IF('Risikoanalyse'!E3="","",'Risikoanalyse'!E3)</f>
        <v/>
      </c>
      <c r="C36">
        <f>'Risikoanalyse'!A3</f>
        <v/>
      </c>
      <c r="D36">
        <f>'Risikoanalyse'!B3</f>
        <v/>
      </c>
      <c r="E36">
        <f>'Risikoanalyse'!#REF!</f>
        <v/>
      </c>
      <c r="F36">
        <f>'Risikoanalyse'!C3</f>
        <v/>
      </c>
      <c r="G36">
        <f>'Risikoanalyse'!D3</f>
        <v/>
      </c>
      <c r="H36">
        <f>'Risikoanalyse'!#REF!</f>
        <v/>
      </c>
    </row>
    <row r="37">
      <c r="A37">
        <f>IF(B37="","","R"&amp;B37)</f>
        <v/>
      </c>
      <c r="B37">
        <f>IF('Risikoanalyse'!E5="","",'Risikoanalyse'!E5)</f>
        <v/>
      </c>
      <c r="C37">
        <f>'Risikoanalyse'!A5</f>
        <v/>
      </c>
      <c r="D37">
        <f>'Risikoanalyse'!B5</f>
        <v/>
      </c>
      <c r="E37">
        <f>'Risikoanalyse'!#REF!</f>
        <v/>
      </c>
      <c r="F37">
        <f>'Risikoanalyse'!C5</f>
        <v/>
      </c>
      <c r="G37">
        <f>'Risikoanalyse'!D5</f>
        <v/>
      </c>
      <c r="H37">
        <f>'Risikoanalyse'!#REF!</f>
        <v/>
      </c>
    </row>
    <row r="38">
      <c r="A38">
        <f>IF(B38="","","R"&amp;B38)</f>
        <v/>
      </c>
      <c r="B38">
        <f>IF('Risikoanalyse'!E4="","",'Risikoanalyse'!E4)</f>
        <v/>
      </c>
      <c r="C38">
        <f>'Risikoanalyse'!A4</f>
        <v/>
      </c>
      <c r="D38">
        <f>'Risikoanalyse'!B4</f>
        <v/>
      </c>
      <c r="E38">
        <f>'Risikoanalyse'!#REF!</f>
        <v/>
      </c>
      <c r="F38">
        <f>'Risikoanalyse'!C4</f>
        <v/>
      </c>
      <c r="G38">
        <f>'Risikoanalyse'!D4</f>
        <v/>
      </c>
      <c r="H38">
        <f>'Risikoanalyse'!#REF!</f>
        <v/>
      </c>
    </row>
    <row r="39">
      <c r="A39">
        <f>IF(B39="","","R"&amp;B39)</f>
        <v/>
      </c>
      <c r="B39">
        <f>IF('Risikoanalyse'!E6="","",'Risikoanalyse'!E6)</f>
        <v/>
      </c>
      <c r="C39">
        <f>'Risikoanalyse'!A6</f>
        <v/>
      </c>
      <c r="D39">
        <f>'Risikoanalyse'!B6</f>
        <v/>
      </c>
      <c r="E39">
        <f>'Risikoanalyse'!#REF!</f>
        <v/>
      </c>
      <c r="F39">
        <f>'Risikoanalyse'!C6</f>
        <v/>
      </c>
      <c r="G39">
        <f>'Risikoanalyse'!D6</f>
        <v/>
      </c>
      <c r="H39">
        <f>'Risikoanalyse'!#REF!</f>
        <v/>
      </c>
    </row>
    <row r="40">
      <c r="A40">
        <f>IF(B40="","","R"&amp;B40)</f>
        <v/>
      </c>
      <c r="B40">
        <f>IF('Risikoanalyse'!E7="","",'Risikoanalyse'!E7)</f>
        <v/>
      </c>
      <c r="C40">
        <f>'Risikoanalyse'!A7</f>
        <v/>
      </c>
      <c r="D40">
        <f>'Risikoanalyse'!B7</f>
        <v/>
      </c>
      <c r="E40">
        <f>'Risikoanalyse'!#REF!</f>
        <v/>
      </c>
      <c r="F40">
        <f>'Risikoanalyse'!C7</f>
        <v/>
      </c>
      <c r="G40">
        <f>'Risikoanalyse'!D7</f>
        <v/>
      </c>
      <c r="H40">
        <f>'Risikoanalyse'!#REF!</f>
        <v/>
      </c>
    </row>
    <row r="41">
      <c r="A41">
        <f>IF(B41="","","R"&amp;B41)</f>
        <v/>
      </c>
      <c r="B41">
        <f>IF('Risikoanalyse'!E8="","",'Risikoanalyse'!E8)</f>
        <v/>
      </c>
      <c r="C41">
        <f>'Risikoanalyse'!A8</f>
        <v/>
      </c>
      <c r="D41">
        <f>'Risikoanalyse'!B8</f>
        <v/>
      </c>
      <c r="E41">
        <f>'Risikoanalyse'!#REF!</f>
        <v/>
      </c>
      <c r="F41">
        <f>'Risikoanalyse'!C8</f>
        <v/>
      </c>
      <c r="G41">
        <f>'Risikoanalyse'!D8</f>
        <v/>
      </c>
      <c r="H41">
        <f>'Risikoanalyse'!#REF!</f>
        <v/>
      </c>
    </row>
    <row r="42">
      <c r="A42">
        <f>IF(B42="","","R"&amp;B42)</f>
        <v/>
      </c>
      <c r="B42">
        <f>IF('Risikoanalyse'!E9="","",'Risikoanalyse'!E9)</f>
        <v/>
      </c>
      <c r="C42">
        <f>'Risikoanalyse'!A9</f>
        <v/>
      </c>
      <c r="D42">
        <f>'Risikoanalyse'!B9</f>
        <v/>
      </c>
      <c r="E42">
        <f>'Risikoanalyse'!#REF!</f>
        <v/>
      </c>
      <c r="F42">
        <f>'Risikoanalyse'!C9</f>
        <v/>
      </c>
      <c r="G42">
        <f>'Risikoanalyse'!D9</f>
        <v/>
      </c>
      <c r="H42">
        <f>'Risikoanalyse'!#REF!</f>
        <v/>
      </c>
    </row>
    <row r="43">
      <c r="A43">
        <f>IF(B43="","","R"&amp;B43)</f>
        <v/>
      </c>
      <c r="B43">
        <f>IF('Risikoanalyse'!E10="","",'Risikoanalyse'!E10)</f>
        <v/>
      </c>
      <c r="C43">
        <f>'Risikoanalyse'!A10</f>
        <v/>
      </c>
      <c r="D43">
        <f>'Risikoanalyse'!B10</f>
        <v/>
      </c>
      <c r="E43">
        <f>'Risikoanalyse'!#REF!</f>
        <v/>
      </c>
      <c r="F43">
        <f>'Risikoanalyse'!C10</f>
        <v/>
      </c>
      <c r="G43">
        <f>'Risikoanalyse'!D10</f>
        <v/>
      </c>
      <c r="H43">
        <f>'Risikoanalyse'!#REF!</f>
        <v/>
      </c>
    </row>
    <row r="44">
      <c r="A44">
        <f>IF(B44="","","R"&amp;B44)</f>
        <v/>
      </c>
      <c r="B44">
        <f>IF('Risikoanalyse'!E11="","",'Risikoanalyse'!E11)</f>
        <v/>
      </c>
      <c r="C44">
        <f>'Risikoanalyse'!A11</f>
        <v/>
      </c>
      <c r="D44">
        <f>'Risikoanalyse'!B11</f>
        <v/>
      </c>
      <c r="E44">
        <f>'Risikoanalyse'!#REF!</f>
        <v/>
      </c>
      <c r="F44">
        <f>'Risikoanalyse'!C11</f>
        <v/>
      </c>
      <c r="G44">
        <f>'Risikoanalyse'!D11</f>
        <v/>
      </c>
      <c r="H44">
        <f>'Risikoanalyse'!#REF!</f>
        <v/>
      </c>
    </row>
    <row r="45">
      <c r="A45">
        <f>IF(B45="","","R"&amp;B45)</f>
        <v/>
      </c>
      <c r="B45">
        <f>IF('Risikoanalyse'!E12="","",'Risikoanalyse'!E12)</f>
        <v/>
      </c>
      <c r="C45">
        <f>'Risikoanalyse'!A12</f>
        <v/>
      </c>
      <c r="D45">
        <f>'Risikoanalyse'!B12</f>
        <v/>
      </c>
      <c r="E45">
        <f>'Risikoanalyse'!#REF!</f>
        <v/>
      </c>
      <c r="F45">
        <f>'Risikoanalyse'!C12</f>
        <v/>
      </c>
      <c r="G45">
        <f>'Risikoanalyse'!D12</f>
        <v/>
      </c>
      <c r="H45">
        <f>'Risikoanalyse'!#REF!</f>
        <v/>
      </c>
    </row>
    <row r="46">
      <c r="A46">
        <f>IF(B46="","","R"&amp;B46)</f>
        <v/>
      </c>
      <c r="B46">
        <f>IF('Risikoanalyse'!E13="","",'Risikoanalyse'!E13)</f>
        <v/>
      </c>
      <c r="C46">
        <f>'Risikoanalyse'!A13</f>
        <v/>
      </c>
      <c r="D46">
        <f>'Risikoanalyse'!B13</f>
        <v/>
      </c>
      <c r="E46">
        <f>'Risikoanalyse'!#REF!</f>
        <v/>
      </c>
      <c r="F46">
        <f>'Risikoanalyse'!C13</f>
        <v/>
      </c>
      <c r="G46">
        <f>'Risikoanalyse'!D13</f>
        <v/>
      </c>
      <c r="H46">
        <f>'Risikoanalyse'!#REF!</f>
        <v/>
      </c>
    </row>
    <row r="47">
      <c r="A47">
        <f>IF(B47="","","R"&amp;B47)</f>
        <v/>
      </c>
      <c r="B47">
        <f>IF('Risikoanalyse'!E14="","",'Risikoanalyse'!E14)</f>
        <v/>
      </c>
      <c r="C47">
        <f>'Risikoanalyse'!A14</f>
        <v/>
      </c>
      <c r="D47">
        <f>'Risikoanalyse'!B14</f>
        <v/>
      </c>
      <c r="E47">
        <f>'Risikoanalyse'!#REF!</f>
        <v/>
      </c>
      <c r="F47">
        <f>'Risikoanalyse'!C14</f>
        <v/>
      </c>
      <c r="G47">
        <f>'Risikoanalyse'!D14</f>
        <v/>
      </c>
      <c r="H47">
        <f>'Risikoanalyse'!#REF!</f>
        <v/>
      </c>
    </row>
    <row r="48">
      <c r="A48">
        <f>IF(B48="","","R"&amp;B48)</f>
        <v/>
      </c>
      <c r="B48">
        <f>IF('Risikoanalyse'!E15="","",'Risikoanalyse'!E15)</f>
        <v/>
      </c>
      <c r="C48">
        <f>'Risikoanalyse'!A15</f>
        <v/>
      </c>
      <c r="D48">
        <f>'Risikoanalyse'!B15</f>
        <v/>
      </c>
      <c r="E48">
        <f>'Risikoanalyse'!#REF!</f>
        <v/>
      </c>
      <c r="F48">
        <f>'Risikoanalyse'!C15</f>
        <v/>
      </c>
      <c r="G48">
        <f>'Risikoanalyse'!D15</f>
        <v/>
      </c>
      <c r="H48">
        <f>'Risikoanalyse'!#REF!</f>
        <v/>
      </c>
    </row>
    <row r="49">
      <c r="A49">
        <f>IF(B49="","","R"&amp;B49)</f>
        <v/>
      </c>
      <c r="B49">
        <f>IF('Risikoanalyse'!E16="","",'Risikoanalyse'!E16)</f>
        <v/>
      </c>
      <c r="C49">
        <f>'Risikoanalyse'!A16</f>
        <v/>
      </c>
      <c r="D49">
        <f>'Risikoanalyse'!B16</f>
        <v/>
      </c>
      <c r="E49">
        <f>'Risikoanalyse'!#REF!</f>
        <v/>
      </c>
      <c r="F49">
        <f>'Risikoanalyse'!C16</f>
        <v/>
      </c>
      <c r="G49">
        <f>'Risikoanalyse'!D16</f>
        <v/>
      </c>
      <c r="H49">
        <f>'Risikoanalyse'!#REF!</f>
        <v/>
      </c>
    </row>
    <row r="50">
      <c r="A50">
        <f>IF(B50="","","R"&amp;B50)</f>
        <v/>
      </c>
      <c r="B50">
        <f>IF('Risikoanalyse'!E17="","",'Risikoanalyse'!E17)</f>
        <v/>
      </c>
      <c r="C50">
        <f>'Risikoanalyse'!A17</f>
        <v/>
      </c>
      <c r="D50">
        <f>'Risikoanalyse'!B17</f>
        <v/>
      </c>
      <c r="E50">
        <f>'Risikoanalyse'!#REF!</f>
        <v/>
      </c>
      <c r="F50">
        <f>'Risikoanalyse'!C17</f>
        <v/>
      </c>
      <c r="G50">
        <f>'Risikoanalyse'!D17</f>
        <v/>
      </c>
      <c r="H50">
        <f>'Risikoanalyse'!#REF!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FDE9C4"/>
    <outlinePr summaryBelow="1" summaryRight="1"/>
    <pageSetUpPr/>
  </sheetPr>
  <dimension ref="A2:K25"/>
  <sheetViews>
    <sheetView showGridLines="0" showRowColHeaders="0" topLeftCell="A8" workbookViewId="0">
      <selection activeCell="M13" sqref="M13"/>
    </sheetView>
  </sheetViews>
  <sheetFormatPr baseColWidth="10" defaultColWidth="11.42578125" defaultRowHeight="15"/>
  <cols>
    <col width="11.42578125" customWidth="1" style="1" min="1" max="1"/>
    <col width="4.85546875" customWidth="1" style="1" min="2" max="2"/>
    <col width="3.5703125" customWidth="1" style="1" min="3" max="3"/>
    <col width="3.85546875" customWidth="1" style="1" min="4" max="4"/>
    <col width="12.85546875" customWidth="1" style="1" min="5" max="9"/>
    <col width="11.42578125" customWidth="1" style="1" min="10" max="16384"/>
  </cols>
  <sheetData>
    <row r="2" ht="23.25" customHeight="1">
      <c r="E2" s="108" t="inlineStr">
        <is>
          <t>Nåværende risiko</t>
        </is>
      </c>
    </row>
    <row r="3" ht="18.75" customHeight="1">
      <c r="C3" s="109" t="n"/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</row>
    <row r="4" ht="45" customHeight="1">
      <c r="B4" s="160" t="inlineStr">
        <is>
          <t>SANNSYNLIGHET</t>
        </is>
      </c>
      <c r="C4" s="110" t="inlineStr">
        <is>
          <t>Svært Stor</t>
        </is>
      </c>
      <c r="D4" s="4" t="n">
        <v>5</v>
      </c>
      <c r="E4" s="114">
        <f t="array" ref="E4">_xlfn.TEXTJOIN(", ",TRUE,IF('Risikoanalyse'!A2:A201=5,IF('Risikoanalyse'!B2:B201=1,'Risikoanalyse'!E2:E201,""),""))</f>
        <v/>
      </c>
      <c r="F4" s="114">
        <f t="array" ref="F4">_xlfn.TEXTJOIN(", ",TRUE,IF('Risikoanalyse'!A2:A201=5,IF('Risikoanalyse'!B2:B201=2,'Risikoanalyse'!E2:E201,""),""))</f>
        <v/>
      </c>
      <c r="G4" s="115">
        <f t="array" ref="G4">_xlfn.TEXTJOIN(", ",TRUE,IF('Risikoanalyse'!A2:A201=5,IF('Risikoanalyse'!B2:B201=3,'Risikoanalyse'!E2:E201,""),""))</f>
        <v/>
      </c>
      <c r="H4" s="115">
        <f t="array" ref="H4">_xlfn.TEXTJOIN(", ",TRUE,IF('Risikoanalyse'!A2:A201=5,IF('Risikoanalyse'!B2:B201=4,'Risikoanalyse'!E2:E201,""),""))</f>
        <v/>
      </c>
      <c r="I4" s="115">
        <f t="array" ref="I4">_xlfn.TEXTJOIN(", ",TRUE,IF('Risikoanalyse'!A2:A201=5,IF('Risikoanalyse'!B2:B201=5,'Risikoanalyse'!E2:E201,""),""))</f>
        <v/>
      </c>
      <c r="K4" s="113" t="n"/>
    </row>
    <row r="5" ht="45" customHeight="1">
      <c r="A5" s="161" t="n"/>
      <c r="C5" s="110" t="inlineStr">
        <is>
          <t>Stor</t>
        </is>
      </c>
      <c r="D5" s="4" t="n">
        <v>4</v>
      </c>
      <c r="E5" s="116">
        <f t="array" ref="E5">_xlfn.TEXTJOIN(", ",TRUE,IF('Risikoanalyse'!A2:A201=4,IF('Risikoanalyse'!B2:B201=1,'Risikoanalyse'!E2:E201,""),""))</f>
        <v/>
      </c>
      <c r="F5" s="114">
        <f t="array" ref="F5">_xlfn.TEXTJOIN(", ",TRUE,IF('Risikoanalyse'!A2:A201=4,IF('Risikoanalyse'!B2:B201=2,'Risikoanalyse'!E2:E201,""),""))</f>
        <v/>
      </c>
      <c r="G5" s="114">
        <f t="array" ref="G5">_xlfn.TEXTJOIN(", ",TRUE,IF('Risikoanalyse'!A2:A201=4,IF('Risikoanalyse'!B2:B201=3,'Risikoanalyse'!E2:E201,""),""))</f>
        <v/>
      </c>
      <c r="H5" s="115">
        <f t="array" ref="H5">_xlfn.TEXTJOIN(", ",TRUE,IF('Risikoanalyse'!A2:A201=4,IF('Risikoanalyse'!B2:B201=4,'Risikoanalyse'!E2:E201,""),""))</f>
        <v/>
      </c>
      <c r="I5" s="115">
        <f t="array" ref="I5">_xlfn.TEXTJOIN(", ",TRUE,IF('Risikoanalyse'!A2:A201=4,IF('Risikoanalyse'!B2:B201=5,'Risikoanalyse'!E2:E201,""),""))</f>
        <v/>
      </c>
    </row>
    <row r="6" ht="45" customHeight="1">
      <c r="C6" s="110" t="inlineStr">
        <is>
          <t>Moderat</t>
        </is>
      </c>
      <c r="D6" s="4" t="n">
        <v>3</v>
      </c>
      <c r="E6" s="116">
        <f t="array" ref="E6">_xlfn.TEXTJOIN(", ",TRUE,IF('Risikoanalyse'!A2:A201=3,IF('Risikoanalyse'!B2:B201=1,'Risikoanalyse'!E2:E201,""),""))</f>
        <v/>
      </c>
      <c r="F6" s="114">
        <f t="array" ref="F6">_xlfn.TEXTJOIN(", ",TRUE,IF('Risikoanalyse'!A2:A201=3,IF('Risikoanalyse'!B2:B201=2,'Risikoanalyse'!E2:E201,""),""))</f>
        <v/>
      </c>
      <c r="G6" s="114">
        <f t="array" ref="G6">_xlfn.TEXTJOIN(", ",TRUE,IF('Risikoanalyse'!A2:A201=3,IF('Risikoanalyse'!B2:B201=3,'Risikoanalyse'!E2:E201,""),""))</f>
        <v/>
      </c>
      <c r="H6" s="115">
        <f t="array" ref="H6">_xlfn.TEXTJOIN(", ",TRUE,IF('Risikoanalyse'!A2:A201=3,IF('Risikoanalyse'!B2:B201=4,'Risikoanalyse'!E2:E201,""),""))</f>
        <v/>
      </c>
      <c r="I6" s="115">
        <f t="array" ref="I6">_xlfn.TEXTJOIN(", ",TRUE,IF('Risikoanalyse'!A2:A201=3,IF('Risikoanalyse'!B2:B201=5,'Risikoanalyse'!E2:E201,""),""))</f>
        <v/>
      </c>
    </row>
    <row r="7" ht="45" customHeight="1">
      <c r="C7" s="110" t="inlineStr">
        <is>
          <t>Liten</t>
        </is>
      </c>
      <c r="D7" s="4" t="n">
        <v>2</v>
      </c>
      <c r="E7" s="116">
        <f t="array" ref="E7">_xlfn.TEXTJOIN(", ",TRUE,IF('Risikoanalyse'!A2:A201=2,IF('Risikoanalyse'!B2:B201=1,'Risikoanalyse'!E2:E201,""),""))</f>
        <v/>
      </c>
      <c r="F7" s="116">
        <f t="array" ref="F7">_xlfn.TEXTJOIN(", ",TRUE,IF('Risikoanalyse'!A2:A201=2,IF('Risikoanalyse'!B2:B201=2,'Risikoanalyse'!E2:E201,""),""))</f>
        <v/>
      </c>
      <c r="G7" s="114">
        <f t="array" ref="G7">_xlfn.TEXTJOIN(", ",TRUE,IF('Risikoanalyse'!A2:A201=2,IF('Risikoanalyse'!B2:B201=3,'Risikoanalyse'!E2:E201,""),""))</f>
        <v/>
      </c>
      <c r="H7" s="114">
        <f t="array" ref="H7">_xlfn.TEXTJOIN(", ",TRUE,IF('Risikoanalyse'!A2:A201=2,IF('Risikoanalyse'!B2:B201=4,'Risikoanalyse'!E2:E201,""),""))</f>
        <v/>
      </c>
      <c r="I7" s="115">
        <f t="array" ref="I7">_xlfn.TEXTJOIN(", ",TRUE,IF('Risikoanalyse'!A2:A201=2,IF('Risikoanalyse'!B2:B201=5,'Risikoanalyse'!E2:E201,""),""))</f>
        <v/>
      </c>
    </row>
    <row r="8" ht="45" customHeight="1">
      <c r="C8" s="110" t="inlineStr">
        <is>
          <t>Meget Liten</t>
        </is>
      </c>
      <c r="D8" s="4" t="n">
        <v>1</v>
      </c>
      <c r="E8" s="116">
        <f t="array" ref="E8">_xlfn.TEXTJOIN(", ",TRUE,IF('Risikoanalyse'!A2:A201=1,IF('Risikoanalyse'!B2:B201=1,'Risikoanalyse'!E2:E201,""),""))</f>
        <v/>
      </c>
      <c r="F8" s="116">
        <f t="array" ref="F8">_xlfn.TEXTJOIN(", ",TRUE,IF('Risikoanalyse'!A2:A201=1,IF('Risikoanalyse'!B2:B201=2,'Risikoanalyse'!E2:E201,""),""))</f>
        <v/>
      </c>
      <c r="G8" s="114">
        <f t="array" ref="G8">_xlfn.TEXTJOIN(", ",TRUE,IF('Risikoanalyse'!A2:A201=1,IF('Risikoanalyse'!B2:B201=3,'Risikoanalyse'!E2:E201,""),""))</f>
        <v/>
      </c>
      <c r="H8" s="114">
        <f t="array" ref="H8">_xlfn.TEXTJOIN(", ",TRUE,IF('Risikoanalyse'!A2:A201=1,IF('Risikoanalyse'!B2:B201=4,'Risikoanalyse'!E2:E201,""),""))</f>
        <v/>
      </c>
      <c r="I8" s="114">
        <f t="array" ref="I8">_xlfn.TEXTJOIN(", ",TRUE,IF('Risikoanalyse'!A2:A201=1,IF('Risikoanalyse'!B2:B201=5,'Risikoanalyse'!E2:E201,""),""))</f>
        <v/>
      </c>
    </row>
    <row r="9">
      <c r="E9" s="111" t="inlineStr">
        <is>
          <t>Ubetydelig</t>
        </is>
      </c>
      <c r="F9" s="111" t="inlineStr">
        <is>
          <t>Lav</t>
        </is>
      </c>
      <c r="G9" s="111" t="inlineStr">
        <is>
          <t>Moderat</t>
        </is>
      </c>
      <c r="H9" s="111" t="inlineStr">
        <is>
          <t>Alvorlig</t>
        </is>
      </c>
      <c r="I9" s="111" t="inlineStr">
        <is>
          <t>Svært alvorlig</t>
        </is>
      </c>
    </row>
    <row r="10" ht="21" customHeight="1">
      <c r="E10" s="162" t="inlineStr">
        <is>
          <t>KONSEKVENS</t>
        </is>
      </c>
    </row>
    <row r="13" ht="23.25" customHeight="1">
      <c r="E13" s="108" t="inlineStr">
        <is>
          <t>Restrisiko</t>
        </is>
      </c>
    </row>
    <row r="14" ht="18.75" customHeight="1">
      <c r="C14" s="109" t="n"/>
      <c r="E14" s="2" t="n">
        <v>1</v>
      </c>
      <c r="F14" s="2" t="n">
        <v>2</v>
      </c>
      <c r="G14" s="2" t="n">
        <v>3</v>
      </c>
      <c r="H14" s="2" t="n">
        <v>4</v>
      </c>
      <c r="I14" s="2" t="n">
        <v>5</v>
      </c>
    </row>
    <row r="15" ht="45" customHeight="1">
      <c r="B15" s="160" t="inlineStr">
        <is>
          <t>SANNSYNLIGHET</t>
        </is>
      </c>
      <c r="C15" s="110" t="inlineStr">
        <is>
          <t>Svært Stor</t>
        </is>
      </c>
      <c r="D15" s="4" t="n">
        <v>5</v>
      </c>
      <c r="E15" s="114">
        <f t="array" ref="E15">_xlfn.TEXTJOIN(", ",TRUE,IF('Risikoanalyse'!C2:C201=5,IF('Risikoanalyse'!D2:D201=1,'Risikoanalyse'!E2:E201,""),""))</f>
        <v/>
      </c>
      <c r="F15" s="114">
        <f t="array" ref="F15">_xlfn.TEXTJOIN(", ",TRUE,IF('Risikoanalyse'!C2:C201=5,IF('Risikoanalyse'!D2:D201=2,'Risikoanalyse'!E2:E201,""),""))</f>
        <v/>
      </c>
      <c r="G15" s="115">
        <f t="array" ref="G15">_xlfn.TEXTJOIN(", ",TRUE,IF('Risikoanalyse'!C2:C201=5,IF('Risikoanalyse'!D2:D201=3,'Risikoanalyse'!E2:E201,""),""))</f>
        <v/>
      </c>
      <c r="H15" s="115">
        <f t="array" ref="H15">_xlfn.TEXTJOIN(", ",TRUE,IF('Risikoanalyse'!C2:C201=5,IF('Risikoanalyse'!D2:D201=4,'Risikoanalyse'!E2:E201,""),""))</f>
        <v/>
      </c>
      <c r="I15" s="115">
        <f t="array" ref="I15">_xlfn.TEXTJOIN(", ",TRUE,IF('Risikoanalyse'!C2:C201=5,IF('Risikoanalyse'!D2:D201=5,'Risikoanalyse'!E2:E201,""),""))</f>
        <v/>
      </c>
    </row>
    <row r="16" ht="45" customHeight="1">
      <c r="C16" s="110" t="inlineStr">
        <is>
          <t>Stor</t>
        </is>
      </c>
      <c r="D16" s="4" t="n">
        <v>4</v>
      </c>
      <c r="E16" s="116">
        <f t="array" ref="E16">_xlfn.TEXTJOIN(", ",TRUE,IF('Risikoanalyse'!C2:C201=4,IF('Risikoanalyse'!D2:D201=1,'Risikoanalyse'!E2:E201,""),""))</f>
        <v/>
      </c>
      <c r="F16" s="114">
        <f t="array" ref="F16">_xlfn.TEXTJOIN(", ",TRUE,IF('Risikoanalyse'!C2:C201=4,IF('Risikoanalyse'!D2:D201=2,'Risikoanalyse'!E2:E201,""),""))</f>
        <v/>
      </c>
      <c r="G16" s="114">
        <f t="array" ref="G16">_xlfn.TEXTJOIN(", ",TRUE,IF('Risikoanalyse'!C2:C201=4,IF('Risikoanalyse'!D2:D201=3,'Risikoanalyse'!E2:E201,""),""))</f>
        <v/>
      </c>
      <c r="H16" s="115">
        <f t="array" ref="H16">_xlfn.TEXTJOIN(", ",TRUE,IF('Risikoanalyse'!C2:C201=4,IF('Risikoanalyse'!D2:D201=4,'Risikoanalyse'!E2:E201,""),""))</f>
        <v/>
      </c>
      <c r="I16" s="115">
        <f t="array" ref="I16">_xlfn.TEXTJOIN(", ",TRUE,IF('Risikoanalyse'!C2:C201=4,IF('Risikoanalyse'!D2:D201=5,'Risikoanalyse'!E2:E201,""),""))</f>
        <v/>
      </c>
    </row>
    <row r="17" ht="45" customHeight="1">
      <c r="C17" s="110" t="inlineStr">
        <is>
          <t>Moderat</t>
        </is>
      </c>
      <c r="D17" s="4" t="n">
        <v>3</v>
      </c>
      <c r="E17" s="116">
        <f t="array" ref="E17">_xlfn.TEXTJOIN(", ",TRUE,IF('Risikoanalyse'!C2:C201=3,IF('Risikoanalyse'!D2:D201=1,'Risikoanalyse'!E2:E201,""),""))</f>
        <v/>
      </c>
      <c r="F17" s="114">
        <f t="array" ref="F17">_xlfn.TEXTJOIN(", ",TRUE,IF('Risikoanalyse'!C2:C201=3,IF('Risikoanalyse'!D2:D201=2,'Risikoanalyse'!E2:E201,""),""))</f>
        <v/>
      </c>
      <c r="G17" s="114">
        <f t="array" ref="G17">_xlfn.TEXTJOIN(", ",TRUE,IF('Risikoanalyse'!C2:C201=3,IF('Risikoanalyse'!D2:D201=3,'Risikoanalyse'!E2:E201,""),""))</f>
        <v/>
      </c>
      <c r="H17" s="115">
        <f t="array" ref="H17">_xlfn.TEXTJOIN(", ",TRUE,IF('Risikoanalyse'!C2:C201=3,IF('Risikoanalyse'!D2:D201=4,'Risikoanalyse'!E2:E201,""),""))</f>
        <v/>
      </c>
      <c r="I17" s="115">
        <f t="array" ref="I17">_xlfn.TEXTJOIN(", ",TRUE,IF('Risikoanalyse'!C2:C201=3,IF('Risikoanalyse'!D2:D201=5,'Risikoanalyse'!E2:E201,""),""))</f>
        <v/>
      </c>
    </row>
    <row r="18" ht="45" customHeight="1">
      <c r="C18" s="110" t="inlineStr">
        <is>
          <t>Liten</t>
        </is>
      </c>
      <c r="D18" s="4" t="n">
        <v>2</v>
      </c>
      <c r="E18" s="116">
        <f t="array" ref="E18">_xlfn.TEXTJOIN(", ",TRUE,IF('Risikoanalyse'!C2:C201=2,IF('Risikoanalyse'!D2:D201=1,'Risikoanalyse'!E2:E201,""),""))</f>
        <v/>
      </c>
      <c r="F18" s="116">
        <f t="array" ref="F18">_xlfn.TEXTJOIN(", ",TRUE,IF('Risikoanalyse'!C2:C201=2,IF('Risikoanalyse'!D2:D201=2,'Risikoanalyse'!E2:E201,""),""))</f>
        <v/>
      </c>
      <c r="G18" s="114">
        <f t="array" ref="G18">_xlfn.TEXTJOIN(", ",TRUE,IF('Risikoanalyse'!C2:C201=2,IF('Risikoanalyse'!D2:D201=3,'Risikoanalyse'!E2:E201,""),""))</f>
        <v/>
      </c>
      <c r="H18" s="114">
        <f t="array" ref="H18">_xlfn.TEXTJOIN(", ",TRUE,IF('Risikoanalyse'!C2:C201=2,IF('Risikoanalyse'!D2:D201=4,'Risikoanalyse'!E2:E201,""),""))</f>
        <v/>
      </c>
      <c r="I18" s="115">
        <f t="array" ref="I18">_xlfn.TEXTJOIN(", ",TRUE,IF('Risikoanalyse'!C2:C201=2,IF('Risikoanalyse'!D2:D201=5,'Risikoanalyse'!E2:E201,""),""))</f>
        <v/>
      </c>
    </row>
    <row r="19" ht="45" customHeight="1">
      <c r="C19" s="110" t="inlineStr">
        <is>
          <t>Meget Liten</t>
        </is>
      </c>
      <c r="D19" s="4" t="n">
        <v>1</v>
      </c>
      <c r="E19" s="116">
        <f t="array" ref="E19">_xlfn.TEXTJOIN(", ",TRUE,IF('Risikoanalyse'!C2:C201=1,IF('Risikoanalyse'!D2:D201=1,'Risikoanalyse'!E2:E201,""),""))</f>
        <v/>
      </c>
      <c r="F19" s="116">
        <f t="array" ref="F19">_xlfn.TEXTJOIN(", ",TRUE,IF('Risikoanalyse'!C2:C201=1,IF('Risikoanalyse'!D2:D201=2,'Risikoanalyse'!E2:E201,""),""))</f>
        <v/>
      </c>
      <c r="G19" s="114">
        <f t="array" ref="G19">_xlfn.TEXTJOIN(", ",TRUE,IF('Risikoanalyse'!C2:C201=1,IF('Risikoanalyse'!D2:D201=3,'Risikoanalyse'!E2:E201,""),""))</f>
        <v/>
      </c>
      <c r="H19" s="114">
        <f t="array" ref="H19">_xlfn.TEXTJOIN(", ",TRUE,IF('Risikoanalyse'!C2:C201=1,IF('Risikoanalyse'!D2:D201=4,'Risikoanalyse'!E2:E201,""),""))</f>
        <v/>
      </c>
      <c r="I19" s="114">
        <f t="array" ref="I19">_xlfn.TEXTJOIN(", ",TRUE,IF('Risikoanalyse'!C2:C201=1,IF('Risikoanalyse'!D2:D201=5,'Risikoanalyse'!E2:E201,""),""))</f>
        <v/>
      </c>
    </row>
    <row r="20">
      <c r="E20" s="111" t="inlineStr">
        <is>
          <t>Ubetydelig</t>
        </is>
      </c>
      <c r="F20" s="111" t="inlineStr">
        <is>
          <t>Lav</t>
        </is>
      </c>
      <c r="G20" s="111" t="inlineStr">
        <is>
          <t>Moderat</t>
        </is>
      </c>
      <c r="H20" s="111" t="inlineStr">
        <is>
          <t>Alvorlig</t>
        </is>
      </c>
      <c r="I20" s="111" t="inlineStr">
        <is>
          <t>Svært alvorlig</t>
        </is>
      </c>
    </row>
    <row r="21" ht="21" customHeight="1">
      <c r="E21" s="162" t="inlineStr">
        <is>
          <t>KONSEKVENS</t>
        </is>
      </c>
    </row>
    <row r="25">
      <c r="E25" s="11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5:A6"/>
    <mergeCell ref="E21:I21"/>
    <mergeCell ref="E10:I10"/>
    <mergeCell ref="B4:B8"/>
    <mergeCell ref="B15:B19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7">
    <tabColor rgb="FF92D050"/>
    <outlinePr summaryBelow="1" summaryRight="1"/>
    <pageSetUpPr/>
  </sheetPr>
  <dimension ref="A2:F6"/>
  <sheetViews>
    <sheetView workbookViewId="0">
      <selection activeCell="F2" sqref="F2:F5"/>
    </sheetView>
  </sheetViews>
  <sheetFormatPr baseColWidth="10" defaultColWidth="8.85546875" defaultRowHeight="15"/>
  <cols>
    <col width="11.5703125" bestFit="1" customWidth="1" min="1" max="1"/>
    <col width="13.42578125" bestFit="1" customWidth="1" min="3" max="3"/>
    <col width="17.85546875" customWidth="1" min="6" max="6"/>
  </cols>
  <sheetData>
    <row r="2">
      <c r="A2" t="inlineStr">
        <is>
          <t>Meget Liten</t>
        </is>
      </c>
      <c r="C2" t="inlineStr">
        <is>
          <t>Ubetydelig</t>
        </is>
      </c>
      <c r="D2" t="n">
        <v>1</v>
      </c>
      <c r="F2" t="inlineStr">
        <is>
          <t>Godta/Akseptere</t>
        </is>
      </c>
    </row>
    <row r="3">
      <c r="A3" t="inlineStr">
        <is>
          <t>Liten</t>
        </is>
      </c>
      <c r="C3" t="inlineStr">
        <is>
          <t>Lav</t>
        </is>
      </c>
      <c r="D3" t="n">
        <v>2</v>
      </c>
      <c r="F3" t="inlineStr">
        <is>
          <t>Redusere</t>
        </is>
      </c>
    </row>
    <row r="4">
      <c r="A4" t="inlineStr">
        <is>
          <t>Moderat</t>
        </is>
      </c>
      <c r="C4" t="inlineStr">
        <is>
          <t>Moderat</t>
        </is>
      </c>
      <c r="D4" t="n">
        <v>3</v>
      </c>
      <c r="F4" t="inlineStr">
        <is>
          <t>Dele/Overføre</t>
        </is>
      </c>
    </row>
    <row r="5">
      <c r="A5" t="inlineStr">
        <is>
          <t>Stor</t>
        </is>
      </c>
      <c r="C5" t="inlineStr">
        <is>
          <t>Alvorlig</t>
        </is>
      </c>
      <c r="D5" t="n">
        <v>4</v>
      </c>
      <c r="F5" t="inlineStr">
        <is>
          <t>Unngå</t>
        </is>
      </c>
    </row>
    <row r="6">
      <c r="A6" t="inlineStr">
        <is>
          <t>Svært stor</t>
        </is>
      </c>
      <c r="C6" t="inlineStr">
        <is>
          <t>Svært alvorlig</t>
        </is>
      </c>
      <c r="D6" t="n">
        <v>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Lars Martin Undhjem</dc:creator>
  <dcterms:created xmlns:dcterms="http://purl.org/dc/terms/" xmlns:xsi="http://www.w3.org/2001/XMLSchema-instance" xsi:type="dcterms:W3CDTF">2022-11-04T08:27:16Z</dcterms:created>
  <dcterms:modified xmlns:dcterms="http://purl.org/dc/terms/" xmlns:xsi="http://www.w3.org/2001/XMLSchema-instance" xsi:type="dcterms:W3CDTF">2026-05-26T10:41:43Z</dcterms:modified>
  <cp:lastModifiedBy>Cecilie Bergh</cp:lastModifiedBy>
</cp:coreProperties>
</file>

<file path=docProps/custom.xml><?xml version="1.0" encoding="utf-8"?>
<Properties xmlns="http://schemas.openxmlformats.org/officeDocument/2006/custom-properties">
  <property name="MSIP_Label_7a2396b7-5846-48ff-8468-5f49f8ad722a_Enabled" fmtid="{D5CDD505-2E9C-101B-9397-08002B2CF9AE}" pid="2">
    <vt:lpwstr xmlns:vt="http://schemas.openxmlformats.org/officeDocument/2006/docPropsVTypes">true</vt:lpwstr>
  </property>
  <property name="MSIP_Label_7a2396b7-5846-48ff-8468-5f49f8ad722a_SetDate" fmtid="{D5CDD505-2E9C-101B-9397-08002B2CF9AE}" pid="3">
    <vt:lpwstr xmlns:vt="http://schemas.openxmlformats.org/officeDocument/2006/docPropsVTypes">2022-11-04T08:27:17Z</vt:lpwstr>
  </property>
  <property name="MSIP_Label_7a2396b7-5846-48ff-8468-5f49f8ad722a_Method" fmtid="{D5CDD505-2E9C-101B-9397-08002B2CF9AE}" pid="4">
    <vt:lpwstr xmlns:vt="http://schemas.openxmlformats.org/officeDocument/2006/docPropsVTypes">Standard</vt:lpwstr>
  </property>
  <property name="MSIP_Label_7a2396b7-5846-48ff-8468-5f49f8ad722a_Name" fmtid="{D5CDD505-2E9C-101B-9397-08002B2CF9AE}" pid="5">
    <vt:lpwstr xmlns:vt="http://schemas.openxmlformats.org/officeDocument/2006/docPropsVTypes">Lav</vt:lpwstr>
  </property>
  <property name="MSIP_Label_7a2396b7-5846-48ff-8468-5f49f8ad722a_SiteId" fmtid="{D5CDD505-2E9C-101B-9397-08002B2CF9AE}" pid="6">
    <vt:lpwstr xmlns:vt="http://schemas.openxmlformats.org/officeDocument/2006/docPropsVTypes">e6795081-6391-442e-9ab4-5e9ef74f18ea</vt:lpwstr>
  </property>
  <property name="MSIP_Label_7a2396b7-5846-48ff-8468-5f49f8ad722a_ActionId" fmtid="{D5CDD505-2E9C-101B-9397-08002B2CF9AE}" pid="7">
    <vt:lpwstr xmlns:vt="http://schemas.openxmlformats.org/officeDocument/2006/docPropsVTypes">70324160-5480-421f-bc6d-180f6727666a</vt:lpwstr>
  </property>
  <property name="MSIP_Label_7a2396b7-5846-48ff-8468-5f49f8ad722a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0x01010099EA0C65AC3EEF42930002494B4C4943</vt:lpwstr>
  </property>
  <property name="MediaServiceImageTags" fmtid="{D5CDD505-2E9C-101B-9397-08002B2CF9AE}" pid="10">
    <vt:lpwstr xmlns:vt="http://schemas.openxmlformats.org/officeDocument/2006/docPropsVTypes"/>
  </property>
  <property name="MSIP_Label_c5e6e129-f928-4a05-ae32-d838f6b21bdd_Enabled" fmtid="{D5CDD505-2E9C-101B-9397-08002B2CF9AE}" pid="11">
    <vt:lpwstr xmlns:vt="http://schemas.openxmlformats.org/officeDocument/2006/docPropsVTypes">true</vt:lpwstr>
  </property>
  <property name="MSIP_Label_c5e6e129-f928-4a05-ae32-d838f6b21bdd_SetDate" fmtid="{D5CDD505-2E9C-101B-9397-08002B2CF9AE}" pid="12">
    <vt:lpwstr xmlns:vt="http://schemas.openxmlformats.org/officeDocument/2006/docPropsVTypes">2022-12-19T13:41:22Z</vt:lpwstr>
  </property>
  <property name="MSIP_Label_c5e6e129-f928-4a05-ae32-d838f6b21bdd_Method" fmtid="{D5CDD505-2E9C-101B-9397-08002B2CF9AE}" pid="13">
    <vt:lpwstr xmlns:vt="http://schemas.openxmlformats.org/officeDocument/2006/docPropsVTypes">Standard</vt:lpwstr>
  </property>
  <property name="MSIP_Label_c5e6e129-f928-4a05-ae32-d838f6b21bdd_Name" fmtid="{D5CDD505-2E9C-101B-9397-08002B2CF9AE}" pid="14">
    <vt:lpwstr xmlns:vt="http://schemas.openxmlformats.org/officeDocument/2006/docPropsVTypes">EN Restricted use</vt:lpwstr>
  </property>
  <property name="MSIP_Label_c5e6e129-f928-4a05-ae32-d838f6b21bdd_SiteId" fmtid="{D5CDD505-2E9C-101B-9397-08002B2CF9AE}" pid="15">
    <vt:lpwstr xmlns:vt="http://schemas.openxmlformats.org/officeDocument/2006/docPropsVTypes">8b87af7d-8647-4dc7-8df4-5f69a2011bb5</vt:lpwstr>
  </property>
  <property name="MSIP_Label_c5e6e129-f928-4a05-ae32-d838f6b21bdd_ActionId" fmtid="{D5CDD505-2E9C-101B-9397-08002B2CF9AE}" pid="16">
    <vt:lpwstr xmlns:vt="http://schemas.openxmlformats.org/officeDocument/2006/docPropsVTypes">eb7d3eca-37cf-4cd9-8abf-891be3dc2328</vt:lpwstr>
  </property>
  <property name="MSIP_Label_c5e6e129-f928-4a05-ae32-d838f6b21bdd_ContentBits" fmtid="{D5CDD505-2E9C-101B-9397-08002B2CF9AE}" pid="17">
    <vt:lpwstr xmlns:vt="http://schemas.openxmlformats.org/officeDocument/2006/docPropsVTypes">3</vt:lpwstr>
  </property>
</Properties>
</file>