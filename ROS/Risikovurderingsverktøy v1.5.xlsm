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oslokommune-my.sharepoint.com/personal/cecilie_bergh_byr_oslo_kommune_no/Documents/Documents/Dokumenter/Kurs/"/>
    </mc:Choice>
  </mc:AlternateContent>
  <xr:revisionPtr revIDLastSave="0" documentId="8_{ECDB5D92-A5EE-444C-8E93-7B8ED4810F9B}" xr6:coauthVersionLast="47" xr6:coauthVersionMax="47" xr10:uidLastSave="{00000000-0000-0000-0000-000000000000}"/>
  <bookViews>
    <workbookView xWindow="5070" yWindow="5070" windowWidth="28800" windowHeight="15375" tabRatio="781" xr2:uid="{00000000-000D-0000-FFFF-FFFF00000000}"/>
  </bookViews>
  <sheets>
    <sheet name="Forside" sheetId="46" r:id="rId1"/>
    <sheet name="Veiledning" sheetId="43" r:id="rId2"/>
    <sheet name="Akseptkriterier" sheetId="12" r:id="rId3"/>
    <sheet name="Verdivurdering" sheetId="18" r:id="rId4"/>
    <sheet name="Konsekvens av nedetid" sheetId="42" r:id="rId5"/>
    <sheet name="Trusselvurdering" sheetId="21" r:id="rId6"/>
    <sheet name="Forretningsprosesser" sheetId="37" state="hidden" r:id="rId7"/>
    <sheet name="Sårbarheter" sheetId="20" state="hidden" r:id="rId8"/>
    <sheet name="Risikovurdering" sheetId="13" r:id="rId9"/>
    <sheet name="Tiltaksliste_data" sheetId="45" state="hidden" r:id="rId10"/>
    <sheet name="Tiltaksliste" sheetId="32" r:id="rId11"/>
    <sheet name="Risikomatrise" sheetId="14" r:id="rId12"/>
    <sheet name="Kopi av tiltaksliste" sheetId="41" r:id="rId13"/>
    <sheet name="RisikomatriseTabellDump" sheetId="49" state="hidden" r:id="rId14"/>
    <sheet name="Sheet1" sheetId="44" state="hidden" r:id="rId15"/>
    <sheet name="Datasource 2" sheetId="17" state="hidden" r:id="rId16"/>
    <sheet name="Risikovurdering_data" sheetId="26" state="hidden" r:id="rId17"/>
    <sheet name="Change log" sheetId="33" state="hidden" r:id="rId18"/>
  </sheets>
  <functionGroups builtInGroupCount="19"/>
  <externalReferences>
    <externalReference r:id="rId19"/>
  </externalReferences>
  <definedNames>
    <definedName name="_xlnm._FilterDatabase" localSheetId="12" hidden="1">'Kopi av tiltaksliste'!$A$1:$G$21</definedName>
    <definedName name="_xlnm._FilterDatabase" localSheetId="8" hidden="1">Risikovurdering!$A$4:$AO$4</definedName>
    <definedName name="_xlnm._FilterDatabase" localSheetId="7" hidden="1">Sårbarheter!$A$1:$D$104</definedName>
    <definedName name="_xlnm._FilterDatabase" localSheetId="10" hidden="1">Tiltaksliste!$A$1:$F$1</definedName>
    <definedName name="_xlnm._FilterDatabase" localSheetId="3" hidden="1">Verdivurdering!$A$1:$L$1</definedName>
    <definedName name="Ja_nei">'Datasource 2'!$A$3:$A$4</definedName>
    <definedName name="Prioritetsliste">'Datasource 2'!$M$14:$M$16</definedName>
    <definedName name="Prioritetsliste_alt">'Datasource 2'!$N$14:$N$15</definedName>
    <definedName name="Prosessliste">OFFSET(Forretningsprosesser!$B$2,0,0,COUNTA(Forretningsprosesser!$B:$B)-1,1)</definedName>
    <definedName name="Skala">'Datasource 2'!$C$3:$C$6</definedName>
    <definedName name="Skala_tekst">'Datasource 2'!$E$3:$E$6</definedName>
    <definedName name="Systemliste">OFFSET(#REF!,0,0,COUNTA(#REF!)-1,1)</definedName>
    <definedName name="sårbarhetsliste">OFFSET(Sårbarheter!$A$2,0,0,COUNT(Sårbarheter!$A:$A)-1,1)</definedName>
    <definedName name="Tilstand" localSheetId="15">'Datasource 2'!$B$3:$B$5</definedName>
    <definedName name="Tilstand">'Datasource 2'!$B$3:$B$5</definedName>
    <definedName name="Trusselliste" localSheetId="4">OFFSET([1]Trusselvurdering!$A$3,0,0,COUNTA([1]Trusselvurdering!$A$3:$A$41),1)</definedName>
    <definedName name="Trusselliste">OFFSET(Trusselvurdering!$B$3,0,0,COUNTA(Trusselvurdering!$B:$B)-1,1)</definedName>
    <definedName name="Verdiliste">OFFSET(Verdivurdering!$B$2,0,0,COUNTA(Verdivurdering!$B$2:$B$400),1)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 i="14" l="1"/>
  <c r="O12" i="21"/>
  <c r="O13" i="21"/>
  <c r="R22" i="17"/>
  <c r="S12" i="17" s="1"/>
  <c r="R21" i="17"/>
  <c r="R8" i="17" s="1"/>
  <c r="R20" i="17"/>
  <c r="R4" i="17" s="1"/>
  <c r="I8" i="21"/>
  <c r="G14" i="21"/>
  <c r="I14" i="21"/>
  <c r="E3" i="21"/>
  <c r="A133" i="26"/>
  <c r="T12" i="17" l="1"/>
  <c r="Q12" i="17"/>
  <c r="U12" i="17"/>
  <c r="R12" i="17"/>
  <c r="S8" i="17"/>
  <c r="T8" i="17"/>
  <c r="U8" i="17"/>
  <c r="Q8" i="17"/>
  <c r="U4" i="17"/>
  <c r="S4" i="17"/>
  <c r="Q4" i="17"/>
  <c r="T4" i="17"/>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C41" i="13"/>
  <c r="AC42" i="13"/>
  <c r="AC43" i="13"/>
  <c r="AC44" i="13"/>
  <c r="AC45" i="13"/>
  <c r="AC46" i="13"/>
  <c r="AC47" i="13"/>
  <c r="AC48" i="13"/>
  <c r="AC49" i="13"/>
  <c r="AC50" i="13"/>
  <c r="AC51" i="13"/>
  <c r="AC52" i="13"/>
  <c r="AC53" i="13"/>
  <c r="AC54" i="13"/>
  <c r="AC55" i="13"/>
  <c r="AC56" i="13"/>
  <c r="AC57" i="13"/>
  <c r="AC58" i="13"/>
  <c r="AC59" i="13"/>
  <c r="AC60" i="13"/>
  <c r="AC61" i="13"/>
  <c r="AC62" i="13"/>
  <c r="AC63" i="13"/>
  <c r="AC64" i="13"/>
  <c r="AC65" i="13"/>
  <c r="AC66" i="13"/>
  <c r="AC67" i="13"/>
  <c r="AC68" i="13"/>
  <c r="AC69" i="13"/>
  <c r="AC70" i="13"/>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100" i="13"/>
  <c r="AC101" i="13"/>
  <c r="AC102" i="13"/>
  <c r="AC103" i="13"/>
  <c r="AC104" i="13"/>
  <c r="AC105" i="13"/>
  <c r="AC106" i="13"/>
  <c r="AC107" i="13"/>
  <c r="AC108" i="13"/>
  <c r="AC109" i="13"/>
  <c r="AC110" i="13"/>
  <c r="AC111" i="13"/>
  <c r="AC112" i="13"/>
  <c r="AC113" i="13"/>
  <c r="AC114" i="13"/>
  <c r="AC115" i="13"/>
  <c r="AC116" i="13"/>
  <c r="AC117" i="13"/>
  <c r="AC118" i="13"/>
  <c r="AC119" i="13"/>
  <c r="AC120" i="13"/>
  <c r="AC121" i="13"/>
  <c r="AC122" i="13"/>
  <c r="AC123" i="13"/>
  <c r="AC124" i="13"/>
  <c r="AC125" i="13"/>
  <c r="AC126" i="13"/>
  <c r="AC127" i="13"/>
  <c r="AC128" i="13"/>
  <c r="AC129" i="13"/>
  <c r="AC130" i="13"/>
  <c r="AC131" i="13"/>
  <c r="AC132" i="13"/>
  <c r="AC133" i="13"/>
  <c r="AC134" i="13"/>
  <c r="AC135" i="13"/>
  <c r="AC136" i="13"/>
  <c r="AC137" i="13"/>
  <c r="AC138" i="13"/>
  <c r="AC139" i="13"/>
  <c r="AC140" i="13"/>
  <c r="AC141" i="13"/>
  <c r="AC142" i="13"/>
  <c r="AC143" i="13"/>
  <c r="AC144" i="13"/>
  <c r="AC145" i="13"/>
  <c r="AC146" i="13"/>
  <c r="AC147" i="13"/>
  <c r="AC148" i="13"/>
  <c r="AC149" i="13"/>
  <c r="AC150" i="13"/>
  <c r="AC151" i="13"/>
  <c r="AC152" i="13"/>
  <c r="AC153" i="13"/>
  <c r="AC154" i="13"/>
  <c r="AC155" i="13"/>
  <c r="AC156" i="13"/>
  <c r="AC157" i="13"/>
  <c r="AC158" i="13"/>
  <c r="AC159" i="13"/>
  <c r="AC160" i="13"/>
  <c r="AC161" i="13"/>
  <c r="AC162" i="13"/>
  <c r="AC163" i="13"/>
  <c r="AC164" i="13"/>
  <c r="AC165" i="13"/>
  <c r="AC166" i="13"/>
  <c r="AC167" i="13"/>
  <c r="AC168" i="13"/>
  <c r="AC169" i="13"/>
  <c r="AC170" i="13"/>
  <c r="AC171" i="13"/>
  <c r="AC172" i="13"/>
  <c r="AC173" i="13"/>
  <c r="AC174" i="13"/>
  <c r="AC175" i="13"/>
  <c r="AC176" i="13"/>
  <c r="AC177" i="13"/>
  <c r="AC178" i="13"/>
  <c r="AC179" i="13"/>
  <c r="AC180" i="13"/>
  <c r="AC181" i="13"/>
  <c r="AC182" i="13"/>
  <c r="AC183" i="13"/>
  <c r="AC184" i="13"/>
  <c r="AC185" i="13"/>
  <c r="AC186" i="13"/>
  <c r="AC187" i="13"/>
  <c r="AC188" i="13"/>
  <c r="AC189" i="13"/>
  <c r="AC190" i="13"/>
  <c r="AC191" i="13"/>
  <c r="AC192" i="13"/>
  <c r="AC193" i="13"/>
  <c r="AC194" i="13"/>
  <c r="AC195" i="13"/>
  <c r="AC196" i="13"/>
  <c r="AC197" i="13"/>
  <c r="AC198" i="13"/>
  <c r="AC199" i="13"/>
  <c r="AC200" i="13"/>
  <c r="AC201" i="13"/>
  <c r="AC202" i="13"/>
  <c r="AC203" i="13"/>
  <c r="AC204" i="13"/>
  <c r="AC205" i="13"/>
  <c r="AC206" i="13"/>
  <c r="AC207" i="13"/>
  <c r="AC208" i="13"/>
  <c r="AC209" i="13"/>
  <c r="AC210" i="13"/>
  <c r="AC211" i="13"/>
  <c r="AC212" i="13"/>
  <c r="AC213" i="13"/>
  <c r="AC214" i="13"/>
  <c r="AC215" i="13"/>
  <c r="AC216" i="13"/>
  <c r="AC217" i="13"/>
  <c r="AC218" i="13"/>
  <c r="AC219" i="13"/>
  <c r="AC220" i="13"/>
  <c r="AC221" i="13"/>
  <c r="AC222" i="13"/>
  <c r="AC223" i="13"/>
  <c r="AC224" i="13"/>
  <c r="AC225" i="13"/>
  <c r="AC226" i="13"/>
  <c r="AC227" i="13"/>
  <c r="AC228" i="13"/>
  <c r="AC229" i="13"/>
  <c r="AC230" i="13"/>
  <c r="AC231" i="13"/>
  <c r="AC232" i="13"/>
  <c r="AC233" i="13"/>
  <c r="AC234" i="13"/>
  <c r="AC235" i="13"/>
  <c r="AC236" i="13"/>
  <c r="AC237" i="13"/>
  <c r="AC238" i="13"/>
  <c r="AC239" i="13"/>
  <c r="AC240" i="13"/>
  <c r="AC241" i="13"/>
  <c r="AC242" i="13"/>
  <c r="AC243" i="13"/>
  <c r="AC244" i="13"/>
  <c r="AC245" i="13"/>
  <c r="AC246" i="13"/>
  <c r="AC247" i="13"/>
  <c r="AC248" i="13"/>
  <c r="AC249" i="13"/>
  <c r="AC250" i="13"/>
  <c r="AC251" i="13"/>
  <c r="AC252" i="13"/>
  <c r="AC253" i="13"/>
  <c r="AC254" i="13"/>
  <c r="AC255" i="13"/>
  <c r="AC256" i="13"/>
  <c r="AC257" i="13"/>
  <c r="AC258" i="13"/>
  <c r="AC259" i="13"/>
  <c r="AC260" i="13"/>
  <c r="AC261" i="13"/>
  <c r="AC262" i="13"/>
  <c r="AC263" i="13"/>
  <c r="AC264" i="13"/>
  <c r="AC265" i="13"/>
  <c r="AC266" i="13"/>
  <c r="AC267" i="13"/>
  <c r="AC268" i="13"/>
  <c r="AC269" i="13"/>
  <c r="AC270" i="13"/>
  <c r="AC271" i="13"/>
  <c r="AC272" i="13"/>
  <c r="AC273" i="13"/>
  <c r="AC274" i="13"/>
  <c r="AC275" i="13"/>
  <c r="AC276" i="13"/>
  <c r="AC277" i="13"/>
  <c r="AC278" i="13"/>
  <c r="AC279" i="13"/>
  <c r="AC280" i="13"/>
  <c r="AC281" i="13"/>
  <c r="AC282" i="13"/>
  <c r="AC283" i="13"/>
  <c r="AC284" i="13"/>
  <c r="AC285" i="13"/>
  <c r="AC286" i="13"/>
  <c r="AC287" i="13"/>
  <c r="AC288" i="13"/>
  <c r="AC289" i="13"/>
  <c r="AC290" i="13"/>
  <c r="AC291" i="13"/>
  <c r="AC292" i="13"/>
  <c r="AC293" i="13"/>
  <c r="AC294" i="13"/>
  <c r="AC295" i="13"/>
  <c r="AC296" i="13"/>
  <c r="AC297" i="13"/>
  <c r="AC298" i="13"/>
  <c r="AC299" i="13"/>
  <c r="AC300" i="13"/>
  <c r="AC301" i="13"/>
  <c r="AC302" i="13"/>
  <c r="AC303" i="13"/>
  <c r="AC304" i="13"/>
  <c r="AC305" i="13"/>
  <c r="AC306" i="13"/>
  <c r="AC307" i="13"/>
  <c r="AC308" i="13"/>
  <c r="AC309" i="13"/>
  <c r="AC310" i="13"/>
  <c r="AC311" i="13"/>
  <c r="AC312" i="13"/>
  <c r="AC313" i="13"/>
  <c r="AC314" i="13"/>
  <c r="AC315" i="13"/>
  <c r="AC316" i="13"/>
  <c r="AC317" i="13"/>
  <c r="AC318" i="13"/>
  <c r="AC319" i="13"/>
  <c r="AC320" i="13"/>
  <c r="AC321" i="13"/>
  <c r="AC322" i="13"/>
  <c r="AC323" i="13"/>
  <c r="AC324" i="13"/>
  <c r="AC325" i="13"/>
  <c r="AC326" i="13"/>
  <c r="AC327" i="13"/>
  <c r="AC328" i="13"/>
  <c r="AC329" i="13"/>
  <c r="AC330" i="13"/>
  <c r="AC331" i="13"/>
  <c r="AC332" i="13"/>
  <c r="AC333" i="13"/>
  <c r="AC334" i="13"/>
  <c r="AC335" i="13"/>
  <c r="AC336" i="13"/>
  <c r="AC337" i="13"/>
  <c r="AC338" i="13"/>
  <c r="AC339" i="13"/>
  <c r="AC340" i="13"/>
  <c r="AC341" i="13"/>
  <c r="AC342" i="13"/>
  <c r="AC343" i="13"/>
  <c r="AC344" i="13"/>
  <c r="AC345" i="13"/>
  <c r="AC346" i="13"/>
  <c r="AC347" i="13"/>
  <c r="AC348" i="13"/>
  <c r="AC349" i="13"/>
  <c r="AC350" i="13"/>
  <c r="AC351" i="13"/>
  <c r="AC352" i="13"/>
  <c r="AC353" i="13"/>
  <c r="AC354" i="13"/>
  <c r="AC355" i="13"/>
  <c r="AC356" i="13"/>
  <c r="AC357" i="13"/>
  <c r="AC358" i="13"/>
  <c r="AC359" i="13"/>
  <c r="AC360" i="13"/>
  <c r="AC361" i="13"/>
  <c r="AC362" i="13"/>
  <c r="AC363" i="13"/>
  <c r="AC364" i="13"/>
  <c r="AC365" i="13"/>
  <c r="AC366" i="13"/>
  <c r="AC367" i="13"/>
  <c r="AC368" i="13"/>
  <c r="AC369" i="13"/>
  <c r="AC370" i="13"/>
  <c r="AC371" i="13"/>
  <c r="AC372" i="13"/>
  <c r="AC373" i="13"/>
  <c r="AC374" i="13"/>
  <c r="AC375" i="13"/>
  <c r="AC376" i="13"/>
  <c r="AC377" i="13"/>
  <c r="AC378" i="13"/>
  <c r="AC379" i="13"/>
  <c r="AC380" i="13"/>
  <c r="AC381" i="13"/>
  <c r="AC382" i="13"/>
  <c r="AC383" i="13"/>
  <c r="AC384" i="13"/>
  <c r="AC385" i="13"/>
  <c r="AC386" i="13"/>
  <c r="AC387" i="13"/>
  <c r="AC388" i="13"/>
  <c r="AC389" i="13"/>
  <c r="AC390" i="13"/>
  <c r="AC391" i="13"/>
  <c r="AC392" i="13"/>
  <c r="AC393" i="13"/>
  <c r="AC394" i="13"/>
  <c r="AC395" i="13"/>
  <c r="AC396" i="13"/>
  <c r="AC397" i="13"/>
  <c r="AC398" i="13"/>
  <c r="AC399" i="13"/>
  <c r="AC400" i="13"/>
  <c r="AC401" i="13"/>
  <c r="AC402" i="13"/>
  <c r="AC403" i="13"/>
  <c r="AC404" i="13"/>
  <c r="AC405" i="13"/>
  <c r="AC406" i="13"/>
  <c r="AC407" i="13"/>
  <c r="AC408" i="13"/>
  <c r="AC409" i="13"/>
  <c r="AC410" i="13"/>
  <c r="AC411" i="13"/>
  <c r="AC412" i="13"/>
  <c r="AC413" i="13"/>
  <c r="AC414" i="13"/>
  <c r="AC415" i="13"/>
  <c r="AC416" i="13"/>
  <c r="AC417" i="13"/>
  <c r="AC418" i="13"/>
  <c r="AC419" i="13"/>
  <c r="AC420" i="13"/>
  <c r="AC421" i="13"/>
  <c r="AC422" i="13"/>
  <c r="AC423" i="13"/>
  <c r="AC424" i="13"/>
  <c r="AC425" i="13"/>
  <c r="AC426" i="13"/>
  <c r="AC427" i="13"/>
  <c r="AC428" i="13"/>
  <c r="AC429" i="13"/>
  <c r="AC430" i="13"/>
  <c r="AC431" i="13"/>
  <c r="AC432" i="13"/>
  <c r="AC433" i="13"/>
  <c r="AC434" i="13"/>
  <c r="AC435" i="13"/>
  <c r="AC436" i="13"/>
  <c r="AC437" i="13"/>
  <c r="AC438" i="13"/>
  <c r="AC439" i="13"/>
  <c r="AC440" i="13"/>
  <c r="AC441" i="13"/>
  <c r="AC442" i="13"/>
  <c r="AC443" i="13"/>
  <c r="AC444" i="13"/>
  <c r="AC445" i="13"/>
  <c r="AC446" i="13"/>
  <c r="AC447" i="13"/>
  <c r="AC448" i="13"/>
  <c r="AC449" i="13"/>
  <c r="AC450" i="13"/>
  <c r="AC451" i="13"/>
  <c r="AC452" i="13"/>
  <c r="AC453" i="13"/>
  <c r="AC454" i="13"/>
  <c r="AC455" i="13"/>
  <c r="AC456" i="13"/>
  <c r="AC457" i="13"/>
  <c r="AC458" i="13"/>
  <c r="AC459" i="13"/>
  <c r="AC460" i="13"/>
  <c r="AC461" i="13"/>
  <c r="AC462" i="13"/>
  <c r="AC463" i="13"/>
  <c r="AC464" i="13"/>
  <c r="AC465" i="13"/>
  <c r="AC466" i="13"/>
  <c r="AC467" i="13"/>
  <c r="AC468" i="13"/>
  <c r="AC469" i="13"/>
  <c r="AC470" i="13"/>
  <c r="AC471" i="13"/>
  <c r="AC472" i="13"/>
  <c r="AC473" i="13"/>
  <c r="AC474" i="13"/>
  <c r="AC475" i="13"/>
  <c r="AC476" i="13"/>
  <c r="AC477" i="13"/>
  <c r="AC478" i="13"/>
  <c r="AC479" i="13"/>
  <c r="AC480" i="13"/>
  <c r="AC481" i="13"/>
  <c r="AC482" i="13"/>
  <c r="AC483" i="13"/>
  <c r="AC484" i="13"/>
  <c r="AC485" i="13"/>
  <c r="AC486" i="13"/>
  <c r="AC487" i="13"/>
  <c r="AC488" i="13"/>
  <c r="AC489" i="13"/>
  <c r="AC490" i="13"/>
  <c r="AC491" i="13"/>
  <c r="AC492" i="13"/>
  <c r="AC493" i="13"/>
  <c r="AC494" i="13"/>
  <c r="AC495" i="13"/>
  <c r="AC496" i="13"/>
  <c r="AC497" i="13"/>
  <c r="AC498" i="13"/>
  <c r="AC499" i="13"/>
  <c r="AC500" i="13"/>
  <c r="AC501" i="13"/>
  <c r="AC502" i="13"/>
  <c r="AC503" i="13"/>
  <c r="AC504" i="13"/>
  <c r="AC6" i="13"/>
  <c r="AC7" i="13"/>
  <c r="AC8" i="13"/>
  <c r="AC9" i="13"/>
  <c r="AC10" i="13"/>
  <c r="AC11" i="13"/>
  <c r="AC12" i="13"/>
  <c r="AC13" i="13"/>
  <c r="AC14" i="13"/>
  <c r="AD15" i="13"/>
  <c r="AD16" i="13"/>
  <c r="AD17" i="13"/>
  <c r="AD18" i="13"/>
  <c r="AD19" i="13"/>
  <c r="AD20" i="13"/>
  <c r="AD21" i="13"/>
  <c r="AD22" i="13"/>
  <c r="AD23" i="13"/>
  <c r="AD24" i="13"/>
  <c r="AD25" i="13"/>
  <c r="AD26" i="13"/>
  <c r="AD27" i="13"/>
  <c r="AD28" i="13"/>
  <c r="AD29" i="13"/>
  <c r="AD30" i="13"/>
  <c r="AD31" i="13"/>
  <c r="AD32" i="13"/>
  <c r="AD33" i="13"/>
  <c r="AD34" i="13"/>
  <c r="AD35" i="13"/>
  <c r="AD36" i="13"/>
  <c r="AD37" i="13"/>
  <c r="AD38" i="13"/>
  <c r="AD39" i="13"/>
  <c r="AD40" i="13"/>
  <c r="AD41" i="13"/>
  <c r="AD42" i="13"/>
  <c r="AD43" i="13"/>
  <c r="AD44" i="13"/>
  <c r="AD45" i="13"/>
  <c r="AD46" i="13"/>
  <c r="AD47" i="13"/>
  <c r="AD48" i="13"/>
  <c r="AD49" i="13"/>
  <c r="AD50" i="13"/>
  <c r="AD51" i="13"/>
  <c r="AD52" i="13"/>
  <c r="AD53" i="13"/>
  <c r="AD54" i="13"/>
  <c r="AD55" i="13"/>
  <c r="AD56" i="13"/>
  <c r="AD57" i="13"/>
  <c r="AD58" i="13"/>
  <c r="AD59" i="13"/>
  <c r="AD60" i="13"/>
  <c r="AD61" i="13"/>
  <c r="AD62" i="13"/>
  <c r="AD63" i="13"/>
  <c r="AD64" i="13"/>
  <c r="AD65" i="13"/>
  <c r="AD66" i="13"/>
  <c r="AD67" i="13"/>
  <c r="AD68" i="13"/>
  <c r="AD69" i="13"/>
  <c r="AD70" i="13"/>
  <c r="AD71" i="13"/>
  <c r="AD72" i="13"/>
  <c r="AD73" i="13"/>
  <c r="AD74" i="13"/>
  <c r="AD75" i="13"/>
  <c r="AD76" i="13"/>
  <c r="AD77" i="13"/>
  <c r="AD78" i="13"/>
  <c r="AD79" i="13"/>
  <c r="AD80" i="13"/>
  <c r="AD81" i="13"/>
  <c r="AD82" i="13"/>
  <c r="AD83" i="13"/>
  <c r="AD84" i="13"/>
  <c r="AD85" i="13"/>
  <c r="AD86" i="13"/>
  <c r="AD87" i="13"/>
  <c r="AD88" i="13"/>
  <c r="AD89" i="13"/>
  <c r="AD90" i="13"/>
  <c r="AD91" i="13"/>
  <c r="AD92" i="13"/>
  <c r="AD93" i="13"/>
  <c r="AD94" i="13"/>
  <c r="AD95" i="13"/>
  <c r="AD96" i="13"/>
  <c r="AD97" i="13"/>
  <c r="AD98" i="13"/>
  <c r="AD99" i="13"/>
  <c r="AD100" i="13"/>
  <c r="AD101" i="13"/>
  <c r="AD102" i="13"/>
  <c r="AD103" i="13"/>
  <c r="AD104" i="13"/>
  <c r="AD105" i="13"/>
  <c r="AD106" i="13"/>
  <c r="AD107" i="13"/>
  <c r="AD108" i="13"/>
  <c r="AD109" i="13"/>
  <c r="AD110" i="13"/>
  <c r="AD111" i="13"/>
  <c r="AD112" i="13"/>
  <c r="AD113" i="13"/>
  <c r="AD114" i="13"/>
  <c r="AD115" i="13"/>
  <c r="AD116" i="13"/>
  <c r="AD117" i="13"/>
  <c r="AD118" i="13"/>
  <c r="AD119" i="13"/>
  <c r="AD120" i="13"/>
  <c r="AD121" i="13"/>
  <c r="AD122" i="13"/>
  <c r="AD123" i="13"/>
  <c r="AD124" i="13"/>
  <c r="AD125" i="13"/>
  <c r="AD126" i="13"/>
  <c r="AD127" i="13"/>
  <c r="AD128" i="13"/>
  <c r="AD129" i="13"/>
  <c r="AD130" i="13"/>
  <c r="AD131" i="13"/>
  <c r="AD132" i="13"/>
  <c r="AD133" i="13"/>
  <c r="AD134" i="13"/>
  <c r="AD135" i="13"/>
  <c r="AD136" i="13"/>
  <c r="AD137" i="13"/>
  <c r="AD138" i="13"/>
  <c r="AD139" i="13"/>
  <c r="AD140" i="13"/>
  <c r="AD141" i="13"/>
  <c r="AD142" i="13"/>
  <c r="AD143" i="13"/>
  <c r="AD144" i="13"/>
  <c r="AD145" i="13"/>
  <c r="AD146" i="13"/>
  <c r="AD147" i="13"/>
  <c r="AD148" i="13"/>
  <c r="AD149" i="13"/>
  <c r="AD150" i="13"/>
  <c r="AD151" i="13"/>
  <c r="AD152" i="13"/>
  <c r="AD153" i="13"/>
  <c r="AD154" i="13"/>
  <c r="AD155" i="13"/>
  <c r="AD156" i="13"/>
  <c r="AD157" i="13"/>
  <c r="AD158" i="13"/>
  <c r="AD159" i="13"/>
  <c r="AD160" i="13"/>
  <c r="AD161" i="13"/>
  <c r="AD162" i="13"/>
  <c r="AD163" i="13"/>
  <c r="AD164" i="13"/>
  <c r="AD165" i="13"/>
  <c r="AD166" i="13"/>
  <c r="AD167" i="13"/>
  <c r="AD168" i="13"/>
  <c r="AD169" i="13"/>
  <c r="AD170" i="13"/>
  <c r="AD171" i="13"/>
  <c r="AD172" i="13"/>
  <c r="AD173" i="13"/>
  <c r="AD174" i="13"/>
  <c r="AD175" i="13"/>
  <c r="AD176" i="13"/>
  <c r="AD177" i="13"/>
  <c r="AD178" i="13"/>
  <c r="AD179" i="13"/>
  <c r="AD180" i="13"/>
  <c r="AD181" i="13"/>
  <c r="AD182" i="13"/>
  <c r="AD183" i="13"/>
  <c r="AD184" i="13"/>
  <c r="AD185" i="13"/>
  <c r="AD186" i="13"/>
  <c r="AD187" i="13"/>
  <c r="AD188" i="13"/>
  <c r="AD189" i="13"/>
  <c r="AD190" i="13"/>
  <c r="AD191" i="13"/>
  <c r="AD192" i="13"/>
  <c r="AD193" i="13"/>
  <c r="AD194" i="13"/>
  <c r="AD195" i="13"/>
  <c r="AD196" i="13"/>
  <c r="AD197" i="13"/>
  <c r="AD198" i="13"/>
  <c r="AD199" i="13"/>
  <c r="AD200" i="13"/>
  <c r="AD201" i="13"/>
  <c r="AD202" i="13"/>
  <c r="AD203" i="13"/>
  <c r="AD204" i="13"/>
  <c r="AD205" i="13"/>
  <c r="AD206" i="13"/>
  <c r="AD207" i="13"/>
  <c r="AD208" i="13"/>
  <c r="AD209" i="13"/>
  <c r="AD210" i="13"/>
  <c r="AD211" i="13"/>
  <c r="AD212" i="13"/>
  <c r="AD213" i="13"/>
  <c r="AD214" i="13"/>
  <c r="AD215" i="13"/>
  <c r="AD216" i="13"/>
  <c r="AD217" i="13"/>
  <c r="AD218" i="13"/>
  <c r="AD219" i="13"/>
  <c r="AD220" i="13"/>
  <c r="AD221" i="13"/>
  <c r="AD222" i="13"/>
  <c r="AD223" i="13"/>
  <c r="AD224" i="13"/>
  <c r="AD225" i="13"/>
  <c r="AD226" i="13"/>
  <c r="AD227" i="13"/>
  <c r="AD228" i="13"/>
  <c r="AD229" i="13"/>
  <c r="AD230" i="13"/>
  <c r="AD231" i="13"/>
  <c r="AD232" i="13"/>
  <c r="AD233" i="13"/>
  <c r="AD234" i="13"/>
  <c r="AD235" i="13"/>
  <c r="AD236" i="13"/>
  <c r="AD237" i="13"/>
  <c r="AD238" i="13"/>
  <c r="AD239" i="13"/>
  <c r="AD240" i="13"/>
  <c r="AD241" i="13"/>
  <c r="AD242" i="13"/>
  <c r="AD243" i="13"/>
  <c r="AD244" i="13"/>
  <c r="AD245" i="13"/>
  <c r="AD246" i="13"/>
  <c r="AD247" i="13"/>
  <c r="AD248" i="13"/>
  <c r="AD249" i="13"/>
  <c r="AD250" i="13"/>
  <c r="AD251" i="13"/>
  <c r="AD252" i="13"/>
  <c r="AD253" i="13"/>
  <c r="AD254" i="13"/>
  <c r="AD255" i="13"/>
  <c r="AD256" i="13"/>
  <c r="AD257" i="13"/>
  <c r="AD258" i="13"/>
  <c r="AD259" i="13"/>
  <c r="AD260" i="13"/>
  <c r="AD261" i="13"/>
  <c r="AD262" i="13"/>
  <c r="AD263" i="13"/>
  <c r="AD264" i="13"/>
  <c r="AD265" i="13"/>
  <c r="AD266" i="13"/>
  <c r="AD267" i="13"/>
  <c r="AD268" i="13"/>
  <c r="AD269" i="13"/>
  <c r="AD270" i="13"/>
  <c r="AD271" i="13"/>
  <c r="AD272" i="13"/>
  <c r="AD273" i="13"/>
  <c r="AD274" i="13"/>
  <c r="AD275" i="13"/>
  <c r="AD276" i="13"/>
  <c r="AD277" i="13"/>
  <c r="AD278" i="13"/>
  <c r="AD279" i="13"/>
  <c r="AD280" i="13"/>
  <c r="AD281" i="13"/>
  <c r="AD282" i="13"/>
  <c r="AD283" i="13"/>
  <c r="AD284" i="13"/>
  <c r="AD285" i="13"/>
  <c r="AD286" i="13"/>
  <c r="AD287" i="13"/>
  <c r="AD288" i="13"/>
  <c r="AD289" i="13"/>
  <c r="AD290" i="13"/>
  <c r="AD291" i="13"/>
  <c r="AD292" i="13"/>
  <c r="AD293" i="13"/>
  <c r="AD294" i="13"/>
  <c r="AD295" i="13"/>
  <c r="AD296" i="13"/>
  <c r="AD297" i="13"/>
  <c r="AD298" i="13"/>
  <c r="AD299" i="13"/>
  <c r="AD300" i="13"/>
  <c r="AD301" i="13"/>
  <c r="AD302" i="13"/>
  <c r="AD303" i="13"/>
  <c r="AD304" i="13"/>
  <c r="AD305" i="13"/>
  <c r="AD306" i="13"/>
  <c r="AD307" i="13"/>
  <c r="AD308" i="13"/>
  <c r="AD309" i="13"/>
  <c r="AD310" i="13"/>
  <c r="AD311" i="13"/>
  <c r="AD312" i="13"/>
  <c r="AD313" i="13"/>
  <c r="AD314" i="13"/>
  <c r="AD315" i="13"/>
  <c r="AD316" i="13"/>
  <c r="AD317" i="13"/>
  <c r="AD318" i="13"/>
  <c r="AD319" i="13"/>
  <c r="AD320" i="13"/>
  <c r="AD321" i="13"/>
  <c r="AD322" i="13"/>
  <c r="AD323" i="13"/>
  <c r="AD324" i="13"/>
  <c r="AD325" i="13"/>
  <c r="AD326" i="13"/>
  <c r="AD327" i="13"/>
  <c r="AD328" i="13"/>
  <c r="AD329" i="13"/>
  <c r="AD330" i="13"/>
  <c r="AD331" i="13"/>
  <c r="AD332" i="13"/>
  <c r="AD333" i="13"/>
  <c r="AD334" i="13"/>
  <c r="AD335" i="13"/>
  <c r="AD336" i="13"/>
  <c r="AD337" i="13"/>
  <c r="AD338" i="13"/>
  <c r="AD339" i="13"/>
  <c r="AD340" i="13"/>
  <c r="AD341" i="13"/>
  <c r="AD342" i="13"/>
  <c r="AD343" i="13"/>
  <c r="AD344" i="13"/>
  <c r="AD345" i="13"/>
  <c r="AD346" i="13"/>
  <c r="AD347" i="13"/>
  <c r="AD348" i="13"/>
  <c r="AD349" i="13"/>
  <c r="AD350" i="13"/>
  <c r="AD351" i="13"/>
  <c r="AD352" i="13"/>
  <c r="AD353" i="13"/>
  <c r="AD354" i="13"/>
  <c r="AD355" i="13"/>
  <c r="AD356" i="13"/>
  <c r="AD357" i="13"/>
  <c r="AD358" i="13"/>
  <c r="AD359" i="13"/>
  <c r="AD360" i="13"/>
  <c r="AD361" i="13"/>
  <c r="AD362" i="13"/>
  <c r="AD363" i="13"/>
  <c r="AD364" i="13"/>
  <c r="AD365" i="13"/>
  <c r="AD366" i="13"/>
  <c r="AD367" i="13"/>
  <c r="AD368" i="13"/>
  <c r="AD369" i="13"/>
  <c r="AD370" i="13"/>
  <c r="AD371" i="13"/>
  <c r="AD372" i="13"/>
  <c r="AD373" i="13"/>
  <c r="AD374" i="13"/>
  <c r="AD375" i="13"/>
  <c r="AD376" i="13"/>
  <c r="AD377" i="13"/>
  <c r="AD378" i="13"/>
  <c r="AD379" i="13"/>
  <c r="AD380" i="13"/>
  <c r="AD381" i="13"/>
  <c r="AD382" i="13"/>
  <c r="AD383" i="13"/>
  <c r="AD384" i="13"/>
  <c r="AD385" i="13"/>
  <c r="AD386" i="13"/>
  <c r="AD387" i="13"/>
  <c r="AD388" i="13"/>
  <c r="AD389" i="13"/>
  <c r="AD390" i="13"/>
  <c r="AD391" i="13"/>
  <c r="AD392" i="13"/>
  <c r="AD393" i="13"/>
  <c r="AD394" i="13"/>
  <c r="AD395" i="13"/>
  <c r="AD396" i="13"/>
  <c r="AD397" i="13"/>
  <c r="AD398" i="13"/>
  <c r="AD399" i="13"/>
  <c r="AD400" i="13"/>
  <c r="AD401" i="13"/>
  <c r="AD402" i="13"/>
  <c r="AD403" i="13"/>
  <c r="AD404" i="13"/>
  <c r="AD405" i="13"/>
  <c r="AD406" i="13"/>
  <c r="AD407" i="13"/>
  <c r="AD408" i="13"/>
  <c r="AD409" i="13"/>
  <c r="AD410" i="13"/>
  <c r="AD411" i="13"/>
  <c r="AD412" i="13"/>
  <c r="AD413" i="13"/>
  <c r="AD414" i="13"/>
  <c r="AD415" i="13"/>
  <c r="AD416" i="13"/>
  <c r="AD417" i="13"/>
  <c r="AD418" i="13"/>
  <c r="AD419" i="13"/>
  <c r="AD420" i="13"/>
  <c r="AD421" i="13"/>
  <c r="AD422" i="13"/>
  <c r="AD423" i="13"/>
  <c r="AD424" i="13"/>
  <c r="AD425" i="13"/>
  <c r="AD426" i="13"/>
  <c r="AD427" i="13"/>
  <c r="AD428" i="13"/>
  <c r="AD429" i="13"/>
  <c r="AD430" i="13"/>
  <c r="AD431" i="13"/>
  <c r="AD432" i="13"/>
  <c r="AD433" i="13"/>
  <c r="AD434" i="13"/>
  <c r="AD435" i="13"/>
  <c r="AD436" i="13"/>
  <c r="AD437" i="13"/>
  <c r="AD438" i="13"/>
  <c r="AD439" i="13"/>
  <c r="AD440" i="13"/>
  <c r="AD441" i="13"/>
  <c r="AD442" i="13"/>
  <c r="AD443" i="13"/>
  <c r="AD444" i="13"/>
  <c r="AD445" i="13"/>
  <c r="AD446" i="13"/>
  <c r="AD447" i="13"/>
  <c r="AD448" i="13"/>
  <c r="AD449" i="13"/>
  <c r="AD450" i="13"/>
  <c r="AD451" i="13"/>
  <c r="AD452" i="13"/>
  <c r="AD453" i="13"/>
  <c r="AD454" i="13"/>
  <c r="AD455" i="13"/>
  <c r="AD456" i="13"/>
  <c r="AD457" i="13"/>
  <c r="AD458" i="13"/>
  <c r="AD459" i="13"/>
  <c r="AD460" i="13"/>
  <c r="AD461" i="13"/>
  <c r="AD462" i="13"/>
  <c r="AD463" i="13"/>
  <c r="AD464" i="13"/>
  <c r="AD465" i="13"/>
  <c r="AD466" i="13"/>
  <c r="AD467" i="13"/>
  <c r="AD468" i="13"/>
  <c r="AD469" i="13"/>
  <c r="AD470" i="13"/>
  <c r="AD471" i="13"/>
  <c r="AD472" i="13"/>
  <c r="AD473" i="13"/>
  <c r="AD474" i="13"/>
  <c r="AD475" i="13"/>
  <c r="AD476" i="13"/>
  <c r="AD477" i="13"/>
  <c r="AD478" i="13"/>
  <c r="AD479" i="13"/>
  <c r="AD480" i="13"/>
  <c r="AD481" i="13"/>
  <c r="AD482" i="13"/>
  <c r="AD483" i="13"/>
  <c r="AD484" i="13"/>
  <c r="AD485" i="13"/>
  <c r="AD486" i="13"/>
  <c r="AD487" i="13"/>
  <c r="AD488" i="13"/>
  <c r="AD489" i="13"/>
  <c r="AD490" i="13"/>
  <c r="AD491" i="13"/>
  <c r="AD492" i="13"/>
  <c r="AD493" i="13"/>
  <c r="AD494" i="13"/>
  <c r="AD495" i="13"/>
  <c r="AD496" i="13"/>
  <c r="AD497" i="13"/>
  <c r="AD498" i="13"/>
  <c r="AD499" i="13"/>
  <c r="AD500" i="13"/>
  <c r="AD501" i="13"/>
  <c r="AD502" i="13"/>
  <c r="AD503" i="13"/>
  <c r="AD504" i="13"/>
  <c r="AD6" i="13"/>
  <c r="AD7" i="13"/>
  <c r="AD8" i="13"/>
  <c r="AD9" i="13"/>
  <c r="AD10" i="13"/>
  <c r="AD11" i="13"/>
  <c r="AD12" i="13"/>
  <c r="AD13" i="13"/>
  <c r="AD14" i="13"/>
  <c r="AD5" i="13"/>
  <c r="AC5" i="13"/>
  <c r="AA17" i="13"/>
  <c r="H35" i="13"/>
  <c r="H45" i="13"/>
  <c r="H55" i="13"/>
  <c r="H65" i="13"/>
  <c r="H75" i="13"/>
  <c r="H85" i="13"/>
  <c r="H95" i="13"/>
  <c r="H105" i="13"/>
  <c r="H115" i="13"/>
  <c r="H125" i="13"/>
  <c r="H135" i="13"/>
  <c r="H145" i="13"/>
  <c r="H155" i="13"/>
  <c r="H165" i="13"/>
  <c r="H175" i="13"/>
  <c r="H185" i="13"/>
  <c r="H195" i="13"/>
  <c r="H205" i="13"/>
  <c r="H215" i="13"/>
  <c r="H225" i="13"/>
  <c r="H235" i="13"/>
  <c r="H245" i="13"/>
  <c r="H255" i="13"/>
  <c r="H265" i="13"/>
  <c r="H275" i="13"/>
  <c r="H285" i="13"/>
  <c r="H295" i="13"/>
  <c r="H305" i="13"/>
  <c r="H315" i="13"/>
  <c r="H325" i="13"/>
  <c r="H335" i="13"/>
  <c r="H345" i="13"/>
  <c r="H355" i="13"/>
  <c r="H365" i="13"/>
  <c r="H375" i="13"/>
  <c r="H385" i="13"/>
  <c r="H395" i="13"/>
  <c r="H405" i="13"/>
  <c r="H415" i="13"/>
  <c r="H425" i="13"/>
  <c r="H435" i="13"/>
  <c r="H445" i="13"/>
  <c r="H455" i="13"/>
  <c r="H465" i="13"/>
  <c r="H475" i="13"/>
  <c r="H485" i="13"/>
  <c r="H495" i="13"/>
  <c r="H25" i="13"/>
  <c r="E2" i="45" l="1" a="1"/>
  <c r="E2" i="45" s="1"/>
  <c r="D2" i="45" a="1"/>
  <c r="D2" i="45" s="1"/>
  <c r="L9" i="14"/>
  <c r="E10" i="49" s="1"/>
  <c r="N6" i="14"/>
  <c r="G7" i="49" s="1"/>
  <c r="N7" i="14"/>
  <c r="G8" i="49" s="1"/>
  <c r="N8" i="14"/>
  <c r="G9" i="49" s="1"/>
  <c r="N9" i="14"/>
  <c r="G10" i="49" s="1"/>
  <c r="N15" i="14"/>
  <c r="G11" i="49" s="1"/>
  <c r="N16" i="14"/>
  <c r="G12" i="49" s="1"/>
  <c r="N17" i="14"/>
  <c r="G13" i="49" s="1"/>
  <c r="N18" i="14"/>
  <c r="G14" i="49" s="1"/>
  <c r="N19" i="14"/>
  <c r="G15" i="49" s="1"/>
  <c r="N20" i="14"/>
  <c r="G16" i="49" s="1"/>
  <c r="N24" i="14"/>
  <c r="G17" i="49" s="1"/>
  <c r="N25" i="14"/>
  <c r="G18" i="49" s="1"/>
  <c r="N26" i="14"/>
  <c r="G19" i="49" s="1"/>
  <c r="N27" i="14"/>
  <c r="N28" i="14"/>
  <c r="M28" i="14"/>
  <c r="M27" i="14"/>
  <c r="M26" i="14"/>
  <c r="F19" i="49" s="1"/>
  <c r="M25" i="14"/>
  <c r="F18" i="49" s="1"/>
  <c r="M24" i="14"/>
  <c r="F17" i="49" s="1"/>
  <c r="M20" i="14"/>
  <c r="F16" i="49" s="1"/>
  <c r="M19" i="14"/>
  <c r="F15" i="49" s="1"/>
  <c r="M18" i="14"/>
  <c r="F14" i="49" s="1"/>
  <c r="M17" i="14"/>
  <c r="F13" i="49" s="1"/>
  <c r="M16" i="14"/>
  <c r="F12" i="49" s="1"/>
  <c r="M15" i="14"/>
  <c r="F11" i="49" s="1"/>
  <c r="M9" i="14"/>
  <c r="F10" i="49" s="1"/>
  <c r="M8" i="14"/>
  <c r="F9" i="49" s="1"/>
  <c r="M7" i="14"/>
  <c r="F8" i="49" s="1"/>
  <c r="M6" i="14"/>
  <c r="F7" i="49" s="1"/>
  <c r="K7" i="14"/>
  <c r="K8" i="14"/>
  <c r="K9" i="14"/>
  <c r="K29" i="14"/>
  <c r="L29" i="14"/>
  <c r="L28" i="14"/>
  <c r="L27" i="14"/>
  <c r="L26" i="14"/>
  <c r="E19" i="49" s="1"/>
  <c r="L25" i="14"/>
  <c r="E18" i="49" s="1"/>
  <c r="L24" i="14"/>
  <c r="E17" i="49" s="1"/>
  <c r="L20" i="14"/>
  <c r="E16" i="49" s="1"/>
  <c r="L19" i="14"/>
  <c r="E15" i="49" s="1"/>
  <c r="L18" i="14"/>
  <c r="E14" i="49" s="1"/>
  <c r="L17" i="14"/>
  <c r="E13" i="49" s="1"/>
  <c r="L16" i="14"/>
  <c r="E12" i="49" s="1"/>
  <c r="L15" i="14"/>
  <c r="E11" i="49" s="1"/>
  <c r="K28" i="14"/>
  <c r="K27" i="14"/>
  <c r="K26" i="14"/>
  <c r="K25" i="14"/>
  <c r="K24" i="14"/>
  <c r="K20" i="14"/>
  <c r="K19" i="14"/>
  <c r="K18" i="14"/>
  <c r="K17" i="14"/>
  <c r="K16" i="14"/>
  <c r="K15" i="14"/>
  <c r="L8" i="14"/>
  <c r="E9" i="49" s="1"/>
  <c r="L7" i="14"/>
  <c r="E8" i="49" s="1"/>
  <c r="L6" i="14"/>
  <c r="E7" i="49" s="1"/>
  <c r="K6" i="14"/>
  <c r="M5" i="14"/>
  <c r="N5" i="14"/>
  <c r="N29" i="14"/>
  <c r="M29" i="14"/>
  <c r="D19" i="49" l="1"/>
  <c r="D18" i="49"/>
  <c r="D17" i="49"/>
  <c r="D14" i="49"/>
  <c r="D16" i="49"/>
  <c r="D13" i="49"/>
  <c r="D15" i="49"/>
  <c r="D12" i="49"/>
  <c r="D11" i="49"/>
  <c r="D10" i="49"/>
  <c r="D8" i="49"/>
  <c r="D9" i="49"/>
  <c r="D7" i="49"/>
  <c r="G6" i="49"/>
  <c r="F6" i="49"/>
  <c r="E6" i="49"/>
  <c r="F2" i="45" a="1"/>
  <c r="F2" i="45" s="1"/>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K2" i="18"/>
  <c r="G3" i="18"/>
  <c r="H3" i="18"/>
  <c r="I3" i="18"/>
  <c r="G4" i="18"/>
  <c r="H4" i="18"/>
  <c r="I4" i="18"/>
  <c r="G5" i="18"/>
  <c r="H5" i="18"/>
  <c r="I5" i="18"/>
  <c r="G6" i="18"/>
  <c r="H6" i="18"/>
  <c r="I6" i="18"/>
  <c r="G7" i="18"/>
  <c r="H7" i="18"/>
  <c r="I7" i="18"/>
  <c r="G8" i="18"/>
  <c r="H8" i="18"/>
  <c r="I8" i="18"/>
  <c r="G9" i="18"/>
  <c r="H9" i="18"/>
  <c r="I9" i="18"/>
  <c r="G10" i="18"/>
  <c r="H10" i="18"/>
  <c r="I10" i="18"/>
  <c r="G11" i="18"/>
  <c r="H11" i="18"/>
  <c r="I11" i="18"/>
  <c r="G12" i="18"/>
  <c r="J12" i="18" s="1"/>
  <c r="H12" i="18"/>
  <c r="I12" i="18"/>
  <c r="G13" i="18"/>
  <c r="J13" i="18" s="1"/>
  <c r="H13" i="18"/>
  <c r="I13" i="18"/>
  <c r="G14" i="18"/>
  <c r="J14" i="18" s="1"/>
  <c r="H14" i="18"/>
  <c r="I14" i="18"/>
  <c r="G15" i="18"/>
  <c r="J15" i="18" s="1"/>
  <c r="H15" i="18"/>
  <c r="I15" i="18"/>
  <c r="G16" i="18"/>
  <c r="J16" i="18" s="1"/>
  <c r="H16" i="18"/>
  <c r="I16" i="18"/>
  <c r="G17" i="18"/>
  <c r="J17" i="18" s="1"/>
  <c r="H17" i="18"/>
  <c r="I17" i="18"/>
  <c r="G18" i="18"/>
  <c r="J18" i="18" s="1"/>
  <c r="H18" i="18"/>
  <c r="I18" i="18"/>
  <c r="G19" i="18"/>
  <c r="J19" i="18" s="1"/>
  <c r="H19" i="18"/>
  <c r="I19" i="18"/>
  <c r="G20" i="18"/>
  <c r="J20" i="18" s="1"/>
  <c r="H20" i="18"/>
  <c r="I20" i="18"/>
  <c r="G21" i="18"/>
  <c r="J21" i="18" s="1"/>
  <c r="H21" i="18"/>
  <c r="I21" i="18"/>
  <c r="G22" i="18"/>
  <c r="J22" i="18" s="1"/>
  <c r="H22" i="18"/>
  <c r="I22" i="18"/>
  <c r="G23" i="18"/>
  <c r="J23" i="18" s="1"/>
  <c r="H23" i="18"/>
  <c r="I23" i="18"/>
  <c r="G24" i="18"/>
  <c r="J24" i="18" s="1"/>
  <c r="H24" i="18"/>
  <c r="I24" i="18"/>
  <c r="G25" i="18"/>
  <c r="J25" i="18" s="1"/>
  <c r="H25" i="18"/>
  <c r="I25" i="18"/>
  <c r="G26" i="18"/>
  <c r="J26" i="18" s="1"/>
  <c r="H26" i="18"/>
  <c r="I26" i="18"/>
  <c r="G27" i="18"/>
  <c r="J27" i="18" s="1"/>
  <c r="H27" i="18"/>
  <c r="I27" i="18"/>
  <c r="G28" i="18"/>
  <c r="J28" i="18" s="1"/>
  <c r="H28" i="18"/>
  <c r="I28" i="18"/>
  <c r="G29" i="18"/>
  <c r="J29" i="18" s="1"/>
  <c r="H29" i="18"/>
  <c r="I29" i="18"/>
  <c r="G30" i="18"/>
  <c r="J30" i="18" s="1"/>
  <c r="H30" i="18"/>
  <c r="I30" i="18"/>
  <c r="G31" i="18"/>
  <c r="J31" i="18" s="1"/>
  <c r="H31" i="18"/>
  <c r="I31" i="18"/>
  <c r="G32" i="18"/>
  <c r="J32" i="18" s="1"/>
  <c r="H32" i="18"/>
  <c r="I32" i="18"/>
  <c r="G33" i="18"/>
  <c r="J33" i="18" s="1"/>
  <c r="H33" i="18"/>
  <c r="I33" i="18"/>
  <c r="G34" i="18"/>
  <c r="J34" i="18" s="1"/>
  <c r="H34" i="18"/>
  <c r="I34" i="18"/>
  <c r="G35" i="18"/>
  <c r="J35" i="18" s="1"/>
  <c r="H35" i="18"/>
  <c r="I35" i="18"/>
  <c r="G36" i="18"/>
  <c r="J36" i="18" s="1"/>
  <c r="H36" i="18"/>
  <c r="I36" i="18"/>
  <c r="G37" i="18"/>
  <c r="J37" i="18" s="1"/>
  <c r="H37" i="18"/>
  <c r="I37" i="18"/>
  <c r="G38" i="18"/>
  <c r="J38" i="18" s="1"/>
  <c r="H38" i="18"/>
  <c r="I38" i="18"/>
  <c r="G39" i="18"/>
  <c r="J39" i="18" s="1"/>
  <c r="H39" i="18"/>
  <c r="I39" i="18"/>
  <c r="G40" i="18"/>
  <c r="J40" i="18" s="1"/>
  <c r="H40" i="18"/>
  <c r="I40" i="18"/>
  <c r="G41" i="18"/>
  <c r="J41" i="18" s="1"/>
  <c r="H41" i="18"/>
  <c r="I41" i="18"/>
  <c r="G42" i="18"/>
  <c r="J42" i="18" s="1"/>
  <c r="H42" i="18"/>
  <c r="I42" i="18"/>
  <c r="G43" i="18"/>
  <c r="J43" i="18" s="1"/>
  <c r="H43" i="18"/>
  <c r="I43" i="18"/>
  <c r="G44" i="18"/>
  <c r="J44" i="18" s="1"/>
  <c r="H44" i="18"/>
  <c r="I44" i="18"/>
  <c r="G45" i="18"/>
  <c r="J45" i="18" s="1"/>
  <c r="H45" i="18"/>
  <c r="I45" i="18"/>
  <c r="G46" i="18"/>
  <c r="J46" i="18" s="1"/>
  <c r="H46" i="18"/>
  <c r="I46" i="18"/>
  <c r="G47" i="18"/>
  <c r="J47" i="18" s="1"/>
  <c r="H47" i="18"/>
  <c r="I47" i="18"/>
  <c r="G48" i="18"/>
  <c r="J48" i="18" s="1"/>
  <c r="H48" i="18"/>
  <c r="I48" i="18"/>
  <c r="G49" i="18"/>
  <c r="J49" i="18" s="1"/>
  <c r="H49" i="18"/>
  <c r="I49" i="18"/>
  <c r="G50" i="18"/>
  <c r="J50" i="18" s="1"/>
  <c r="H50" i="18"/>
  <c r="I50" i="18"/>
  <c r="G51" i="18"/>
  <c r="J51" i="18" s="1"/>
  <c r="H51" i="18"/>
  <c r="I51" i="18"/>
  <c r="G52" i="18"/>
  <c r="J52" i="18" s="1"/>
  <c r="H52" i="18"/>
  <c r="I52" i="18"/>
  <c r="G53" i="18"/>
  <c r="H53" i="18"/>
  <c r="I53" i="18"/>
  <c r="J53" i="18"/>
  <c r="G54" i="18"/>
  <c r="J54" i="18" s="1"/>
  <c r="H54" i="18"/>
  <c r="I54" i="18"/>
  <c r="G55" i="18"/>
  <c r="J55" i="18" s="1"/>
  <c r="H55" i="18"/>
  <c r="I55" i="18"/>
  <c r="G56" i="18"/>
  <c r="J56" i="18" s="1"/>
  <c r="H56" i="18"/>
  <c r="I56" i="18"/>
  <c r="G57" i="18"/>
  <c r="J57" i="18" s="1"/>
  <c r="H57" i="18"/>
  <c r="I57" i="18"/>
  <c r="G58" i="18"/>
  <c r="J58" i="18" s="1"/>
  <c r="H58" i="18"/>
  <c r="I58" i="18"/>
  <c r="G59" i="18"/>
  <c r="J59" i="18" s="1"/>
  <c r="H59" i="18"/>
  <c r="I59" i="18"/>
  <c r="G60" i="18"/>
  <c r="J60" i="18" s="1"/>
  <c r="H60" i="18"/>
  <c r="I60" i="18"/>
  <c r="G61" i="18"/>
  <c r="J61" i="18" s="1"/>
  <c r="H61" i="18"/>
  <c r="I61" i="18"/>
  <c r="G62" i="18"/>
  <c r="J62" i="18" s="1"/>
  <c r="H62" i="18"/>
  <c r="I62" i="18"/>
  <c r="G63" i="18"/>
  <c r="J63" i="18" s="1"/>
  <c r="H63" i="18"/>
  <c r="I63" i="18"/>
  <c r="G64" i="18"/>
  <c r="J64" i="18" s="1"/>
  <c r="H64" i="18"/>
  <c r="I64" i="18"/>
  <c r="G65" i="18"/>
  <c r="J65" i="18" s="1"/>
  <c r="H65" i="18"/>
  <c r="I65" i="18"/>
  <c r="G66" i="18"/>
  <c r="J66" i="18" s="1"/>
  <c r="H66" i="18"/>
  <c r="I66" i="18"/>
  <c r="G67" i="18"/>
  <c r="J67" i="18" s="1"/>
  <c r="H67" i="18"/>
  <c r="I67" i="18"/>
  <c r="G68" i="18"/>
  <c r="J68" i="18" s="1"/>
  <c r="H68" i="18"/>
  <c r="I68" i="18"/>
  <c r="G69" i="18"/>
  <c r="J69" i="18" s="1"/>
  <c r="H69" i="18"/>
  <c r="I69" i="18"/>
  <c r="G70" i="18"/>
  <c r="J70" i="18" s="1"/>
  <c r="H70" i="18"/>
  <c r="I70" i="18"/>
  <c r="G71" i="18"/>
  <c r="J71" i="18" s="1"/>
  <c r="H71" i="18"/>
  <c r="I71" i="18"/>
  <c r="G72" i="18"/>
  <c r="J72" i="18" s="1"/>
  <c r="H72" i="18"/>
  <c r="I72" i="18"/>
  <c r="G73" i="18"/>
  <c r="J73" i="18" s="1"/>
  <c r="H73" i="18"/>
  <c r="I73" i="18"/>
  <c r="G74" i="18"/>
  <c r="J74" i="18" s="1"/>
  <c r="H74" i="18"/>
  <c r="I74" i="18"/>
  <c r="G75" i="18"/>
  <c r="J75" i="18" s="1"/>
  <c r="H75" i="18"/>
  <c r="I75" i="18"/>
  <c r="G76" i="18"/>
  <c r="J76" i="18" s="1"/>
  <c r="H76" i="18"/>
  <c r="I76" i="18"/>
  <c r="G77" i="18"/>
  <c r="J77" i="18" s="1"/>
  <c r="H77" i="18"/>
  <c r="I77" i="18"/>
  <c r="G78" i="18"/>
  <c r="J78" i="18" s="1"/>
  <c r="H78" i="18"/>
  <c r="I78" i="18"/>
  <c r="I2" i="18"/>
  <c r="H2" i="18"/>
  <c r="G2" i="18"/>
  <c r="J2" i="18" l="1"/>
  <c r="M3" i="26" s="1"/>
  <c r="J9" i="18"/>
  <c r="J6" i="18"/>
  <c r="M8" i="26" s="1"/>
  <c r="J11" i="18"/>
  <c r="J10" i="18"/>
  <c r="J7" i="18"/>
  <c r="J8" i="18"/>
  <c r="J5" i="18"/>
  <c r="M195" i="26" s="1"/>
  <c r="J4" i="18"/>
  <c r="M5" i="26" s="1"/>
  <c r="J3" i="18"/>
  <c r="M6" i="26" s="1"/>
  <c r="M7" i="26"/>
  <c r="K14" i="14"/>
  <c r="L14" i="14"/>
  <c r="K5" i="14"/>
  <c r="U12" i="14"/>
  <c r="V12" i="14"/>
  <c r="M4" i="26" l="1"/>
  <c r="D6" i="49"/>
  <c r="E5" i="21" l="1"/>
  <c r="G5" i="21"/>
  <c r="I5" i="21"/>
  <c r="K5" i="21"/>
  <c r="K16" i="21"/>
  <c r="I16" i="21"/>
  <c r="I17" i="21"/>
  <c r="I18" i="21"/>
  <c r="G16" i="21"/>
  <c r="G17" i="21"/>
  <c r="G18" i="21"/>
  <c r="E16" i="21"/>
  <c r="E17" i="21"/>
  <c r="E18" i="21"/>
  <c r="K18" i="21"/>
  <c r="K19" i="21"/>
  <c r="I19" i="21"/>
  <c r="G19" i="21"/>
  <c r="E19" i="21"/>
  <c r="D29" i="12" l="1"/>
  <c r="D28" i="12"/>
  <c r="D27" i="12"/>
  <c r="D26" i="12"/>
  <c r="D25" i="12"/>
  <c r="D9" i="14" l="1"/>
  <c r="K20" i="21" l="1"/>
  <c r="K21" i="21"/>
  <c r="K22" i="21"/>
  <c r="K23" i="21"/>
  <c r="K24" i="21"/>
  <c r="K25" i="21"/>
  <c r="K26" i="21"/>
  <c r="K27" i="21"/>
  <c r="K28" i="21"/>
  <c r="K29" i="21"/>
  <c r="K30" i="21"/>
  <c r="K31" i="21"/>
  <c r="K32" i="21"/>
  <c r="K33" i="21"/>
  <c r="K34" i="21"/>
  <c r="K35" i="21"/>
  <c r="K36" i="21"/>
  <c r="K37" i="21"/>
  <c r="K38" i="21"/>
  <c r="K39" i="21"/>
  <c r="K40" i="21"/>
  <c r="K41" i="21"/>
  <c r="I20" i="21"/>
  <c r="I21" i="21"/>
  <c r="I22" i="21"/>
  <c r="I23" i="21"/>
  <c r="I24" i="21"/>
  <c r="I25" i="21"/>
  <c r="I26" i="21"/>
  <c r="I27" i="21"/>
  <c r="I28" i="21"/>
  <c r="I29" i="21"/>
  <c r="I30" i="21"/>
  <c r="I31" i="21"/>
  <c r="I32" i="21"/>
  <c r="I33" i="21"/>
  <c r="I34" i="21"/>
  <c r="I35" i="21"/>
  <c r="I36" i="21"/>
  <c r="I37" i="21"/>
  <c r="I38" i="21"/>
  <c r="I39" i="21"/>
  <c r="I40" i="21"/>
  <c r="I41" i="21"/>
  <c r="G20" i="21"/>
  <c r="G21" i="21"/>
  <c r="G22" i="21"/>
  <c r="G23" i="21"/>
  <c r="G24" i="21"/>
  <c r="G25" i="21"/>
  <c r="G26" i="21"/>
  <c r="G27" i="21"/>
  <c r="G28" i="21"/>
  <c r="G29" i="21"/>
  <c r="G30" i="21"/>
  <c r="G31" i="21"/>
  <c r="G32" i="21"/>
  <c r="G33" i="21"/>
  <c r="G34" i="21"/>
  <c r="G35" i="21"/>
  <c r="G36" i="21"/>
  <c r="G37" i="21"/>
  <c r="G38" i="21"/>
  <c r="G39" i="21"/>
  <c r="G40" i="21"/>
  <c r="G41" i="21"/>
  <c r="E20" i="21"/>
  <c r="E21" i="21"/>
  <c r="E22" i="21"/>
  <c r="E23" i="21"/>
  <c r="E24" i="21"/>
  <c r="E25" i="21"/>
  <c r="E26" i="21"/>
  <c r="E27" i="21"/>
  <c r="E28" i="21"/>
  <c r="E29" i="21"/>
  <c r="E30" i="21"/>
  <c r="E31" i="21"/>
  <c r="E32" i="21"/>
  <c r="E33" i="21"/>
  <c r="E34" i="21"/>
  <c r="E35" i="21"/>
  <c r="E36" i="21"/>
  <c r="E37" i="21"/>
  <c r="E38" i="21"/>
  <c r="E39" i="21"/>
  <c r="E40" i="21"/>
  <c r="E41" i="21"/>
  <c r="M18" i="21"/>
  <c r="M19" i="21"/>
  <c r="M20" i="21"/>
  <c r="M21" i="21"/>
  <c r="M22" i="21"/>
  <c r="M23" i="21"/>
  <c r="M24" i="21"/>
  <c r="M25" i="21"/>
  <c r="M26" i="21"/>
  <c r="M27" i="21"/>
  <c r="M28" i="21"/>
  <c r="M29" i="21"/>
  <c r="M30" i="21"/>
  <c r="M31" i="21"/>
  <c r="M32" i="21"/>
  <c r="M33" i="21"/>
  <c r="M34" i="21"/>
  <c r="M35" i="21"/>
  <c r="M36" i="21"/>
  <c r="M37" i="21"/>
  <c r="M38" i="21"/>
  <c r="M39" i="21"/>
  <c r="M40" i="21"/>
  <c r="M41" i="21"/>
  <c r="N28" i="21" l="1"/>
  <c r="N23" i="21"/>
  <c r="N20" i="21"/>
  <c r="N36" i="21"/>
  <c r="N37" i="21"/>
  <c r="N29" i="21"/>
  <c r="N21" i="21"/>
  <c r="N39" i="21"/>
  <c r="N31" i="21"/>
  <c r="N41" i="21"/>
  <c r="N33" i="21"/>
  <c r="N25" i="21"/>
  <c r="N27" i="21"/>
  <c r="N34" i="21"/>
  <c r="N26" i="21"/>
  <c r="N40" i="21"/>
  <c r="N32" i="21"/>
  <c r="N24" i="21"/>
  <c r="N19" i="21"/>
  <c r="N22" i="21"/>
  <c r="N35" i="21"/>
  <c r="N38" i="21"/>
  <c r="N30" i="21"/>
  <c r="N18" i="21"/>
  <c r="O18" i="21" s="1"/>
  <c r="Z2" i="37" l="1"/>
  <c r="Z3" i="37"/>
  <c r="Z4" i="37"/>
  <c r="Z5" i="37"/>
  <c r="Z6" i="37"/>
  <c r="Z7" i="37"/>
  <c r="Z8" i="37"/>
  <c r="Z9" i="37"/>
  <c r="Z10" i="37"/>
  <c r="Z11" i="37"/>
  <c r="Z12" i="37"/>
  <c r="Z13" i="37"/>
  <c r="Z14" i="37"/>
  <c r="Z15" i="37"/>
  <c r="AY15" i="37" s="1"/>
  <c r="BB15" i="37" s="1"/>
  <c r="Z16" i="37"/>
  <c r="Z17" i="37"/>
  <c r="AY17" i="37" s="1"/>
  <c r="BB17" i="37" s="1"/>
  <c r="Z18" i="37"/>
  <c r="Z19" i="37"/>
  <c r="AY19" i="37" s="1"/>
  <c r="BB19" i="37" s="1"/>
  <c r="Z20" i="37"/>
  <c r="Z21" i="37"/>
  <c r="Z22" i="37"/>
  <c r="Z23" i="37"/>
  <c r="Z24" i="37"/>
  <c r="Z25" i="37"/>
  <c r="Z26" i="37"/>
  <c r="Z27" i="37"/>
  <c r="Z28" i="37"/>
  <c r="Z29" i="37"/>
  <c r="Z30" i="37"/>
  <c r="Z31" i="37"/>
  <c r="Z32" i="37"/>
  <c r="Z33" i="37"/>
  <c r="Z34" i="37"/>
  <c r="Z35" i="37"/>
  <c r="Z36" i="37"/>
  <c r="Z37" i="37"/>
  <c r="Z38" i="37"/>
  <c r="Z39" i="37"/>
  <c r="Z40" i="37"/>
  <c r="Z41" i="37"/>
  <c r="Z42" i="37"/>
  <c r="Z43" i="37"/>
  <c r="Z44" i="37"/>
  <c r="Z45" i="37"/>
  <c r="Z46" i="37"/>
  <c r="Z47" i="37"/>
  <c r="Z48" i="37"/>
  <c r="Z49" i="37"/>
  <c r="Z50" i="37"/>
  <c r="Z51" i="37"/>
  <c r="Z52" i="37"/>
  <c r="Z53" i="37"/>
  <c r="Z54" i="37"/>
  <c r="Z55" i="37"/>
  <c r="Z56" i="37"/>
  <c r="Z57" i="37"/>
  <c r="Z58" i="37"/>
  <c r="Z59" i="37"/>
  <c r="Z60" i="37"/>
  <c r="Z61" i="37"/>
  <c r="Z62" i="37"/>
  <c r="Z63" i="37"/>
  <c r="Z64" i="37"/>
  <c r="Z65" i="37"/>
  <c r="Z66" i="37"/>
  <c r="Z67" i="37"/>
  <c r="Z68" i="37"/>
  <c r="AY68" i="37" s="1"/>
  <c r="BB68" i="37" s="1"/>
  <c r="Z69" i="37"/>
  <c r="AY69" i="37" s="1"/>
  <c r="BB69" i="37" s="1"/>
  <c r="Z70" i="37"/>
  <c r="AY70" i="37" s="1"/>
  <c r="BB70" i="37" s="1"/>
  <c r="Z71" i="37"/>
  <c r="Z72" i="37"/>
  <c r="AY72" i="37" s="1"/>
  <c r="BB72" i="37" s="1"/>
  <c r="Z73" i="37"/>
  <c r="AY73" i="37" s="1"/>
  <c r="BB73" i="37" s="1"/>
  <c r="Z74" i="37"/>
  <c r="Z75" i="37"/>
  <c r="Z76" i="37"/>
  <c r="AY76" i="37" s="1"/>
  <c r="BB76" i="37" s="1"/>
  <c r="Z77" i="37"/>
  <c r="AY77" i="37" s="1"/>
  <c r="BB77" i="37" s="1"/>
  <c r="Z78" i="37"/>
  <c r="AY78" i="37" s="1"/>
  <c r="BB78" i="37" s="1"/>
  <c r="Z79" i="37"/>
  <c r="Z80" i="37"/>
  <c r="Z81" i="37"/>
  <c r="Z82" i="37"/>
  <c r="Z83" i="37"/>
  <c r="Z84" i="37"/>
  <c r="Z85" i="37"/>
  <c r="Z86" i="37"/>
  <c r="Z87" i="37"/>
  <c r="Z88" i="37"/>
  <c r="Z89" i="37"/>
  <c r="Z90" i="37"/>
  <c r="Z91" i="37"/>
  <c r="Z92" i="37"/>
  <c r="Z93" i="37"/>
  <c r="Z94" i="37"/>
  <c r="Z95" i="37"/>
  <c r="Z96" i="37"/>
  <c r="Z97" i="37"/>
  <c r="Z98" i="37"/>
  <c r="Z99" i="37"/>
  <c r="Z100" i="37"/>
  <c r="Z101" i="37"/>
  <c r="AY101" i="37" s="1"/>
  <c r="BB101" i="37" s="1"/>
  <c r="Z102" i="37"/>
  <c r="AY102" i="37" s="1"/>
  <c r="BB102" i="37" s="1"/>
  <c r="Z103" i="37"/>
  <c r="AY103" i="37" s="1"/>
  <c r="BB103" i="37" s="1"/>
  <c r="Z104" i="37"/>
  <c r="Z105" i="37"/>
  <c r="AY105" i="37" s="1"/>
  <c r="BB105" i="37" s="1"/>
  <c r="Z106" i="37"/>
  <c r="AY106" i="37" s="1"/>
  <c r="BB106" i="37" s="1"/>
  <c r="Z107" i="37"/>
  <c r="Z108" i="37"/>
  <c r="Z109" i="37"/>
  <c r="Z110" i="37"/>
  <c r="AY110" i="37" s="1"/>
  <c r="BB110" i="37" s="1"/>
  <c r="Z111" i="37"/>
  <c r="AY111" i="37" s="1"/>
  <c r="BB111" i="37" s="1"/>
  <c r="Z112" i="37"/>
  <c r="Z113" i="37"/>
  <c r="AY113" i="37" s="1"/>
  <c r="BB113" i="37" s="1"/>
  <c r="Z114" i="37"/>
  <c r="Z115" i="37"/>
  <c r="Z116" i="37"/>
  <c r="Z117" i="37"/>
  <c r="AY117" i="37" s="1"/>
  <c r="BB117" i="37" s="1"/>
  <c r="Z118" i="37"/>
  <c r="AY118" i="37" s="1"/>
  <c r="BB118" i="37" s="1"/>
  <c r="Z119" i="37"/>
  <c r="AY119" i="37" s="1"/>
  <c r="BB119" i="37" s="1"/>
  <c r="Z120" i="37"/>
  <c r="Z121" i="37"/>
  <c r="AY121" i="37" s="1"/>
  <c r="BB121" i="37" s="1"/>
  <c r="Z122" i="37"/>
  <c r="AY122" i="37" s="1"/>
  <c r="BB122" i="37" s="1"/>
  <c r="Z123" i="37"/>
  <c r="Z124" i="37"/>
  <c r="Z125" i="37"/>
  <c r="AY125" i="37" s="1"/>
  <c r="BB125" i="37" s="1"/>
  <c r="Z126" i="37"/>
  <c r="AY126" i="37" s="1"/>
  <c r="BB126" i="37" s="1"/>
  <c r="Z127" i="37"/>
  <c r="AY127" i="37" s="1"/>
  <c r="BB127" i="37" s="1"/>
  <c r="Z128" i="37"/>
  <c r="Z129" i="37"/>
  <c r="AY129" i="37" s="1"/>
  <c r="BB129" i="37" s="1"/>
  <c r="Z130" i="37"/>
  <c r="AY130" i="37" s="1"/>
  <c r="BB130" i="37" s="1"/>
  <c r="Z131" i="37"/>
  <c r="Z132" i="37"/>
  <c r="Z133" i="37"/>
  <c r="AY133" i="37" s="1"/>
  <c r="BB133" i="37" s="1"/>
  <c r="Z134" i="37"/>
  <c r="AY134" i="37" s="1"/>
  <c r="BB134" i="37" s="1"/>
  <c r="Z135" i="37"/>
  <c r="AY135" i="37" s="1"/>
  <c r="BB135" i="37" s="1"/>
  <c r="Z136" i="37"/>
  <c r="Z137" i="37"/>
  <c r="AY137" i="37" s="1"/>
  <c r="BB137" i="37" s="1"/>
  <c r="Z138" i="37"/>
  <c r="AY138" i="37" s="1"/>
  <c r="BB138" i="37" s="1"/>
  <c r="Z139" i="37"/>
  <c r="Z140" i="37"/>
  <c r="Z141" i="37"/>
  <c r="AY141" i="37" s="1"/>
  <c r="BB141" i="37" s="1"/>
  <c r="Z142" i="37"/>
  <c r="AY142" i="37" s="1"/>
  <c r="BB142" i="37" s="1"/>
  <c r="Z143" i="37"/>
  <c r="AY143" i="37" s="1"/>
  <c r="BB143" i="37" s="1"/>
  <c r="Z144" i="37"/>
  <c r="Z145" i="37"/>
  <c r="AY145" i="37" s="1"/>
  <c r="BB145" i="37" s="1"/>
  <c r="Z146" i="37"/>
  <c r="AY146" i="37" s="1"/>
  <c r="BB146" i="37" s="1"/>
  <c r="Z147" i="37"/>
  <c r="Z148" i="37"/>
  <c r="Z149" i="37"/>
  <c r="AY149" i="37" s="1"/>
  <c r="BB149" i="37" s="1"/>
  <c r="Z150" i="37"/>
  <c r="AY150" i="37" s="1"/>
  <c r="BB150" i="37" s="1"/>
  <c r="Z151" i="37"/>
  <c r="AY151" i="37" s="1"/>
  <c r="BB151" i="37" s="1"/>
  <c r="AY74" i="37"/>
  <c r="BB74" i="37" s="1"/>
  <c r="AX151" i="37"/>
  <c r="AV151" i="37"/>
  <c r="AT151" i="37"/>
  <c r="AR151" i="37"/>
  <c r="AP151" i="37"/>
  <c r="AN151" i="37"/>
  <c r="AL151" i="37"/>
  <c r="AJ151" i="37"/>
  <c r="AH151" i="37"/>
  <c r="AF151" i="37"/>
  <c r="AD151" i="37"/>
  <c r="AB151" i="37"/>
  <c r="AX150" i="37"/>
  <c r="AV150" i="37"/>
  <c r="AT150" i="37"/>
  <c r="AR150" i="37"/>
  <c r="AP150" i="37"/>
  <c r="AN150" i="37"/>
  <c r="AL150" i="37"/>
  <c r="AJ150" i="37"/>
  <c r="AH150" i="37"/>
  <c r="AF150" i="37"/>
  <c r="AD150" i="37"/>
  <c r="AB150" i="37"/>
  <c r="AX149" i="37"/>
  <c r="AV149" i="37"/>
  <c r="AT149" i="37"/>
  <c r="AR149" i="37"/>
  <c r="AP149" i="37"/>
  <c r="AN149" i="37"/>
  <c r="AL149" i="37"/>
  <c r="AJ149" i="37"/>
  <c r="AH149" i="37"/>
  <c r="AF149" i="37"/>
  <c r="AD149" i="37"/>
  <c r="AB149" i="37"/>
  <c r="AX148" i="37"/>
  <c r="AV148" i="37"/>
  <c r="AT148" i="37"/>
  <c r="AR148" i="37"/>
  <c r="AP148" i="37"/>
  <c r="AN148" i="37"/>
  <c r="AL148" i="37"/>
  <c r="AJ148" i="37"/>
  <c r="AH148" i="37"/>
  <c r="AF148" i="37"/>
  <c r="AD148" i="37"/>
  <c r="AB148" i="37"/>
  <c r="AX147" i="37"/>
  <c r="AV147" i="37"/>
  <c r="AT147" i="37"/>
  <c r="AR147" i="37"/>
  <c r="AP147" i="37"/>
  <c r="AN147" i="37"/>
  <c r="AL147" i="37"/>
  <c r="AJ147" i="37"/>
  <c r="AH147" i="37"/>
  <c r="AF147" i="37"/>
  <c r="AD147" i="37"/>
  <c r="AB147" i="37"/>
  <c r="AX146" i="37"/>
  <c r="AV146" i="37"/>
  <c r="AT146" i="37"/>
  <c r="AR146" i="37"/>
  <c r="AP146" i="37"/>
  <c r="AN146" i="37"/>
  <c r="AL146" i="37"/>
  <c r="AJ146" i="37"/>
  <c r="AH146" i="37"/>
  <c r="AF146" i="37"/>
  <c r="AD146" i="37"/>
  <c r="AB146" i="37"/>
  <c r="AX145" i="37"/>
  <c r="AV145" i="37"/>
  <c r="AT145" i="37"/>
  <c r="AR145" i="37"/>
  <c r="AP145" i="37"/>
  <c r="AN145" i="37"/>
  <c r="AL145" i="37"/>
  <c r="AJ145" i="37"/>
  <c r="AH145" i="37"/>
  <c r="AF145" i="37"/>
  <c r="AD145" i="37"/>
  <c r="AB145" i="37"/>
  <c r="AX144" i="37"/>
  <c r="AV144" i="37"/>
  <c r="AT144" i="37"/>
  <c r="AR144" i="37"/>
  <c r="AP144" i="37"/>
  <c r="AN144" i="37"/>
  <c r="AL144" i="37"/>
  <c r="AJ144" i="37"/>
  <c r="AH144" i="37"/>
  <c r="AF144" i="37"/>
  <c r="AD144" i="37"/>
  <c r="AB144" i="37"/>
  <c r="AX143" i="37"/>
  <c r="AV143" i="37"/>
  <c r="AT143" i="37"/>
  <c r="AR143" i="37"/>
  <c r="AP143" i="37"/>
  <c r="AN143" i="37"/>
  <c r="AL143" i="37"/>
  <c r="AJ143" i="37"/>
  <c r="AH143" i="37"/>
  <c r="AF143" i="37"/>
  <c r="AD143" i="37"/>
  <c r="AB143" i="37"/>
  <c r="AX142" i="37"/>
  <c r="AV142" i="37"/>
  <c r="AT142" i="37"/>
  <c r="AR142" i="37"/>
  <c r="AP142" i="37"/>
  <c r="AN142" i="37"/>
  <c r="AL142" i="37"/>
  <c r="AJ142" i="37"/>
  <c r="AH142" i="37"/>
  <c r="AF142" i="37"/>
  <c r="AD142" i="37"/>
  <c r="AB142" i="37"/>
  <c r="AX141" i="37"/>
  <c r="AV141" i="37"/>
  <c r="AT141" i="37"/>
  <c r="AR141" i="37"/>
  <c r="AP141" i="37"/>
  <c r="AN141" i="37"/>
  <c r="AL141" i="37"/>
  <c r="AJ141" i="37"/>
  <c r="AH141" i="37"/>
  <c r="AF141" i="37"/>
  <c r="AD141" i="37"/>
  <c r="AB141" i="37"/>
  <c r="AX140" i="37"/>
  <c r="AV140" i="37"/>
  <c r="AT140" i="37"/>
  <c r="AR140" i="37"/>
  <c r="AP140" i="37"/>
  <c r="AN140" i="37"/>
  <c r="AL140" i="37"/>
  <c r="AJ140" i="37"/>
  <c r="AH140" i="37"/>
  <c r="AF140" i="37"/>
  <c r="AD140" i="37"/>
  <c r="AB140" i="37"/>
  <c r="AX139" i="37"/>
  <c r="AV139" i="37"/>
  <c r="AT139" i="37"/>
  <c r="AR139" i="37"/>
  <c r="AP139" i="37"/>
  <c r="AN139" i="37"/>
  <c r="AL139" i="37"/>
  <c r="AJ139" i="37"/>
  <c r="AH139" i="37"/>
  <c r="AF139" i="37"/>
  <c r="AD139" i="37"/>
  <c r="AB139" i="37"/>
  <c r="AX138" i="37"/>
  <c r="AV138" i="37"/>
  <c r="AT138" i="37"/>
  <c r="AR138" i="37"/>
  <c r="AP138" i="37"/>
  <c r="AN138" i="37"/>
  <c r="AL138" i="37"/>
  <c r="AJ138" i="37"/>
  <c r="AH138" i="37"/>
  <c r="AF138" i="37"/>
  <c r="AD138" i="37"/>
  <c r="AB138" i="37"/>
  <c r="AX137" i="37"/>
  <c r="AV137" i="37"/>
  <c r="AT137" i="37"/>
  <c r="AR137" i="37"/>
  <c r="AP137" i="37"/>
  <c r="AN137" i="37"/>
  <c r="AL137" i="37"/>
  <c r="AJ137" i="37"/>
  <c r="AH137" i="37"/>
  <c r="AF137" i="37"/>
  <c r="AD137" i="37"/>
  <c r="AB137" i="37"/>
  <c r="AX136" i="37"/>
  <c r="AV136" i="37"/>
  <c r="AT136" i="37"/>
  <c r="AR136" i="37"/>
  <c r="AP136" i="37"/>
  <c r="AN136" i="37"/>
  <c r="AL136" i="37"/>
  <c r="AJ136" i="37"/>
  <c r="AH136" i="37"/>
  <c r="AF136" i="37"/>
  <c r="AD136" i="37"/>
  <c r="AB136" i="37"/>
  <c r="AX135" i="37"/>
  <c r="AV135" i="37"/>
  <c r="AT135" i="37"/>
  <c r="AR135" i="37"/>
  <c r="AP135" i="37"/>
  <c r="AN135" i="37"/>
  <c r="AL135" i="37"/>
  <c r="AJ135" i="37"/>
  <c r="AH135" i="37"/>
  <c r="AF135" i="37"/>
  <c r="AD135" i="37"/>
  <c r="AB135" i="37"/>
  <c r="AX134" i="37"/>
  <c r="AV134" i="37"/>
  <c r="AT134" i="37"/>
  <c r="AR134" i="37"/>
  <c r="AP134" i="37"/>
  <c r="AN134" i="37"/>
  <c r="AL134" i="37"/>
  <c r="AJ134" i="37"/>
  <c r="AH134" i="37"/>
  <c r="AF134" i="37"/>
  <c r="AD134" i="37"/>
  <c r="AB134" i="37"/>
  <c r="AX133" i="37"/>
  <c r="AV133" i="37"/>
  <c r="AT133" i="37"/>
  <c r="AR133" i="37"/>
  <c r="AP133" i="37"/>
  <c r="AN133" i="37"/>
  <c r="AL133" i="37"/>
  <c r="AJ133" i="37"/>
  <c r="AH133" i="37"/>
  <c r="AF133" i="37"/>
  <c r="AD133" i="37"/>
  <c r="AB133" i="37"/>
  <c r="AX132" i="37"/>
  <c r="AV132" i="37"/>
  <c r="AT132" i="37"/>
  <c r="AR132" i="37"/>
  <c r="AP132" i="37"/>
  <c r="AN132" i="37"/>
  <c r="AL132" i="37"/>
  <c r="AJ132" i="37"/>
  <c r="AH132" i="37"/>
  <c r="AF132" i="37"/>
  <c r="AD132" i="37"/>
  <c r="AB132" i="37"/>
  <c r="AX131" i="37"/>
  <c r="AV131" i="37"/>
  <c r="AT131" i="37"/>
  <c r="AR131" i="37"/>
  <c r="AP131" i="37"/>
  <c r="AN131" i="37"/>
  <c r="AL131" i="37"/>
  <c r="AJ131" i="37"/>
  <c r="AH131" i="37"/>
  <c r="AF131" i="37"/>
  <c r="AD131" i="37"/>
  <c r="AB131" i="37"/>
  <c r="AX130" i="37"/>
  <c r="AV130" i="37"/>
  <c r="AT130" i="37"/>
  <c r="AR130" i="37"/>
  <c r="AP130" i="37"/>
  <c r="AN130" i="37"/>
  <c r="AL130" i="37"/>
  <c r="AJ130" i="37"/>
  <c r="AH130" i="37"/>
  <c r="AF130" i="37"/>
  <c r="AD130" i="37"/>
  <c r="AB130" i="37"/>
  <c r="AX129" i="37"/>
  <c r="AV129" i="37"/>
  <c r="AT129" i="37"/>
  <c r="AR129" i="37"/>
  <c r="AP129" i="37"/>
  <c r="AN129" i="37"/>
  <c r="AL129" i="37"/>
  <c r="AJ129" i="37"/>
  <c r="AH129" i="37"/>
  <c r="AF129" i="37"/>
  <c r="AD129" i="37"/>
  <c r="AB129" i="37"/>
  <c r="AX128" i="37"/>
  <c r="AV128" i="37"/>
  <c r="AT128" i="37"/>
  <c r="AR128" i="37"/>
  <c r="AP128" i="37"/>
  <c r="AN128" i="37"/>
  <c r="AL128" i="37"/>
  <c r="AJ128" i="37"/>
  <c r="AH128" i="37"/>
  <c r="AF128" i="37"/>
  <c r="AD128" i="37"/>
  <c r="AB128" i="37"/>
  <c r="AX127" i="37"/>
  <c r="AV127" i="37"/>
  <c r="AT127" i="37"/>
  <c r="AR127" i="37"/>
  <c r="AP127" i="37"/>
  <c r="AN127" i="37"/>
  <c r="AL127" i="37"/>
  <c r="AJ127" i="37"/>
  <c r="AH127" i="37"/>
  <c r="AF127" i="37"/>
  <c r="AD127" i="37"/>
  <c r="AB127" i="37"/>
  <c r="AX126" i="37"/>
  <c r="AV126" i="37"/>
  <c r="AT126" i="37"/>
  <c r="AR126" i="37"/>
  <c r="AP126" i="37"/>
  <c r="AN126" i="37"/>
  <c r="AL126" i="37"/>
  <c r="AJ126" i="37"/>
  <c r="AH126" i="37"/>
  <c r="AF126" i="37"/>
  <c r="AD126" i="37"/>
  <c r="AB126" i="37"/>
  <c r="AX125" i="37"/>
  <c r="AV125" i="37"/>
  <c r="AT125" i="37"/>
  <c r="AR125" i="37"/>
  <c r="AP125" i="37"/>
  <c r="AN125" i="37"/>
  <c r="AL125" i="37"/>
  <c r="AJ125" i="37"/>
  <c r="AH125" i="37"/>
  <c r="AF125" i="37"/>
  <c r="AD125" i="37"/>
  <c r="AB125" i="37"/>
  <c r="AX124" i="37"/>
  <c r="AV124" i="37"/>
  <c r="AT124" i="37"/>
  <c r="AR124" i="37"/>
  <c r="AP124" i="37"/>
  <c r="AN124" i="37"/>
  <c r="AL124" i="37"/>
  <c r="AJ124" i="37"/>
  <c r="AH124" i="37"/>
  <c r="AF124" i="37"/>
  <c r="AD124" i="37"/>
  <c r="AB124" i="37"/>
  <c r="AX123" i="37"/>
  <c r="AV123" i="37"/>
  <c r="AT123" i="37"/>
  <c r="AR123" i="37"/>
  <c r="AP123" i="37"/>
  <c r="AN123" i="37"/>
  <c r="AL123" i="37"/>
  <c r="AJ123" i="37"/>
  <c r="AH123" i="37"/>
  <c r="AF123" i="37"/>
  <c r="AD123" i="37"/>
  <c r="AB123" i="37"/>
  <c r="AX122" i="37"/>
  <c r="AV122" i="37"/>
  <c r="AT122" i="37"/>
  <c r="AR122" i="37"/>
  <c r="AP122" i="37"/>
  <c r="AN122" i="37"/>
  <c r="AL122" i="37"/>
  <c r="AJ122" i="37"/>
  <c r="AH122" i="37"/>
  <c r="AF122" i="37"/>
  <c r="AD122" i="37"/>
  <c r="AB122" i="37"/>
  <c r="AX121" i="37"/>
  <c r="AV121" i="37"/>
  <c r="AT121" i="37"/>
  <c r="AR121" i="37"/>
  <c r="AP121" i="37"/>
  <c r="AN121" i="37"/>
  <c r="AL121" i="37"/>
  <c r="AJ121" i="37"/>
  <c r="AH121" i="37"/>
  <c r="AF121" i="37"/>
  <c r="AD121" i="37"/>
  <c r="AB121" i="37"/>
  <c r="AX120" i="37"/>
  <c r="AV120" i="37"/>
  <c r="AT120" i="37"/>
  <c r="AR120" i="37"/>
  <c r="AP120" i="37"/>
  <c r="AN120" i="37"/>
  <c r="AL120" i="37"/>
  <c r="AJ120" i="37"/>
  <c r="AH120" i="37"/>
  <c r="AF120" i="37"/>
  <c r="AD120" i="37"/>
  <c r="AB120" i="37"/>
  <c r="AX119" i="37"/>
  <c r="AV119" i="37"/>
  <c r="AT119" i="37"/>
  <c r="AR119" i="37"/>
  <c r="AP119" i="37"/>
  <c r="AN119" i="37"/>
  <c r="AL119" i="37"/>
  <c r="AJ119" i="37"/>
  <c r="AH119" i="37"/>
  <c r="AF119" i="37"/>
  <c r="AD119" i="37"/>
  <c r="AB119" i="37"/>
  <c r="AX118" i="37"/>
  <c r="AV118" i="37"/>
  <c r="AT118" i="37"/>
  <c r="AR118" i="37"/>
  <c r="AP118" i="37"/>
  <c r="AN118" i="37"/>
  <c r="AL118" i="37"/>
  <c r="AJ118" i="37"/>
  <c r="AH118" i="37"/>
  <c r="AF118" i="37"/>
  <c r="AD118" i="37"/>
  <c r="AB118" i="37"/>
  <c r="AX117" i="37"/>
  <c r="AV117" i="37"/>
  <c r="AT117" i="37"/>
  <c r="AR117" i="37"/>
  <c r="AP117" i="37"/>
  <c r="AN117" i="37"/>
  <c r="AL117" i="37"/>
  <c r="AJ117" i="37"/>
  <c r="AH117" i="37"/>
  <c r="AF117" i="37"/>
  <c r="AD117" i="37"/>
  <c r="AB117" i="37"/>
  <c r="AX116" i="37"/>
  <c r="AV116" i="37"/>
  <c r="AT116" i="37"/>
  <c r="AR116" i="37"/>
  <c r="AP116" i="37"/>
  <c r="AN116" i="37"/>
  <c r="AL116" i="37"/>
  <c r="AJ116" i="37"/>
  <c r="AH116" i="37"/>
  <c r="AF116" i="37"/>
  <c r="AD116" i="37"/>
  <c r="AB116" i="37"/>
  <c r="AX115" i="37"/>
  <c r="AV115" i="37"/>
  <c r="AT115" i="37"/>
  <c r="AR115" i="37"/>
  <c r="AP115" i="37"/>
  <c r="AN115" i="37"/>
  <c r="AL115" i="37"/>
  <c r="AJ115" i="37"/>
  <c r="AH115" i="37"/>
  <c r="AF115" i="37"/>
  <c r="AD115" i="37"/>
  <c r="AB115" i="37"/>
  <c r="AX114" i="37"/>
  <c r="AV114" i="37"/>
  <c r="AT114" i="37"/>
  <c r="AR114" i="37"/>
  <c r="AP114" i="37"/>
  <c r="AN114" i="37"/>
  <c r="AL114" i="37"/>
  <c r="AJ114" i="37"/>
  <c r="AH114" i="37"/>
  <c r="AF114" i="37"/>
  <c r="AD114" i="37"/>
  <c r="AB114" i="37"/>
  <c r="AY114" i="37"/>
  <c r="BB114" i="37" s="1"/>
  <c r="AX113" i="37"/>
  <c r="AV113" i="37"/>
  <c r="AT113" i="37"/>
  <c r="AR113" i="37"/>
  <c r="AP113" i="37"/>
  <c r="AN113" i="37"/>
  <c r="AL113" i="37"/>
  <c r="AJ113" i="37"/>
  <c r="AH113" i="37"/>
  <c r="AF113" i="37"/>
  <c r="AD113" i="37"/>
  <c r="AB113" i="37"/>
  <c r="AX112" i="37"/>
  <c r="AV112" i="37"/>
  <c r="AT112" i="37"/>
  <c r="AR112" i="37"/>
  <c r="AP112" i="37"/>
  <c r="AN112" i="37"/>
  <c r="AL112" i="37"/>
  <c r="AJ112" i="37"/>
  <c r="AH112" i="37"/>
  <c r="AF112" i="37"/>
  <c r="AD112" i="37"/>
  <c r="AB112" i="37"/>
  <c r="AX111" i="37"/>
  <c r="AV111" i="37"/>
  <c r="AT111" i="37"/>
  <c r="AR111" i="37"/>
  <c r="AP111" i="37"/>
  <c r="AN111" i="37"/>
  <c r="AL111" i="37"/>
  <c r="AJ111" i="37"/>
  <c r="AH111" i="37"/>
  <c r="AF111" i="37"/>
  <c r="AD111" i="37"/>
  <c r="AB111" i="37"/>
  <c r="AX110" i="37"/>
  <c r="AV110" i="37"/>
  <c r="AT110" i="37"/>
  <c r="AR110" i="37"/>
  <c r="AP110" i="37"/>
  <c r="AN110" i="37"/>
  <c r="AL110" i="37"/>
  <c r="AJ110" i="37"/>
  <c r="AH110" i="37"/>
  <c r="AF110" i="37"/>
  <c r="AD110" i="37"/>
  <c r="AB110" i="37"/>
  <c r="AX109" i="37"/>
  <c r="AV109" i="37"/>
  <c r="AT109" i="37"/>
  <c r="AR109" i="37"/>
  <c r="AP109" i="37"/>
  <c r="AN109" i="37"/>
  <c r="AL109" i="37"/>
  <c r="AJ109" i="37"/>
  <c r="AH109" i="37"/>
  <c r="AF109" i="37"/>
  <c r="AD109" i="37"/>
  <c r="AB109" i="37"/>
  <c r="AY109" i="37"/>
  <c r="BB109" i="37" s="1"/>
  <c r="AX108" i="37"/>
  <c r="AV108" i="37"/>
  <c r="AT108" i="37"/>
  <c r="AR108" i="37"/>
  <c r="AP108" i="37"/>
  <c r="AN108" i="37"/>
  <c r="AL108" i="37"/>
  <c r="AJ108" i="37"/>
  <c r="AH108" i="37"/>
  <c r="AF108" i="37"/>
  <c r="AD108" i="37"/>
  <c r="AB108" i="37"/>
  <c r="AX107" i="37"/>
  <c r="AV107" i="37"/>
  <c r="AT107" i="37"/>
  <c r="AR107" i="37"/>
  <c r="AP107" i="37"/>
  <c r="AN107" i="37"/>
  <c r="AL107" i="37"/>
  <c r="AJ107" i="37"/>
  <c r="AH107" i="37"/>
  <c r="AF107" i="37"/>
  <c r="AD107" i="37"/>
  <c r="AB107" i="37"/>
  <c r="AX106" i="37"/>
  <c r="AV106" i="37"/>
  <c r="AT106" i="37"/>
  <c r="AR106" i="37"/>
  <c r="AP106" i="37"/>
  <c r="AN106" i="37"/>
  <c r="AL106" i="37"/>
  <c r="AJ106" i="37"/>
  <c r="AH106" i="37"/>
  <c r="AF106" i="37"/>
  <c r="AD106" i="37"/>
  <c r="AB106" i="37"/>
  <c r="AX105" i="37"/>
  <c r="AV105" i="37"/>
  <c r="AT105" i="37"/>
  <c r="AR105" i="37"/>
  <c r="AP105" i="37"/>
  <c r="AN105" i="37"/>
  <c r="AL105" i="37"/>
  <c r="AJ105" i="37"/>
  <c r="AH105" i="37"/>
  <c r="AF105" i="37"/>
  <c r="AD105" i="37"/>
  <c r="AB105" i="37"/>
  <c r="AX104" i="37"/>
  <c r="AV104" i="37"/>
  <c r="AT104" i="37"/>
  <c r="AR104" i="37"/>
  <c r="AP104" i="37"/>
  <c r="AN104" i="37"/>
  <c r="AL104" i="37"/>
  <c r="AJ104" i="37"/>
  <c r="AH104" i="37"/>
  <c r="AF104" i="37"/>
  <c r="AD104" i="37"/>
  <c r="AB104" i="37"/>
  <c r="AX103" i="37"/>
  <c r="AV103" i="37"/>
  <c r="AT103" i="37"/>
  <c r="AR103" i="37"/>
  <c r="AP103" i="37"/>
  <c r="AN103" i="37"/>
  <c r="AL103" i="37"/>
  <c r="AJ103" i="37"/>
  <c r="AH103" i="37"/>
  <c r="AF103" i="37"/>
  <c r="AD103" i="37"/>
  <c r="AB103" i="37"/>
  <c r="AX102" i="37"/>
  <c r="AV102" i="37"/>
  <c r="AT102" i="37"/>
  <c r="AR102" i="37"/>
  <c r="AP102" i="37"/>
  <c r="AN102" i="37"/>
  <c r="AL102" i="37"/>
  <c r="AJ102" i="37"/>
  <c r="AH102" i="37"/>
  <c r="AF102" i="37"/>
  <c r="AD102" i="37"/>
  <c r="AB102" i="37"/>
  <c r="AX101" i="37"/>
  <c r="AV101" i="37"/>
  <c r="AT101" i="37"/>
  <c r="AR101" i="37"/>
  <c r="AP101" i="37"/>
  <c r="AN101" i="37"/>
  <c r="AL101" i="37"/>
  <c r="AJ101" i="37"/>
  <c r="AH101" i="37"/>
  <c r="AF101" i="37"/>
  <c r="AD101" i="37"/>
  <c r="AB101" i="37"/>
  <c r="AX100" i="37"/>
  <c r="AV100" i="37"/>
  <c r="AT100" i="37"/>
  <c r="AR100" i="37"/>
  <c r="AP100" i="37"/>
  <c r="AN100" i="37"/>
  <c r="AL100" i="37"/>
  <c r="AJ100" i="37"/>
  <c r="AH100" i="37"/>
  <c r="AF100" i="37"/>
  <c r="AD100" i="37"/>
  <c r="AB100" i="37"/>
  <c r="AX99" i="37"/>
  <c r="AV99" i="37"/>
  <c r="AT99" i="37"/>
  <c r="AR99" i="37"/>
  <c r="AP99" i="37"/>
  <c r="AN99" i="37"/>
  <c r="AL99" i="37"/>
  <c r="AJ99" i="37"/>
  <c r="AH99" i="37"/>
  <c r="AF99" i="37"/>
  <c r="AD99" i="37"/>
  <c r="AB99" i="37"/>
  <c r="AX98" i="37"/>
  <c r="AV98" i="37"/>
  <c r="AT98" i="37"/>
  <c r="AR98" i="37"/>
  <c r="AP98" i="37"/>
  <c r="AN98" i="37"/>
  <c r="AL98" i="37"/>
  <c r="AJ98" i="37"/>
  <c r="AH98" i="37"/>
  <c r="AF98" i="37"/>
  <c r="AD98" i="37"/>
  <c r="AB98" i="37"/>
  <c r="AX97" i="37"/>
  <c r="AV97" i="37"/>
  <c r="AT97" i="37"/>
  <c r="AR97" i="37"/>
  <c r="AP97" i="37"/>
  <c r="AN97" i="37"/>
  <c r="AL97" i="37"/>
  <c r="AJ97" i="37"/>
  <c r="AH97" i="37"/>
  <c r="AF97" i="37"/>
  <c r="AD97" i="37"/>
  <c r="AB97" i="37"/>
  <c r="AX96" i="37"/>
  <c r="AV96" i="37"/>
  <c r="AT96" i="37"/>
  <c r="AR96" i="37"/>
  <c r="AP96" i="37"/>
  <c r="AN96" i="37"/>
  <c r="AL96" i="37"/>
  <c r="AJ96" i="37"/>
  <c r="AH96" i="37"/>
  <c r="AF96" i="37"/>
  <c r="AD96" i="37"/>
  <c r="AB96" i="37"/>
  <c r="AX95" i="37"/>
  <c r="AV95" i="37"/>
  <c r="AT95" i="37"/>
  <c r="AR95" i="37"/>
  <c r="AP95" i="37"/>
  <c r="AN95" i="37"/>
  <c r="AL95" i="37"/>
  <c r="AJ95" i="37"/>
  <c r="AH95" i="37"/>
  <c r="AF95" i="37"/>
  <c r="AD95" i="37"/>
  <c r="AB95" i="37"/>
  <c r="AX94" i="37"/>
  <c r="AV94" i="37"/>
  <c r="AT94" i="37"/>
  <c r="AR94" i="37"/>
  <c r="AP94" i="37"/>
  <c r="AN94" i="37"/>
  <c r="AL94" i="37"/>
  <c r="AJ94" i="37"/>
  <c r="AH94" i="37"/>
  <c r="AF94" i="37"/>
  <c r="AD94" i="37"/>
  <c r="AB94" i="37"/>
  <c r="AX93" i="37"/>
  <c r="AV93" i="37"/>
  <c r="AT93" i="37"/>
  <c r="AR93" i="37"/>
  <c r="AP93" i="37"/>
  <c r="AN93" i="37"/>
  <c r="AL93" i="37"/>
  <c r="AJ93" i="37"/>
  <c r="AH93" i="37"/>
  <c r="AF93" i="37"/>
  <c r="AD93" i="37"/>
  <c r="AB93" i="37"/>
  <c r="AX92" i="37"/>
  <c r="AV92" i="37"/>
  <c r="AT92" i="37"/>
  <c r="AR92" i="37"/>
  <c r="AP92" i="37"/>
  <c r="AN92" i="37"/>
  <c r="AL92" i="37"/>
  <c r="AJ92" i="37"/>
  <c r="AH92" i="37"/>
  <c r="AF92" i="37"/>
  <c r="AD92" i="37"/>
  <c r="AB92" i="37"/>
  <c r="AX91" i="37"/>
  <c r="AV91" i="37"/>
  <c r="AT91" i="37"/>
  <c r="AR91" i="37"/>
  <c r="AP91" i="37"/>
  <c r="AN91" i="37"/>
  <c r="AL91" i="37"/>
  <c r="AJ91" i="37"/>
  <c r="AH91" i="37"/>
  <c r="AF91" i="37"/>
  <c r="AD91" i="37"/>
  <c r="AB91" i="37"/>
  <c r="AX90" i="37"/>
  <c r="AV90" i="37"/>
  <c r="AT90" i="37"/>
  <c r="AR90" i="37"/>
  <c r="AP90" i="37"/>
  <c r="AN90" i="37"/>
  <c r="AL90" i="37"/>
  <c r="AJ90" i="37"/>
  <c r="AH90" i="37"/>
  <c r="AF90" i="37"/>
  <c r="AD90" i="37"/>
  <c r="AB90" i="37"/>
  <c r="AX89" i="37"/>
  <c r="AV89" i="37"/>
  <c r="AT89" i="37"/>
  <c r="AR89" i="37"/>
  <c r="AP89" i="37"/>
  <c r="AN89" i="37"/>
  <c r="AL89" i="37"/>
  <c r="AJ89" i="37"/>
  <c r="AH89" i="37"/>
  <c r="AF89" i="37"/>
  <c r="AD89" i="37"/>
  <c r="AB89" i="37"/>
  <c r="AX88" i="37"/>
  <c r="AV88" i="37"/>
  <c r="AT88" i="37"/>
  <c r="AR88" i="37"/>
  <c r="AP88" i="37"/>
  <c r="AN88" i="37"/>
  <c r="AL88" i="37"/>
  <c r="AJ88" i="37"/>
  <c r="AH88" i="37"/>
  <c r="AF88" i="37"/>
  <c r="AD88" i="37"/>
  <c r="AB88" i="37"/>
  <c r="AX87" i="37"/>
  <c r="AV87" i="37"/>
  <c r="AT87" i="37"/>
  <c r="AR87" i="37"/>
  <c r="AP87" i="37"/>
  <c r="AN87" i="37"/>
  <c r="AL87" i="37"/>
  <c r="AJ87" i="37"/>
  <c r="AH87" i="37"/>
  <c r="AF87" i="37"/>
  <c r="AD87" i="37"/>
  <c r="AB87" i="37"/>
  <c r="AX86" i="37"/>
  <c r="AV86" i="37"/>
  <c r="AT86" i="37"/>
  <c r="AR86" i="37"/>
  <c r="AP86" i="37"/>
  <c r="AN86" i="37"/>
  <c r="AL86" i="37"/>
  <c r="AJ86" i="37"/>
  <c r="AH86" i="37"/>
  <c r="AF86" i="37"/>
  <c r="AD86" i="37"/>
  <c r="AB86" i="37"/>
  <c r="AX85" i="37"/>
  <c r="AV85" i="37"/>
  <c r="AT85" i="37"/>
  <c r="AR85" i="37"/>
  <c r="AP85" i="37"/>
  <c r="AN85" i="37"/>
  <c r="AL85" i="37"/>
  <c r="AJ85" i="37"/>
  <c r="AH85" i="37"/>
  <c r="AF85" i="37"/>
  <c r="AD85" i="37"/>
  <c r="AB85" i="37"/>
  <c r="AX84" i="37"/>
  <c r="AV84" i="37"/>
  <c r="AT84" i="37"/>
  <c r="AR84" i="37"/>
  <c r="AP84" i="37"/>
  <c r="AN84" i="37"/>
  <c r="AL84" i="37"/>
  <c r="AJ84" i="37"/>
  <c r="AH84" i="37"/>
  <c r="AF84" i="37"/>
  <c r="AD84" i="37"/>
  <c r="AB84" i="37"/>
  <c r="AX83" i="37"/>
  <c r="AV83" i="37"/>
  <c r="AT83" i="37"/>
  <c r="AR83" i="37"/>
  <c r="AP83" i="37"/>
  <c r="AN83" i="37"/>
  <c r="AL83" i="37"/>
  <c r="AJ83" i="37"/>
  <c r="AH83" i="37"/>
  <c r="AF83" i="37"/>
  <c r="AD83" i="37"/>
  <c r="AB83" i="37"/>
  <c r="AX82" i="37"/>
  <c r="AV82" i="37"/>
  <c r="AT82" i="37"/>
  <c r="AR82" i="37"/>
  <c r="AP82" i="37"/>
  <c r="AN82" i="37"/>
  <c r="AL82" i="37"/>
  <c r="AJ82" i="37"/>
  <c r="AH82" i="37"/>
  <c r="AF82" i="37"/>
  <c r="AD82" i="37"/>
  <c r="AB82" i="37"/>
  <c r="AX81" i="37"/>
  <c r="AV81" i="37"/>
  <c r="AT81" i="37"/>
  <c r="AR81" i="37"/>
  <c r="AP81" i="37"/>
  <c r="AN81" i="37"/>
  <c r="AL81" i="37"/>
  <c r="AJ81" i="37"/>
  <c r="AH81" i="37"/>
  <c r="AF81" i="37"/>
  <c r="AD81" i="37"/>
  <c r="AB81" i="37"/>
  <c r="AX80" i="37"/>
  <c r="AV80" i="37"/>
  <c r="AT80" i="37"/>
  <c r="AR80" i="37"/>
  <c r="AP80" i="37"/>
  <c r="AN80" i="37"/>
  <c r="AL80" i="37"/>
  <c r="AJ80" i="37"/>
  <c r="AH80" i="37"/>
  <c r="AF80" i="37"/>
  <c r="AD80" i="37"/>
  <c r="AB80" i="37"/>
  <c r="AX79" i="37"/>
  <c r="AV79" i="37"/>
  <c r="AT79" i="37"/>
  <c r="AR79" i="37"/>
  <c r="AP79" i="37"/>
  <c r="AN79" i="37"/>
  <c r="AL79" i="37"/>
  <c r="AJ79" i="37"/>
  <c r="AH79" i="37"/>
  <c r="AF79" i="37"/>
  <c r="AD79" i="37"/>
  <c r="AB79" i="37"/>
  <c r="AX78" i="37"/>
  <c r="AV78" i="37"/>
  <c r="AT78" i="37"/>
  <c r="AR78" i="37"/>
  <c r="AP78" i="37"/>
  <c r="AN78" i="37"/>
  <c r="AL78" i="37"/>
  <c r="AJ78" i="37"/>
  <c r="AH78" i="37"/>
  <c r="AF78" i="37"/>
  <c r="AD78" i="37"/>
  <c r="AB78" i="37"/>
  <c r="AX77" i="37"/>
  <c r="AV77" i="37"/>
  <c r="AT77" i="37"/>
  <c r="AR77" i="37"/>
  <c r="AP77" i="37"/>
  <c r="AN77" i="37"/>
  <c r="AL77" i="37"/>
  <c r="AJ77" i="37"/>
  <c r="AH77" i="37"/>
  <c r="AF77" i="37"/>
  <c r="AD77" i="37"/>
  <c r="AB77" i="37"/>
  <c r="AX76" i="37"/>
  <c r="AV76" i="37"/>
  <c r="AT76" i="37"/>
  <c r="AR76" i="37"/>
  <c r="AP76" i="37"/>
  <c r="AN76" i="37"/>
  <c r="AL76" i="37"/>
  <c r="AJ76" i="37"/>
  <c r="AH76" i="37"/>
  <c r="AF76" i="37"/>
  <c r="AD76" i="37"/>
  <c r="AB76" i="37"/>
  <c r="AX75" i="37"/>
  <c r="AV75" i="37"/>
  <c r="AT75" i="37"/>
  <c r="AR75" i="37"/>
  <c r="AP75" i="37"/>
  <c r="AN75" i="37"/>
  <c r="AL75" i="37"/>
  <c r="AJ75" i="37"/>
  <c r="AH75" i="37"/>
  <c r="AF75" i="37"/>
  <c r="AD75" i="37"/>
  <c r="AB75" i="37"/>
  <c r="AX74" i="37"/>
  <c r="AV74" i="37"/>
  <c r="AT74" i="37"/>
  <c r="AR74" i="37"/>
  <c r="AP74" i="37"/>
  <c r="AN74" i="37"/>
  <c r="AL74" i="37"/>
  <c r="AJ74" i="37"/>
  <c r="AH74" i="37"/>
  <c r="AF74" i="37"/>
  <c r="AD74" i="37"/>
  <c r="AB74" i="37"/>
  <c r="AX73" i="37"/>
  <c r="AV73" i="37"/>
  <c r="AT73" i="37"/>
  <c r="AR73" i="37"/>
  <c r="AP73" i="37"/>
  <c r="AN73" i="37"/>
  <c r="AL73" i="37"/>
  <c r="AJ73" i="37"/>
  <c r="AH73" i="37"/>
  <c r="AF73" i="37"/>
  <c r="AD73" i="37"/>
  <c r="AB73" i="37"/>
  <c r="AX72" i="37"/>
  <c r="AV72" i="37"/>
  <c r="AT72" i="37"/>
  <c r="AR72" i="37"/>
  <c r="AP72" i="37"/>
  <c r="AN72" i="37"/>
  <c r="AL72" i="37"/>
  <c r="AJ72" i="37"/>
  <c r="AH72" i="37"/>
  <c r="AF72" i="37"/>
  <c r="AD72" i="37"/>
  <c r="AB72" i="37"/>
  <c r="AX71" i="37"/>
  <c r="AV71" i="37"/>
  <c r="AT71" i="37"/>
  <c r="AR71" i="37"/>
  <c r="AP71" i="37"/>
  <c r="AN71" i="37"/>
  <c r="AL71" i="37"/>
  <c r="AJ71" i="37"/>
  <c r="AH71" i="37"/>
  <c r="AF71" i="37"/>
  <c r="AD71" i="37"/>
  <c r="AB71" i="37"/>
  <c r="AX70" i="37"/>
  <c r="AV70" i="37"/>
  <c r="AT70" i="37"/>
  <c r="AR70" i="37"/>
  <c r="AP70" i="37"/>
  <c r="AN70" i="37"/>
  <c r="AL70" i="37"/>
  <c r="AJ70" i="37"/>
  <c r="AH70" i="37"/>
  <c r="AF70" i="37"/>
  <c r="AD70" i="37"/>
  <c r="AB70" i="37"/>
  <c r="AX69" i="37"/>
  <c r="AV69" i="37"/>
  <c r="AT69" i="37"/>
  <c r="AR69" i="37"/>
  <c r="AP69" i="37"/>
  <c r="AN69" i="37"/>
  <c r="AL69" i="37"/>
  <c r="AJ69" i="37"/>
  <c r="AH69" i="37"/>
  <c r="AF69" i="37"/>
  <c r="AD69" i="37"/>
  <c r="AB69" i="37"/>
  <c r="AX68" i="37"/>
  <c r="AV68" i="37"/>
  <c r="AT68" i="37"/>
  <c r="AR68" i="37"/>
  <c r="AP68" i="37"/>
  <c r="AN68" i="37"/>
  <c r="AL68" i="37"/>
  <c r="AJ68" i="37"/>
  <c r="AH68" i="37"/>
  <c r="AF68" i="37"/>
  <c r="AD68" i="37"/>
  <c r="AB68" i="37"/>
  <c r="AX67" i="37"/>
  <c r="AV67" i="37"/>
  <c r="AT67" i="37"/>
  <c r="AR67" i="37"/>
  <c r="AP67" i="37"/>
  <c r="AN67" i="37"/>
  <c r="AL67" i="37"/>
  <c r="AJ67" i="37"/>
  <c r="AH67" i="37"/>
  <c r="AF67" i="37"/>
  <c r="AD67" i="37"/>
  <c r="AB67" i="37"/>
  <c r="AX66" i="37"/>
  <c r="AV66" i="37"/>
  <c r="AT66" i="37"/>
  <c r="AR66" i="37"/>
  <c r="AP66" i="37"/>
  <c r="AN66" i="37"/>
  <c r="AL66" i="37"/>
  <c r="AJ66" i="37"/>
  <c r="AH66" i="37"/>
  <c r="AF66" i="37"/>
  <c r="AD66" i="37"/>
  <c r="AB66" i="37"/>
  <c r="AX65" i="37"/>
  <c r="AV65" i="37"/>
  <c r="AT65" i="37"/>
  <c r="AR65" i="37"/>
  <c r="AP65" i="37"/>
  <c r="AN65" i="37"/>
  <c r="AL65" i="37"/>
  <c r="AJ65" i="37"/>
  <c r="AH65" i="37"/>
  <c r="AF65" i="37"/>
  <c r="AD65" i="37"/>
  <c r="AB65" i="37"/>
  <c r="AX64" i="37"/>
  <c r="AV64" i="37"/>
  <c r="AT64" i="37"/>
  <c r="AR64" i="37"/>
  <c r="AP64" i="37"/>
  <c r="AN64" i="37"/>
  <c r="AL64" i="37"/>
  <c r="AJ64" i="37"/>
  <c r="AH64" i="37"/>
  <c r="AF64" i="37"/>
  <c r="AD64" i="37"/>
  <c r="AB64" i="37"/>
  <c r="AX63" i="37"/>
  <c r="AV63" i="37"/>
  <c r="AT63" i="37"/>
  <c r="AR63" i="37"/>
  <c r="AP63" i="37"/>
  <c r="AN63" i="37"/>
  <c r="AL63" i="37"/>
  <c r="AJ63" i="37"/>
  <c r="AH63" i="37"/>
  <c r="AF63" i="37"/>
  <c r="AD63" i="37"/>
  <c r="AB63" i="37"/>
  <c r="AX62" i="37"/>
  <c r="AV62" i="37"/>
  <c r="AT62" i="37"/>
  <c r="AR62" i="37"/>
  <c r="AP62" i="37"/>
  <c r="AN62" i="37"/>
  <c r="AL62" i="37"/>
  <c r="AJ62" i="37"/>
  <c r="AH62" i="37"/>
  <c r="AF62" i="37"/>
  <c r="AD62" i="37"/>
  <c r="AB62" i="37"/>
  <c r="AX61" i="37"/>
  <c r="AV61" i="37"/>
  <c r="AT61" i="37"/>
  <c r="AR61" i="37"/>
  <c r="AP61" i="37"/>
  <c r="AN61" i="37"/>
  <c r="AL61" i="37"/>
  <c r="AJ61" i="37"/>
  <c r="AH61" i="37"/>
  <c r="AF61" i="37"/>
  <c r="AD61" i="37"/>
  <c r="AB61" i="37"/>
  <c r="AX60" i="37"/>
  <c r="AV60" i="37"/>
  <c r="AT60" i="37"/>
  <c r="AR60" i="37"/>
  <c r="AP60" i="37"/>
  <c r="AN60" i="37"/>
  <c r="AL60" i="37"/>
  <c r="AJ60" i="37"/>
  <c r="AY60" i="37" s="1"/>
  <c r="BB60" i="37" s="1"/>
  <c r="AH60" i="37"/>
  <c r="AF60" i="37"/>
  <c r="AD60" i="37"/>
  <c r="AB60" i="37"/>
  <c r="AX59" i="37"/>
  <c r="AV59" i="37"/>
  <c r="AT59" i="37"/>
  <c r="AR59" i="37"/>
  <c r="AP59" i="37"/>
  <c r="AN59" i="37"/>
  <c r="AL59" i="37"/>
  <c r="AJ59" i="37"/>
  <c r="AH59" i="37"/>
  <c r="AF59" i="37"/>
  <c r="AD59" i="37"/>
  <c r="AB59" i="37"/>
  <c r="AX58" i="37"/>
  <c r="AV58" i="37"/>
  <c r="AT58" i="37"/>
  <c r="AR58" i="37"/>
  <c r="AP58" i="37"/>
  <c r="AN58" i="37"/>
  <c r="AL58" i="37"/>
  <c r="AJ58" i="37"/>
  <c r="AH58" i="37"/>
  <c r="AF58" i="37"/>
  <c r="AD58" i="37"/>
  <c r="AB58" i="37"/>
  <c r="AX57" i="37"/>
  <c r="AV57" i="37"/>
  <c r="AT57" i="37"/>
  <c r="AR57" i="37"/>
  <c r="AP57" i="37"/>
  <c r="AN57" i="37"/>
  <c r="AL57" i="37"/>
  <c r="AJ57" i="37"/>
  <c r="AH57" i="37"/>
  <c r="AF57" i="37"/>
  <c r="AD57" i="37"/>
  <c r="AB57" i="37"/>
  <c r="AX56" i="37"/>
  <c r="AV56" i="37"/>
  <c r="AT56" i="37"/>
  <c r="AR56" i="37"/>
  <c r="AP56" i="37"/>
  <c r="AN56" i="37"/>
  <c r="AL56" i="37"/>
  <c r="AJ56" i="37"/>
  <c r="AH56" i="37"/>
  <c r="AF56" i="37"/>
  <c r="AD56" i="37"/>
  <c r="AB56" i="37"/>
  <c r="AX55" i="37"/>
  <c r="AV55" i="37"/>
  <c r="AT55" i="37"/>
  <c r="AR55" i="37"/>
  <c r="AP55" i="37"/>
  <c r="AN55" i="37"/>
  <c r="AL55" i="37"/>
  <c r="AJ55" i="37"/>
  <c r="AH55" i="37"/>
  <c r="AF55" i="37"/>
  <c r="AD55" i="37"/>
  <c r="AB55" i="37"/>
  <c r="AX54" i="37"/>
  <c r="AV54" i="37"/>
  <c r="AT54" i="37"/>
  <c r="AR54" i="37"/>
  <c r="AP54" i="37"/>
  <c r="AN54" i="37"/>
  <c r="AL54" i="37"/>
  <c r="AJ54" i="37"/>
  <c r="AH54" i="37"/>
  <c r="AF54" i="37"/>
  <c r="AD54" i="37"/>
  <c r="AB54" i="37"/>
  <c r="AX53" i="37"/>
  <c r="AV53" i="37"/>
  <c r="AT53" i="37"/>
  <c r="AR53" i="37"/>
  <c r="AP53" i="37"/>
  <c r="AN53" i="37"/>
  <c r="AL53" i="37"/>
  <c r="AJ53" i="37"/>
  <c r="AH53" i="37"/>
  <c r="AF53" i="37"/>
  <c r="AD53" i="37"/>
  <c r="AB53" i="37"/>
  <c r="AX52" i="37"/>
  <c r="AV52" i="37"/>
  <c r="AT52" i="37"/>
  <c r="AR52" i="37"/>
  <c r="AP52" i="37"/>
  <c r="AN52" i="37"/>
  <c r="AL52" i="37"/>
  <c r="AJ52" i="37"/>
  <c r="AY52" i="37" s="1"/>
  <c r="BB52" i="37" s="1"/>
  <c r="AH52" i="37"/>
  <c r="AF52" i="37"/>
  <c r="AD52" i="37"/>
  <c r="AB52" i="37"/>
  <c r="AX51" i="37"/>
  <c r="AV51" i="37"/>
  <c r="AT51" i="37"/>
  <c r="AR51" i="37"/>
  <c r="AP51" i="37"/>
  <c r="AN51" i="37"/>
  <c r="AL51" i="37"/>
  <c r="AJ51" i="37"/>
  <c r="AH51" i="37"/>
  <c r="AF51" i="37"/>
  <c r="AD51" i="37"/>
  <c r="AB51" i="37"/>
  <c r="AX50" i="37"/>
  <c r="AV50" i="37"/>
  <c r="AT50" i="37"/>
  <c r="AR50" i="37"/>
  <c r="AP50" i="37"/>
  <c r="AN50" i="37"/>
  <c r="AL50" i="37"/>
  <c r="AJ50" i="37"/>
  <c r="AH50" i="37"/>
  <c r="AF50" i="37"/>
  <c r="AD50" i="37"/>
  <c r="AB50" i="37"/>
  <c r="AX49" i="37"/>
  <c r="AV49" i="37"/>
  <c r="AT49" i="37"/>
  <c r="AR49" i="37"/>
  <c r="AP49" i="37"/>
  <c r="AN49" i="37"/>
  <c r="AL49" i="37"/>
  <c r="AJ49" i="37"/>
  <c r="AH49" i="37"/>
  <c r="AF49" i="37"/>
  <c r="AD49" i="37"/>
  <c r="AB49" i="37"/>
  <c r="AX48" i="37"/>
  <c r="AV48" i="37"/>
  <c r="AT48" i="37"/>
  <c r="AR48" i="37"/>
  <c r="AP48" i="37"/>
  <c r="AN48" i="37"/>
  <c r="AL48" i="37"/>
  <c r="AJ48" i="37"/>
  <c r="AH48" i="37"/>
  <c r="AF48" i="37"/>
  <c r="AD48" i="37"/>
  <c r="AB48" i="37"/>
  <c r="AX47" i="37"/>
  <c r="AV47" i="37"/>
  <c r="AT47" i="37"/>
  <c r="AR47" i="37"/>
  <c r="AP47" i="37"/>
  <c r="AN47" i="37"/>
  <c r="AL47" i="37"/>
  <c r="AJ47" i="37"/>
  <c r="AH47" i="37"/>
  <c r="AF47" i="37"/>
  <c r="AD47" i="37"/>
  <c r="AB47" i="37"/>
  <c r="AX46" i="37"/>
  <c r="AV46" i="37"/>
  <c r="AT46" i="37"/>
  <c r="AR46" i="37"/>
  <c r="AP46" i="37"/>
  <c r="AN46" i="37"/>
  <c r="AL46" i="37"/>
  <c r="AJ46" i="37"/>
  <c r="AH46" i="37"/>
  <c r="AF46" i="37"/>
  <c r="AD46" i="37"/>
  <c r="AB46" i="37"/>
  <c r="AX45" i="37"/>
  <c r="AV45" i="37"/>
  <c r="AT45" i="37"/>
  <c r="AR45" i="37"/>
  <c r="AP45" i="37"/>
  <c r="AN45" i="37"/>
  <c r="AL45" i="37"/>
  <c r="AJ45" i="37"/>
  <c r="AH45" i="37"/>
  <c r="AF45" i="37"/>
  <c r="AD45" i="37"/>
  <c r="AB45" i="37"/>
  <c r="AX44" i="37"/>
  <c r="AV44" i="37"/>
  <c r="AT44" i="37"/>
  <c r="AR44" i="37"/>
  <c r="AP44" i="37"/>
  <c r="AN44" i="37"/>
  <c r="AL44" i="37"/>
  <c r="AJ44" i="37"/>
  <c r="AY44" i="37" s="1"/>
  <c r="BB44" i="37" s="1"/>
  <c r="AH44" i="37"/>
  <c r="AF44" i="37"/>
  <c r="AD44" i="37"/>
  <c r="AB44" i="37"/>
  <c r="AX43" i="37"/>
  <c r="AV43" i="37"/>
  <c r="AT43" i="37"/>
  <c r="AR43" i="37"/>
  <c r="AP43" i="37"/>
  <c r="AN43" i="37"/>
  <c r="AL43" i="37"/>
  <c r="AJ43" i="37"/>
  <c r="AH43" i="37"/>
  <c r="AF43" i="37"/>
  <c r="AD43" i="37"/>
  <c r="AB43" i="37"/>
  <c r="AX42" i="37"/>
  <c r="AV42" i="37"/>
  <c r="AT42" i="37"/>
  <c r="AR42" i="37"/>
  <c r="AP42" i="37"/>
  <c r="AN42" i="37"/>
  <c r="AL42" i="37"/>
  <c r="AJ42" i="37"/>
  <c r="AH42" i="37"/>
  <c r="AF42" i="37"/>
  <c r="AD42" i="37"/>
  <c r="AB42" i="37"/>
  <c r="AX41" i="37"/>
  <c r="AV41" i="37"/>
  <c r="AT41" i="37"/>
  <c r="AR41" i="37"/>
  <c r="AP41" i="37"/>
  <c r="AN41" i="37"/>
  <c r="AL41" i="37"/>
  <c r="AJ41" i="37"/>
  <c r="AH41" i="37"/>
  <c r="AF41" i="37"/>
  <c r="AD41" i="37"/>
  <c r="AB41" i="37"/>
  <c r="AX40" i="37"/>
  <c r="AV40" i="37"/>
  <c r="AT40" i="37"/>
  <c r="AR40" i="37"/>
  <c r="AP40" i="37"/>
  <c r="AN40" i="37"/>
  <c r="AL40" i="37"/>
  <c r="AJ40" i="37"/>
  <c r="AH40" i="37"/>
  <c r="AF40" i="37"/>
  <c r="AD40" i="37"/>
  <c r="AB40" i="37"/>
  <c r="AX39" i="37"/>
  <c r="AV39" i="37"/>
  <c r="AT39" i="37"/>
  <c r="AR39" i="37"/>
  <c r="AP39" i="37"/>
  <c r="AN39" i="37"/>
  <c r="AL39" i="37"/>
  <c r="AJ39" i="37"/>
  <c r="AH39" i="37"/>
  <c r="AF39" i="37"/>
  <c r="AD39" i="37"/>
  <c r="AB39" i="37"/>
  <c r="AX38" i="37"/>
  <c r="AV38" i="37"/>
  <c r="AT38" i="37"/>
  <c r="AR38" i="37"/>
  <c r="AP38" i="37"/>
  <c r="AN38" i="37"/>
  <c r="AL38" i="37"/>
  <c r="AJ38" i="37"/>
  <c r="AH38" i="37"/>
  <c r="AF38" i="37"/>
  <c r="AD38" i="37"/>
  <c r="AB38" i="37"/>
  <c r="AX37" i="37"/>
  <c r="AV37" i="37"/>
  <c r="AT37" i="37"/>
  <c r="AR37" i="37"/>
  <c r="AP37" i="37"/>
  <c r="AN37" i="37"/>
  <c r="AL37" i="37"/>
  <c r="AJ37" i="37"/>
  <c r="AH37" i="37"/>
  <c r="AF37" i="37"/>
  <c r="AD37" i="37"/>
  <c r="AB37" i="37"/>
  <c r="AX36" i="37"/>
  <c r="AV36" i="37"/>
  <c r="AT36" i="37"/>
  <c r="AR36" i="37"/>
  <c r="AP36" i="37"/>
  <c r="AN36" i="37"/>
  <c r="AL36" i="37"/>
  <c r="AJ36" i="37"/>
  <c r="AY36" i="37" s="1"/>
  <c r="BB36" i="37" s="1"/>
  <c r="AH36" i="37"/>
  <c r="AF36" i="37"/>
  <c r="AD36" i="37"/>
  <c r="AB36" i="37"/>
  <c r="AX35" i="37"/>
  <c r="AV35" i="37"/>
  <c r="AT35" i="37"/>
  <c r="AR35" i="37"/>
  <c r="AP35" i="37"/>
  <c r="AN35" i="37"/>
  <c r="AL35" i="37"/>
  <c r="AJ35" i="37"/>
  <c r="AH35" i="37"/>
  <c r="AF35" i="37"/>
  <c r="AD35" i="37"/>
  <c r="AB35" i="37"/>
  <c r="AX34" i="37"/>
  <c r="AV34" i="37"/>
  <c r="AT34" i="37"/>
  <c r="AR34" i="37"/>
  <c r="AP34" i="37"/>
  <c r="AN34" i="37"/>
  <c r="AL34" i="37"/>
  <c r="AJ34" i="37"/>
  <c r="AH34" i="37"/>
  <c r="AF34" i="37"/>
  <c r="AD34" i="37"/>
  <c r="AB34" i="37"/>
  <c r="AX33" i="37"/>
  <c r="AV33" i="37"/>
  <c r="AT33" i="37"/>
  <c r="AR33" i="37"/>
  <c r="AP33" i="37"/>
  <c r="AN33" i="37"/>
  <c r="AL33" i="37"/>
  <c r="AJ33" i="37"/>
  <c r="AH33" i="37"/>
  <c r="AF33" i="37"/>
  <c r="AD33" i="37"/>
  <c r="AB33" i="37"/>
  <c r="AX32" i="37"/>
  <c r="AV32" i="37"/>
  <c r="AT32" i="37"/>
  <c r="AR32" i="37"/>
  <c r="AP32" i="37"/>
  <c r="AN32" i="37"/>
  <c r="AL32" i="37"/>
  <c r="AJ32" i="37"/>
  <c r="AH32" i="37"/>
  <c r="AF32" i="37"/>
  <c r="AD32" i="37"/>
  <c r="AB32" i="37"/>
  <c r="AX31" i="37"/>
  <c r="AV31" i="37"/>
  <c r="AT31" i="37"/>
  <c r="AR31" i="37"/>
  <c r="AP31" i="37"/>
  <c r="AN31" i="37"/>
  <c r="AL31" i="37"/>
  <c r="AJ31" i="37"/>
  <c r="AH31" i="37"/>
  <c r="AF31" i="37"/>
  <c r="AD31" i="37"/>
  <c r="AB31" i="37"/>
  <c r="AY30" i="37"/>
  <c r="BB30" i="37" s="1"/>
  <c r="AX30" i="37"/>
  <c r="AV30" i="37"/>
  <c r="AT30" i="37"/>
  <c r="AR30" i="37"/>
  <c r="AP30" i="37"/>
  <c r="AN30" i="37"/>
  <c r="AL30" i="37"/>
  <c r="AJ30" i="37"/>
  <c r="AH30" i="37"/>
  <c r="AF30" i="37"/>
  <c r="AD30" i="37"/>
  <c r="AB30" i="37"/>
  <c r="AX29" i="37"/>
  <c r="AV29" i="37"/>
  <c r="AT29" i="37"/>
  <c r="AR29" i="37"/>
  <c r="AP29" i="37"/>
  <c r="AN29" i="37"/>
  <c r="AL29" i="37"/>
  <c r="AJ29" i="37"/>
  <c r="AH29" i="37"/>
  <c r="AF29" i="37"/>
  <c r="AD29" i="37"/>
  <c r="AB29" i="37"/>
  <c r="AX28" i="37"/>
  <c r="AV28" i="37"/>
  <c r="AT28" i="37"/>
  <c r="AR28" i="37"/>
  <c r="AP28" i="37"/>
  <c r="AN28" i="37"/>
  <c r="AL28" i="37"/>
  <c r="AJ28" i="37"/>
  <c r="AH28" i="37"/>
  <c r="AF28" i="37"/>
  <c r="AD28" i="37"/>
  <c r="AB28" i="37"/>
  <c r="AX27" i="37"/>
  <c r="AV27" i="37"/>
  <c r="AT27" i="37"/>
  <c r="AR27" i="37"/>
  <c r="AP27" i="37"/>
  <c r="AN27" i="37"/>
  <c r="AL27" i="37"/>
  <c r="AJ27" i="37"/>
  <c r="AH27" i="37"/>
  <c r="AF27" i="37"/>
  <c r="AD27" i="37"/>
  <c r="AB27" i="37"/>
  <c r="AX26" i="37"/>
  <c r="AV26" i="37"/>
  <c r="AT26" i="37"/>
  <c r="AR26" i="37"/>
  <c r="AP26" i="37"/>
  <c r="AN26" i="37"/>
  <c r="AL26" i="37"/>
  <c r="AJ26" i="37"/>
  <c r="AH26" i="37"/>
  <c r="AF26" i="37"/>
  <c r="AD26" i="37"/>
  <c r="AB26" i="37"/>
  <c r="AX25" i="37"/>
  <c r="AV25" i="37"/>
  <c r="AT25" i="37"/>
  <c r="AR25" i="37"/>
  <c r="AP25" i="37"/>
  <c r="AN25" i="37"/>
  <c r="AL25" i="37"/>
  <c r="AJ25" i="37"/>
  <c r="AH25" i="37"/>
  <c r="AF25" i="37"/>
  <c r="AD25" i="37"/>
  <c r="AB25" i="37"/>
  <c r="AX24" i="37"/>
  <c r="AV24" i="37"/>
  <c r="AT24" i="37"/>
  <c r="AR24" i="37"/>
  <c r="AP24" i="37"/>
  <c r="AN24" i="37"/>
  <c r="AL24" i="37"/>
  <c r="AJ24" i="37"/>
  <c r="AH24" i="37"/>
  <c r="AF24" i="37"/>
  <c r="AD24" i="37"/>
  <c r="AB24" i="37"/>
  <c r="AX23" i="37"/>
  <c r="AV23" i="37"/>
  <c r="AT23" i="37"/>
  <c r="AR23" i="37"/>
  <c r="AP23" i="37"/>
  <c r="AN23" i="37"/>
  <c r="AL23" i="37"/>
  <c r="AJ23" i="37"/>
  <c r="AH23" i="37"/>
  <c r="AF23" i="37"/>
  <c r="AD23" i="37"/>
  <c r="AB23" i="37"/>
  <c r="AX22" i="37"/>
  <c r="AV22" i="37"/>
  <c r="AT22" i="37"/>
  <c r="AR22" i="37"/>
  <c r="AP22" i="37"/>
  <c r="AN22" i="37"/>
  <c r="AL22" i="37"/>
  <c r="AJ22" i="37"/>
  <c r="AY22" i="37" s="1"/>
  <c r="BB22" i="37" s="1"/>
  <c r="AH22" i="37"/>
  <c r="AF22" i="37"/>
  <c r="AD22" i="37"/>
  <c r="AB22" i="37"/>
  <c r="AX21" i="37"/>
  <c r="AV21" i="37"/>
  <c r="AT21" i="37"/>
  <c r="AR21" i="37"/>
  <c r="AP21" i="37"/>
  <c r="AN21" i="37"/>
  <c r="AL21" i="37"/>
  <c r="AJ21" i="37"/>
  <c r="AH21" i="37"/>
  <c r="AF21" i="37"/>
  <c r="AD21" i="37"/>
  <c r="AB21" i="37"/>
  <c r="AX20" i="37"/>
  <c r="AV20" i="37"/>
  <c r="AT20" i="37"/>
  <c r="AR20" i="37"/>
  <c r="AP20" i="37"/>
  <c r="AN20" i="37"/>
  <c r="AL20" i="37"/>
  <c r="AJ20" i="37"/>
  <c r="AH20" i="37"/>
  <c r="AF20" i="37"/>
  <c r="AD20" i="37"/>
  <c r="AB20" i="37"/>
  <c r="AX19" i="37"/>
  <c r="AV19" i="37"/>
  <c r="AT19" i="37"/>
  <c r="AR19" i="37"/>
  <c r="AP19" i="37"/>
  <c r="AN19" i="37"/>
  <c r="AL19" i="37"/>
  <c r="AJ19" i="37"/>
  <c r="AH19" i="37"/>
  <c r="AF19" i="37"/>
  <c r="AD19" i="37"/>
  <c r="AB19" i="37"/>
  <c r="AX18" i="37"/>
  <c r="AV18" i="37"/>
  <c r="AT18" i="37"/>
  <c r="AR18" i="37"/>
  <c r="AP18" i="37"/>
  <c r="AN18" i="37"/>
  <c r="AL18" i="37"/>
  <c r="AJ18" i="37"/>
  <c r="AY18" i="37" s="1"/>
  <c r="BB18" i="37" s="1"/>
  <c r="AH18" i="37"/>
  <c r="AF18" i="37"/>
  <c r="AD18" i="37"/>
  <c r="AB18" i="37"/>
  <c r="AX17" i="37"/>
  <c r="AV17" i="37"/>
  <c r="AT17" i="37"/>
  <c r="AR17" i="37"/>
  <c r="AP17" i="37"/>
  <c r="AN17" i="37"/>
  <c r="AL17" i="37"/>
  <c r="AJ17" i="37"/>
  <c r="AH17" i="37"/>
  <c r="AF17" i="37"/>
  <c r="AD17" i="37"/>
  <c r="AB17" i="37"/>
  <c r="AX16" i="37"/>
  <c r="AV16" i="37"/>
  <c r="AT16" i="37"/>
  <c r="AR16" i="37"/>
  <c r="AP16" i="37"/>
  <c r="AN16" i="37"/>
  <c r="AL16" i="37"/>
  <c r="AJ16" i="37"/>
  <c r="AH16" i="37"/>
  <c r="AF16" i="37"/>
  <c r="AD16" i="37"/>
  <c r="AB16" i="37"/>
  <c r="AX15" i="37"/>
  <c r="AV15" i="37"/>
  <c r="AT15" i="37"/>
  <c r="AR15" i="37"/>
  <c r="AP15" i="37"/>
  <c r="AN15" i="37"/>
  <c r="AL15" i="37"/>
  <c r="AJ15" i="37"/>
  <c r="AH15" i="37"/>
  <c r="AF15" i="37"/>
  <c r="AD15" i="37"/>
  <c r="AB15" i="37"/>
  <c r="AX14" i="37"/>
  <c r="AV14" i="37"/>
  <c r="AT14" i="37"/>
  <c r="AR14" i="37"/>
  <c r="AP14" i="37"/>
  <c r="AN14" i="37"/>
  <c r="AL14" i="37"/>
  <c r="AJ14" i="37"/>
  <c r="AH14" i="37"/>
  <c r="AF14" i="37"/>
  <c r="AD14" i="37"/>
  <c r="AB14" i="37"/>
  <c r="AX13" i="37"/>
  <c r="AV13" i="37"/>
  <c r="AT13" i="37"/>
  <c r="AR13" i="37"/>
  <c r="AP13" i="37"/>
  <c r="AN13" i="37"/>
  <c r="AL13" i="37"/>
  <c r="AJ13" i="37"/>
  <c r="AH13" i="37"/>
  <c r="AF13" i="37"/>
  <c r="AD13" i="37"/>
  <c r="AB13" i="37"/>
  <c r="AX12" i="37"/>
  <c r="AV12" i="37"/>
  <c r="AT12" i="37"/>
  <c r="AR12" i="37"/>
  <c r="AP12" i="37"/>
  <c r="AN12" i="37"/>
  <c r="AL12" i="37"/>
  <c r="AJ12" i="37"/>
  <c r="AH12" i="37"/>
  <c r="AF12" i="37"/>
  <c r="AD12" i="37"/>
  <c r="AB12" i="37"/>
  <c r="AX11" i="37"/>
  <c r="AV11" i="37"/>
  <c r="AT11" i="37"/>
  <c r="AR11" i="37"/>
  <c r="AP11" i="37"/>
  <c r="AN11" i="37"/>
  <c r="AL11" i="37"/>
  <c r="AJ11" i="37"/>
  <c r="AH11" i="37"/>
  <c r="AF11" i="37"/>
  <c r="AD11" i="37"/>
  <c r="AB11" i="37"/>
  <c r="AX10" i="37"/>
  <c r="AV10" i="37"/>
  <c r="AT10" i="37"/>
  <c r="AR10" i="37"/>
  <c r="AP10" i="37"/>
  <c r="AN10" i="37"/>
  <c r="AL10" i="37"/>
  <c r="AJ10" i="37"/>
  <c r="AY10" i="37" s="1"/>
  <c r="BB10" i="37" s="1"/>
  <c r="AH10" i="37"/>
  <c r="AF10" i="37"/>
  <c r="AD10" i="37"/>
  <c r="AB10" i="37"/>
  <c r="AX9" i="37"/>
  <c r="AV9" i="37"/>
  <c r="AT9" i="37"/>
  <c r="AR9" i="37"/>
  <c r="AP9" i="37"/>
  <c r="AN9" i="37"/>
  <c r="AL9" i="37"/>
  <c r="AJ9" i="37"/>
  <c r="AH9" i="37"/>
  <c r="AF9" i="37"/>
  <c r="AX8" i="37"/>
  <c r="AV8" i="37"/>
  <c r="AT8" i="37"/>
  <c r="AR8" i="37"/>
  <c r="AP8" i="37"/>
  <c r="AN8" i="37"/>
  <c r="AL8" i="37"/>
  <c r="AJ8" i="37"/>
  <c r="AH8" i="37"/>
  <c r="AF8" i="37"/>
  <c r="AX7" i="37"/>
  <c r="AV7" i="37"/>
  <c r="AT7" i="37"/>
  <c r="AR7" i="37"/>
  <c r="AP7" i="37"/>
  <c r="AN7" i="37"/>
  <c r="AL7" i="37"/>
  <c r="AJ7" i="37"/>
  <c r="AH7" i="37"/>
  <c r="AF7" i="37"/>
  <c r="AX6" i="37"/>
  <c r="AV6" i="37"/>
  <c r="AT6" i="37"/>
  <c r="AR6" i="37"/>
  <c r="AP6" i="37"/>
  <c r="AN6" i="37"/>
  <c r="AL6" i="37"/>
  <c r="AJ6" i="37"/>
  <c r="AH6" i="37"/>
  <c r="AF6" i="37"/>
  <c r="AX5" i="37"/>
  <c r="AV5" i="37"/>
  <c r="AT5" i="37"/>
  <c r="AR5" i="37"/>
  <c r="AP5" i="37"/>
  <c r="AN5" i="37"/>
  <c r="AL5" i="37"/>
  <c r="AJ5" i="37"/>
  <c r="AH5" i="37"/>
  <c r="AF5" i="37"/>
  <c r="AX4" i="37"/>
  <c r="AV4" i="37"/>
  <c r="AT4" i="37"/>
  <c r="AR4" i="37"/>
  <c r="AP4" i="37"/>
  <c r="AN4" i="37"/>
  <c r="AL4" i="37"/>
  <c r="AJ4" i="37"/>
  <c r="AH4" i="37"/>
  <c r="AF4" i="37"/>
  <c r="AX3" i="37"/>
  <c r="AV3" i="37"/>
  <c r="AT3" i="37"/>
  <c r="AR3" i="37"/>
  <c r="AP3" i="37"/>
  <c r="AN3" i="37"/>
  <c r="AL3" i="37"/>
  <c r="AJ3" i="37"/>
  <c r="AH3" i="37"/>
  <c r="AF3" i="37"/>
  <c r="AX2" i="37"/>
  <c r="AV2" i="37"/>
  <c r="AT2" i="37"/>
  <c r="AR2" i="37"/>
  <c r="AP2" i="37"/>
  <c r="AN2" i="37"/>
  <c r="AL2" i="37"/>
  <c r="AJ2" i="37"/>
  <c r="AH2" i="37"/>
  <c r="AF2" i="37"/>
  <c r="AY38" i="37" l="1"/>
  <c r="BB38" i="37" s="1"/>
  <c r="AY46" i="37"/>
  <c r="BB46" i="37" s="1"/>
  <c r="AY54" i="37"/>
  <c r="BB54" i="37" s="1"/>
  <c r="AY62" i="37"/>
  <c r="BB62" i="37" s="1"/>
  <c r="AY21" i="37"/>
  <c r="BB21" i="37" s="1"/>
  <c r="AY13" i="37"/>
  <c r="BB13" i="37" s="1"/>
  <c r="AY29" i="37"/>
  <c r="BB29" i="37" s="1"/>
  <c r="AY12" i="37"/>
  <c r="BB12" i="37" s="1"/>
  <c r="AY6" i="37"/>
  <c r="AY7" i="37"/>
  <c r="AY33" i="37"/>
  <c r="BB33" i="37" s="1"/>
  <c r="AY41" i="37"/>
  <c r="BB41" i="37" s="1"/>
  <c r="AY49" i="37"/>
  <c r="BB49" i="37" s="1"/>
  <c r="AY57" i="37"/>
  <c r="BB57" i="37" s="1"/>
  <c r="AY65" i="37"/>
  <c r="BB65" i="37" s="1"/>
  <c r="AY4" i="37"/>
  <c r="AY5" i="37"/>
  <c r="AY9" i="37"/>
  <c r="AY27" i="37"/>
  <c r="BB27" i="37" s="1"/>
  <c r="AY3" i="37"/>
  <c r="AY25" i="37"/>
  <c r="BB25" i="37" s="1"/>
  <c r="AY2" i="37"/>
  <c r="AY32" i="37"/>
  <c r="BB32" i="37" s="1"/>
  <c r="AY40" i="37"/>
  <c r="BB40" i="37" s="1"/>
  <c r="AY48" i="37"/>
  <c r="BB48" i="37" s="1"/>
  <c r="AY56" i="37"/>
  <c r="BB56" i="37" s="1"/>
  <c r="AY64" i="37"/>
  <c r="BB64" i="37" s="1"/>
  <c r="AY8" i="37"/>
  <c r="AY16" i="37"/>
  <c r="BB16" i="37" s="1"/>
  <c r="AY24" i="37"/>
  <c r="BB24" i="37" s="1"/>
  <c r="AY35" i="37"/>
  <c r="BB35" i="37" s="1"/>
  <c r="AY43" i="37"/>
  <c r="BB43" i="37" s="1"/>
  <c r="AY51" i="37"/>
  <c r="BB51" i="37" s="1"/>
  <c r="AY59" i="37"/>
  <c r="BB59" i="37" s="1"/>
  <c r="AY67" i="37"/>
  <c r="BB67" i="37" s="1"/>
  <c r="AY71" i="37"/>
  <c r="BB71" i="37" s="1"/>
  <c r="AY75" i="37"/>
  <c r="BB75" i="37" s="1"/>
  <c r="AY26" i="37"/>
  <c r="BB26" i="37" s="1"/>
  <c r="AY37" i="37"/>
  <c r="BB37" i="37" s="1"/>
  <c r="AY45" i="37"/>
  <c r="BB45" i="37" s="1"/>
  <c r="AY53" i="37"/>
  <c r="BB53" i="37" s="1"/>
  <c r="AY61" i="37"/>
  <c r="BB61" i="37" s="1"/>
  <c r="AY14" i="37"/>
  <c r="BB14" i="37" s="1"/>
  <c r="AY23" i="37"/>
  <c r="BB23" i="37" s="1"/>
  <c r="AY34" i="37"/>
  <c r="BB34" i="37" s="1"/>
  <c r="AY42" i="37"/>
  <c r="BB42" i="37" s="1"/>
  <c r="AY50" i="37"/>
  <c r="BB50" i="37" s="1"/>
  <c r="AY58" i="37"/>
  <c r="BB58" i="37" s="1"/>
  <c r="AY66" i="37"/>
  <c r="BB66" i="37" s="1"/>
  <c r="AY11" i="37"/>
  <c r="BB11" i="37" s="1"/>
  <c r="AY20" i="37"/>
  <c r="BB20" i="37" s="1"/>
  <c r="AY28" i="37"/>
  <c r="BB28" i="37" s="1"/>
  <c r="AY31" i="37"/>
  <c r="BB31" i="37" s="1"/>
  <c r="AY39" i="37"/>
  <c r="BB39" i="37" s="1"/>
  <c r="AY47" i="37"/>
  <c r="BB47" i="37" s="1"/>
  <c r="AY55" i="37"/>
  <c r="BB55" i="37" s="1"/>
  <c r="AY63" i="37"/>
  <c r="BB63" i="37" s="1"/>
  <c r="AZ72" i="37"/>
  <c r="AZ36" i="37"/>
  <c r="AZ44" i="37"/>
  <c r="AZ52" i="37"/>
  <c r="AZ60" i="37"/>
  <c r="AZ69" i="37"/>
  <c r="AZ77" i="37"/>
  <c r="AZ22" i="37"/>
  <c r="AZ10" i="37"/>
  <c r="AZ74" i="37"/>
  <c r="AZ68" i="37"/>
  <c r="AZ76" i="37"/>
  <c r="AZ18" i="37"/>
  <c r="AZ73" i="37"/>
  <c r="AZ70" i="37"/>
  <c r="AZ78" i="37"/>
  <c r="AY79" i="37"/>
  <c r="BB79" i="37" s="1"/>
  <c r="AY83" i="37"/>
  <c r="BB83" i="37" s="1"/>
  <c r="AY87" i="37"/>
  <c r="BB87" i="37" s="1"/>
  <c r="AY91" i="37"/>
  <c r="BB91" i="37" s="1"/>
  <c r="AY95" i="37"/>
  <c r="BB95" i="37" s="1"/>
  <c r="AY104" i="37"/>
  <c r="BB104" i="37" s="1"/>
  <c r="AY112" i="37"/>
  <c r="BB112" i="37" s="1"/>
  <c r="AY120" i="37"/>
  <c r="BB120" i="37" s="1"/>
  <c r="AY128" i="37"/>
  <c r="BB128" i="37" s="1"/>
  <c r="AY136" i="37"/>
  <c r="BB136" i="37" s="1"/>
  <c r="AY144" i="37"/>
  <c r="BB144" i="37" s="1"/>
  <c r="AZ101" i="37"/>
  <c r="AZ109" i="37"/>
  <c r="AZ117" i="37"/>
  <c r="AZ125" i="37"/>
  <c r="AZ133" i="37"/>
  <c r="AZ141" i="37"/>
  <c r="AZ149" i="37"/>
  <c r="AZ15" i="37"/>
  <c r="AZ17" i="37"/>
  <c r="AZ19" i="37"/>
  <c r="AZ30" i="37"/>
  <c r="AY82" i="37"/>
  <c r="BB82" i="37" s="1"/>
  <c r="AY86" i="37"/>
  <c r="BB86" i="37" s="1"/>
  <c r="AY90" i="37"/>
  <c r="BB90" i="37" s="1"/>
  <c r="AY94" i="37"/>
  <c r="BB94" i="37" s="1"/>
  <c r="AY98" i="37"/>
  <c r="BB98" i="37" s="1"/>
  <c r="AZ106" i="37"/>
  <c r="AZ114" i="37"/>
  <c r="AZ122" i="37"/>
  <c r="AZ130" i="37"/>
  <c r="AZ138" i="37"/>
  <c r="AZ146" i="37"/>
  <c r="AZ103" i="37"/>
  <c r="AZ111" i="37"/>
  <c r="AZ119" i="37"/>
  <c r="AZ127" i="37"/>
  <c r="AZ135" i="37"/>
  <c r="AZ143" i="37"/>
  <c r="AZ151" i="37"/>
  <c r="AY81" i="37"/>
  <c r="BB81" i="37" s="1"/>
  <c r="AY85" i="37"/>
  <c r="BB85" i="37" s="1"/>
  <c r="AY89" i="37"/>
  <c r="BB89" i="37" s="1"/>
  <c r="AY93" i="37"/>
  <c r="BB93" i="37" s="1"/>
  <c r="AY97" i="37"/>
  <c r="BB97" i="37" s="1"/>
  <c r="AY100" i="37"/>
  <c r="BB100" i="37" s="1"/>
  <c r="AY108" i="37"/>
  <c r="BB108" i="37" s="1"/>
  <c r="AY116" i="37"/>
  <c r="BB116" i="37" s="1"/>
  <c r="AY124" i="37"/>
  <c r="BB124" i="37" s="1"/>
  <c r="AY132" i="37"/>
  <c r="BB132" i="37" s="1"/>
  <c r="AY140" i="37"/>
  <c r="BB140" i="37" s="1"/>
  <c r="AY148" i="37"/>
  <c r="BB148" i="37" s="1"/>
  <c r="AZ105" i="37"/>
  <c r="AZ113" i="37"/>
  <c r="AZ121" i="37"/>
  <c r="AZ129" i="37"/>
  <c r="AZ137" i="37"/>
  <c r="AZ145" i="37"/>
  <c r="AY80" i="37"/>
  <c r="BB80" i="37" s="1"/>
  <c r="AY84" i="37"/>
  <c r="BB84" i="37" s="1"/>
  <c r="AY88" i="37"/>
  <c r="BB88" i="37" s="1"/>
  <c r="AY92" i="37"/>
  <c r="BB92" i="37" s="1"/>
  <c r="AY96" i="37"/>
  <c r="BB96" i="37" s="1"/>
  <c r="AZ102" i="37"/>
  <c r="AZ110" i="37"/>
  <c r="AZ118" i="37"/>
  <c r="AZ126" i="37"/>
  <c r="AZ134" i="37"/>
  <c r="AZ142" i="37"/>
  <c r="AZ150" i="37"/>
  <c r="AY99" i="37"/>
  <c r="BB99" i="37" s="1"/>
  <c r="AY107" i="37"/>
  <c r="BB107" i="37" s="1"/>
  <c r="AY115" i="37"/>
  <c r="BB115" i="37" s="1"/>
  <c r="AY123" i="37"/>
  <c r="BB123" i="37" s="1"/>
  <c r="AY131" i="37"/>
  <c r="BB131" i="37" s="1"/>
  <c r="AY139" i="37"/>
  <c r="BB139" i="37" s="1"/>
  <c r="AY147" i="37"/>
  <c r="BB147" i="37" s="1"/>
  <c r="AZ46" i="37" l="1"/>
  <c r="AZ38" i="37"/>
  <c r="AZ62" i="37"/>
  <c r="AZ54" i="37"/>
  <c r="AZ33" i="37"/>
  <c r="AZ12" i="37"/>
  <c r="AZ29" i="37"/>
  <c r="AZ21" i="37"/>
  <c r="AZ13" i="37"/>
  <c r="AZ8" i="37"/>
  <c r="BB8" i="37"/>
  <c r="AZ3" i="37"/>
  <c r="BB3" i="37"/>
  <c r="AZ5" i="37"/>
  <c r="BB5" i="37"/>
  <c r="AZ6" i="37"/>
  <c r="BB6" i="37"/>
  <c r="AZ2" i="37"/>
  <c r="BB2" i="37"/>
  <c r="AZ7" i="37"/>
  <c r="BB7" i="37"/>
  <c r="AZ4" i="37"/>
  <c r="BB4" i="37"/>
  <c r="AZ9" i="37"/>
  <c r="BB9" i="37"/>
  <c r="AZ57" i="37"/>
  <c r="AZ49" i="37"/>
  <c r="AZ25" i="37"/>
  <c r="AZ61" i="37"/>
  <c r="AZ59" i="37"/>
  <c r="AZ56" i="37"/>
  <c r="AZ41" i="37"/>
  <c r="AZ32" i="37"/>
  <c r="AZ43" i="37"/>
  <c r="AZ45" i="37"/>
  <c r="AZ35" i="37"/>
  <c r="AZ37" i="37"/>
  <c r="AZ65" i="37"/>
  <c r="AZ66" i="37"/>
  <c r="AZ48" i="37"/>
  <c r="AZ47" i="37"/>
  <c r="AZ53" i="37"/>
  <c r="AZ40" i="37"/>
  <c r="AZ50" i="37"/>
  <c r="AZ27" i="37"/>
  <c r="AZ64" i="37"/>
  <c r="AZ28" i="37"/>
  <c r="AZ23" i="37"/>
  <c r="AZ67" i="37"/>
  <c r="AZ14" i="37"/>
  <c r="AZ71" i="37"/>
  <c r="AZ11" i="37"/>
  <c r="AZ20" i="37"/>
  <c r="AZ16" i="37"/>
  <c r="AZ75" i="37"/>
  <c r="AZ55" i="37"/>
  <c r="AZ42" i="37"/>
  <c r="AZ39" i="37"/>
  <c r="AZ58" i="37"/>
  <c r="AZ26" i="37"/>
  <c r="AZ24" i="37"/>
  <c r="AZ34" i="37"/>
  <c r="AZ51" i="37"/>
  <c r="AZ63" i="37"/>
  <c r="AZ31" i="37"/>
  <c r="AZ85" i="37"/>
  <c r="AZ82" i="37"/>
  <c r="AZ104" i="37"/>
  <c r="AZ139" i="37"/>
  <c r="AZ80" i="37"/>
  <c r="AZ124" i="37"/>
  <c r="AZ81" i="37"/>
  <c r="AZ95" i="37"/>
  <c r="AZ84" i="37"/>
  <c r="AZ131" i="37"/>
  <c r="AZ116" i="37"/>
  <c r="AZ91" i="37"/>
  <c r="AZ123" i="37"/>
  <c r="AZ108" i="37"/>
  <c r="AZ144" i="37"/>
  <c r="AZ87" i="37"/>
  <c r="AZ115" i="37"/>
  <c r="AZ100" i="37"/>
  <c r="AZ98" i="37"/>
  <c r="AZ136" i="37"/>
  <c r="AZ83" i="37"/>
  <c r="AZ132" i="37"/>
  <c r="AZ107" i="37"/>
  <c r="AZ96" i="37"/>
  <c r="AZ97" i="37"/>
  <c r="AZ94" i="37"/>
  <c r="AZ128" i="37"/>
  <c r="AZ79" i="37"/>
  <c r="AZ147" i="37"/>
  <c r="AZ99" i="37"/>
  <c r="AZ92" i="37"/>
  <c r="AZ148" i="37"/>
  <c r="AZ93" i="37"/>
  <c r="AZ90" i="37"/>
  <c r="AZ120" i="37"/>
  <c r="AZ88" i="37"/>
  <c r="AZ140" i="37"/>
  <c r="AZ89" i="37"/>
  <c r="AZ86" i="37"/>
  <c r="AZ112" i="37"/>
  <c r="D14" i="12" l="1"/>
  <c r="AA16" i="13" l="1"/>
  <c r="AA18" i="13"/>
  <c r="AA19" i="13"/>
  <c r="AA20" i="13"/>
  <c r="AA21"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108" i="13"/>
  <c r="AA109" i="13"/>
  <c r="AA110" i="13"/>
  <c r="AA111" i="13"/>
  <c r="AA112" i="13"/>
  <c r="AA113" i="13"/>
  <c r="AA114" i="13"/>
  <c r="AA115" i="13"/>
  <c r="AA116" i="13"/>
  <c r="AA117" i="13"/>
  <c r="AA118" i="13"/>
  <c r="AA119" i="13"/>
  <c r="AA120" i="13"/>
  <c r="AA121" i="13"/>
  <c r="AA122" i="13"/>
  <c r="AA123" i="13"/>
  <c r="AA124" i="13"/>
  <c r="AA125" i="13"/>
  <c r="AA126" i="13"/>
  <c r="AA127" i="13"/>
  <c r="AA128" i="13"/>
  <c r="AA129" i="13"/>
  <c r="AA130" i="13"/>
  <c r="AA131" i="13"/>
  <c r="AA132" i="13"/>
  <c r="AA133" i="13"/>
  <c r="AA134" i="13"/>
  <c r="AA135" i="13"/>
  <c r="AA136" i="13"/>
  <c r="AA137" i="13"/>
  <c r="AA138" i="13"/>
  <c r="AA139" i="13"/>
  <c r="AA140" i="13"/>
  <c r="AA141" i="13"/>
  <c r="AA142" i="13"/>
  <c r="AA143" i="13"/>
  <c r="AA144" i="13"/>
  <c r="AA145" i="13"/>
  <c r="AA146" i="13"/>
  <c r="AA147" i="13"/>
  <c r="AA148" i="13"/>
  <c r="AA149" i="13"/>
  <c r="AA150" i="13"/>
  <c r="AA151" i="13"/>
  <c r="AA152" i="13"/>
  <c r="AA153" i="13"/>
  <c r="AA154" i="13"/>
  <c r="AA155" i="13"/>
  <c r="AA156" i="13"/>
  <c r="AA157" i="13"/>
  <c r="AA158" i="13"/>
  <c r="AA159" i="13"/>
  <c r="AA160" i="13"/>
  <c r="AA161" i="13"/>
  <c r="AA162" i="13"/>
  <c r="AA163" i="13"/>
  <c r="AA164" i="13"/>
  <c r="AA165" i="13"/>
  <c r="AA166" i="13"/>
  <c r="AA167" i="13"/>
  <c r="AA168" i="13"/>
  <c r="AA169" i="13"/>
  <c r="AA170" i="13"/>
  <c r="AA171" i="13"/>
  <c r="AA172" i="13"/>
  <c r="AA173" i="13"/>
  <c r="AA174" i="13"/>
  <c r="AA175" i="13"/>
  <c r="AA176" i="13"/>
  <c r="AA177" i="13"/>
  <c r="AA178" i="13"/>
  <c r="AA179" i="13"/>
  <c r="AA180" i="13"/>
  <c r="AA181" i="13"/>
  <c r="AA182" i="13"/>
  <c r="AA183" i="13"/>
  <c r="AA184" i="13"/>
  <c r="AA185" i="13"/>
  <c r="AA186" i="13"/>
  <c r="AA187" i="13"/>
  <c r="AA188" i="13"/>
  <c r="AA189" i="13"/>
  <c r="AA190" i="13"/>
  <c r="AA191" i="13"/>
  <c r="AA192" i="13"/>
  <c r="AA193" i="13"/>
  <c r="AA194" i="13"/>
  <c r="AA195" i="13"/>
  <c r="AA196" i="13"/>
  <c r="AA197" i="13"/>
  <c r="AA198" i="13"/>
  <c r="AA199" i="13"/>
  <c r="AA200" i="13"/>
  <c r="AA201" i="13"/>
  <c r="AA202" i="13"/>
  <c r="AA203" i="13"/>
  <c r="AA204" i="13"/>
  <c r="AA205" i="13"/>
  <c r="AA206" i="13"/>
  <c r="AA207" i="13"/>
  <c r="AA208" i="13"/>
  <c r="AA209" i="13"/>
  <c r="AA210" i="13"/>
  <c r="AA211" i="13"/>
  <c r="AA212" i="13"/>
  <c r="AA213" i="13"/>
  <c r="AA214" i="13"/>
  <c r="AA215" i="13"/>
  <c r="AA216" i="13"/>
  <c r="AA217" i="13"/>
  <c r="AA218" i="13"/>
  <c r="AA219" i="13"/>
  <c r="AA220" i="13"/>
  <c r="AA221" i="13"/>
  <c r="AA222" i="13"/>
  <c r="AA223" i="13"/>
  <c r="AA224" i="13"/>
  <c r="AA225" i="13"/>
  <c r="AA226" i="13"/>
  <c r="AA227" i="13"/>
  <c r="AA228" i="13"/>
  <c r="AA229" i="13"/>
  <c r="AA230" i="13"/>
  <c r="AA231" i="13"/>
  <c r="AA232" i="13"/>
  <c r="AA233" i="13"/>
  <c r="AA234" i="13"/>
  <c r="AA235" i="13"/>
  <c r="AA236" i="13"/>
  <c r="AA237" i="13"/>
  <c r="AA238" i="13"/>
  <c r="AA239" i="13"/>
  <c r="AA240" i="13"/>
  <c r="AA241" i="13"/>
  <c r="AA242" i="13"/>
  <c r="AA243" i="13"/>
  <c r="AA244" i="13"/>
  <c r="AA245" i="13"/>
  <c r="AA246" i="13"/>
  <c r="AA247" i="13"/>
  <c r="AA248" i="13"/>
  <c r="AA249" i="13"/>
  <c r="AA250" i="13"/>
  <c r="AA251" i="13"/>
  <c r="AA252" i="13"/>
  <c r="AA253" i="13"/>
  <c r="AA254" i="13"/>
  <c r="AA255" i="13"/>
  <c r="AA256" i="13"/>
  <c r="AA257" i="13"/>
  <c r="AA258" i="13"/>
  <c r="AA259" i="13"/>
  <c r="AA260" i="13"/>
  <c r="AA261" i="13"/>
  <c r="AA262" i="13"/>
  <c r="AA263" i="13"/>
  <c r="AA264" i="13"/>
  <c r="AA265" i="13"/>
  <c r="AA266" i="13"/>
  <c r="AA267" i="13"/>
  <c r="AA268" i="13"/>
  <c r="AA269" i="13"/>
  <c r="AA270" i="13"/>
  <c r="AA271" i="13"/>
  <c r="AA272" i="13"/>
  <c r="AA273" i="13"/>
  <c r="AA274" i="13"/>
  <c r="AA275" i="13"/>
  <c r="AA276" i="13"/>
  <c r="AA277" i="13"/>
  <c r="AA278" i="13"/>
  <c r="AA279" i="13"/>
  <c r="AA280" i="13"/>
  <c r="AA281" i="13"/>
  <c r="AA282" i="13"/>
  <c r="AA283" i="13"/>
  <c r="AA284" i="13"/>
  <c r="AA285" i="13"/>
  <c r="AA286" i="13"/>
  <c r="AA287" i="13"/>
  <c r="AA288" i="13"/>
  <c r="AA289" i="13"/>
  <c r="AA290" i="13"/>
  <c r="AA291" i="13"/>
  <c r="AA292" i="13"/>
  <c r="AA293" i="13"/>
  <c r="AA294" i="13"/>
  <c r="AA295" i="13"/>
  <c r="AA296" i="13"/>
  <c r="AA297" i="13"/>
  <c r="AA298" i="13"/>
  <c r="AA299" i="13"/>
  <c r="AA300" i="13"/>
  <c r="AA301" i="13"/>
  <c r="AA302" i="13"/>
  <c r="AA303" i="13"/>
  <c r="AA304" i="13"/>
  <c r="AA305" i="13"/>
  <c r="AA306" i="13"/>
  <c r="AA307" i="13"/>
  <c r="AA308" i="13"/>
  <c r="AA309" i="13"/>
  <c r="AA310" i="13"/>
  <c r="AA311" i="13"/>
  <c r="AA312" i="13"/>
  <c r="AA313" i="13"/>
  <c r="AA314" i="13"/>
  <c r="AA315" i="13"/>
  <c r="AA316" i="13"/>
  <c r="AA317" i="13"/>
  <c r="AA318" i="13"/>
  <c r="AA319" i="13"/>
  <c r="AA320" i="13"/>
  <c r="AA321" i="13"/>
  <c r="AA322" i="13"/>
  <c r="AA323" i="13"/>
  <c r="AA324" i="13"/>
  <c r="AA325" i="13"/>
  <c r="AA326" i="13"/>
  <c r="AA327" i="13"/>
  <c r="AA328" i="13"/>
  <c r="AA329" i="13"/>
  <c r="AA330" i="13"/>
  <c r="AA331" i="13"/>
  <c r="AA332" i="13"/>
  <c r="AA333" i="13"/>
  <c r="AA334" i="13"/>
  <c r="AA335" i="13"/>
  <c r="AA336" i="13"/>
  <c r="AA337" i="13"/>
  <c r="AA338" i="13"/>
  <c r="AA339" i="13"/>
  <c r="AA340" i="13"/>
  <c r="AA341" i="13"/>
  <c r="AA342" i="13"/>
  <c r="AA343" i="13"/>
  <c r="AA344" i="13"/>
  <c r="AA345" i="13"/>
  <c r="AA346" i="13"/>
  <c r="AA347" i="13"/>
  <c r="AA348" i="13"/>
  <c r="AA349" i="13"/>
  <c r="AA350" i="13"/>
  <c r="AA351" i="13"/>
  <c r="AA352" i="13"/>
  <c r="AA353" i="13"/>
  <c r="AA354" i="13"/>
  <c r="AA355" i="13"/>
  <c r="AA356" i="13"/>
  <c r="AA357" i="13"/>
  <c r="AA358" i="13"/>
  <c r="AA359" i="13"/>
  <c r="AA360" i="13"/>
  <c r="AA361" i="13"/>
  <c r="AA362" i="13"/>
  <c r="AA363" i="13"/>
  <c r="AA364" i="13"/>
  <c r="AA365" i="13"/>
  <c r="AA366" i="13"/>
  <c r="AA367" i="13"/>
  <c r="AA368" i="13"/>
  <c r="AA369" i="13"/>
  <c r="AA370" i="13"/>
  <c r="AA371" i="13"/>
  <c r="AA372" i="13"/>
  <c r="AA373" i="13"/>
  <c r="AA374" i="13"/>
  <c r="AA375" i="13"/>
  <c r="AA376" i="13"/>
  <c r="AA377" i="13"/>
  <c r="AA378" i="13"/>
  <c r="AA379" i="13"/>
  <c r="AA380" i="13"/>
  <c r="AA381" i="13"/>
  <c r="AA382" i="13"/>
  <c r="AA383" i="13"/>
  <c r="AA384" i="13"/>
  <c r="AA385" i="13"/>
  <c r="AA386" i="13"/>
  <c r="AA387" i="13"/>
  <c r="AA388" i="13"/>
  <c r="AA389" i="13"/>
  <c r="AA390" i="13"/>
  <c r="AA391" i="13"/>
  <c r="AA392" i="13"/>
  <c r="AA393" i="13"/>
  <c r="AA394" i="13"/>
  <c r="AA395" i="13"/>
  <c r="AA396" i="13"/>
  <c r="AA397" i="13"/>
  <c r="AA398" i="13"/>
  <c r="AA399" i="13"/>
  <c r="AA400" i="13"/>
  <c r="AA401" i="13"/>
  <c r="AA402" i="13"/>
  <c r="AA403" i="13"/>
  <c r="AA404" i="13"/>
  <c r="AA405" i="13"/>
  <c r="AA406" i="13"/>
  <c r="AA407" i="13"/>
  <c r="AA408" i="13"/>
  <c r="AA409" i="13"/>
  <c r="AA410" i="13"/>
  <c r="AA411" i="13"/>
  <c r="AA412" i="13"/>
  <c r="AA413" i="13"/>
  <c r="AA414" i="13"/>
  <c r="AA415" i="13"/>
  <c r="AA416" i="13"/>
  <c r="AA417" i="13"/>
  <c r="AA418" i="13"/>
  <c r="AA419" i="13"/>
  <c r="AA420" i="13"/>
  <c r="AA421" i="13"/>
  <c r="AA422" i="13"/>
  <c r="AA423" i="13"/>
  <c r="AA424" i="13"/>
  <c r="AA425" i="13"/>
  <c r="AA426" i="13"/>
  <c r="AA427" i="13"/>
  <c r="AA428" i="13"/>
  <c r="AA429" i="13"/>
  <c r="AA430" i="13"/>
  <c r="AA431" i="13"/>
  <c r="AA432" i="13"/>
  <c r="AA433" i="13"/>
  <c r="AA434" i="13"/>
  <c r="AA435" i="13"/>
  <c r="AA436" i="13"/>
  <c r="AA437" i="13"/>
  <c r="AA438" i="13"/>
  <c r="AA439" i="13"/>
  <c r="AA440" i="13"/>
  <c r="AA441" i="13"/>
  <c r="AA442" i="13"/>
  <c r="AA443" i="13"/>
  <c r="AA444" i="13"/>
  <c r="AA445" i="13"/>
  <c r="AA446" i="13"/>
  <c r="AA447" i="13"/>
  <c r="AA448" i="13"/>
  <c r="AA449" i="13"/>
  <c r="AA450" i="13"/>
  <c r="AA451" i="13"/>
  <c r="AA452" i="13"/>
  <c r="AA453" i="13"/>
  <c r="AA454" i="13"/>
  <c r="AA455" i="13"/>
  <c r="AA456" i="13"/>
  <c r="AA457" i="13"/>
  <c r="AA458" i="13"/>
  <c r="AA459" i="13"/>
  <c r="AA460" i="13"/>
  <c r="AA461" i="13"/>
  <c r="AA462" i="13"/>
  <c r="AA463" i="13"/>
  <c r="AA464" i="13"/>
  <c r="AA465" i="13"/>
  <c r="AA466" i="13"/>
  <c r="AA467" i="13"/>
  <c r="AA468" i="13"/>
  <c r="AA469" i="13"/>
  <c r="AA470" i="13"/>
  <c r="AA471" i="13"/>
  <c r="AA472" i="13"/>
  <c r="AA473" i="13"/>
  <c r="AA474" i="13"/>
  <c r="AA475" i="13"/>
  <c r="AA476" i="13"/>
  <c r="AA477" i="13"/>
  <c r="AA478" i="13"/>
  <c r="AA479" i="13"/>
  <c r="AA480" i="13"/>
  <c r="AA481" i="13"/>
  <c r="AA482" i="13"/>
  <c r="AA483" i="13"/>
  <c r="AA484" i="13"/>
  <c r="AA485" i="13"/>
  <c r="AA486" i="13"/>
  <c r="AA487" i="13"/>
  <c r="AA488" i="13"/>
  <c r="AA489" i="13"/>
  <c r="AA490" i="13"/>
  <c r="AA491" i="13"/>
  <c r="AA492" i="13"/>
  <c r="AA493" i="13"/>
  <c r="AA494" i="13"/>
  <c r="AA495" i="13"/>
  <c r="AA496" i="13"/>
  <c r="AA497" i="13"/>
  <c r="AA498" i="13"/>
  <c r="AA499" i="13"/>
  <c r="AA500" i="13"/>
  <c r="AA501" i="13"/>
  <c r="AA502" i="13"/>
  <c r="AA503" i="13"/>
  <c r="AA504" i="13"/>
  <c r="AA15" i="13"/>
  <c r="AA12" i="13"/>
  <c r="AA13" i="13"/>
  <c r="AA14" i="13"/>
  <c r="AA6" i="13"/>
  <c r="AA7" i="13"/>
  <c r="AA8" i="13"/>
  <c r="AA9" i="13"/>
  <c r="AA10" i="13"/>
  <c r="AA11" i="13"/>
  <c r="AA5" i="13"/>
  <c r="C2" i="45" l="1" a="1"/>
  <c r="C2" i="45" s="1"/>
  <c r="A93" i="26"/>
  <c r="C93" i="26"/>
  <c r="D93" i="26"/>
  <c r="F93" i="26"/>
  <c r="G93" i="26"/>
  <c r="A103" i="26"/>
  <c r="C103" i="26"/>
  <c r="D103" i="26"/>
  <c r="F103" i="26"/>
  <c r="G103" i="26"/>
  <c r="A113" i="26"/>
  <c r="C113" i="26"/>
  <c r="D113" i="26"/>
  <c r="F113" i="26"/>
  <c r="G113" i="26"/>
  <c r="A123" i="26"/>
  <c r="C123" i="26"/>
  <c r="D123" i="26"/>
  <c r="F123" i="26"/>
  <c r="G123" i="26"/>
  <c r="C133" i="26"/>
  <c r="D133" i="26"/>
  <c r="F133" i="26"/>
  <c r="AH135" i="13" s="1"/>
  <c r="G133" i="26"/>
  <c r="A143" i="26"/>
  <c r="C143" i="26"/>
  <c r="D143" i="26"/>
  <c r="F143" i="26"/>
  <c r="G143" i="26"/>
  <c r="A153" i="26"/>
  <c r="C153" i="26"/>
  <c r="D153" i="26"/>
  <c r="F153" i="26"/>
  <c r="G153" i="26"/>
  <c r="A163" i="26"/>
  <c r="C163" i="26"/>
  <c r="D163" i="26"/>
  <c r="F163" i="26"/>
  <c r="G163" i="26"/>
  <c r="A173" i="26"/>
  <c r="C173" i="26"/>
  <c r="D173" i="26"/>
  <c r="F173" i="26"/>
  <c r="G173" i="26"/>
  <c r="V5"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V57" i="13"/>
  <c r="V58" i="13"/>
  <c r="V59" i="13"/>
  <c r="V60" i="13"/>
  <c r="V61" i="13"/>
  <c r="V62" i="13"/>
  <c r="V63" i="13"/>
  <c r="V64" i="13"/>
  <c r="V65" i="13"/>
  <c r="V66" i="13"/>
  <c r="V67" i="13"/>
  <c r="V68" i="13"/>
  <c r="V69" i="13"/>
  <c r="V70" i="13"/>
  <c r="V71" i="13"/>
  <c r="V72" i="13"/>
  <c r="V73" i="13"/>
  <c r="V74" i="13"/>
  <c r="V75" i="13"/>
  <c r="V76" i="13"/>
  <c r="V77" i="13"/>
  <c r="V78" i="13"/>
  <c r="V79" i="13"/>
  <c r="V80" i="13"/>
  <c r="V81" i="13"/>
  <c r="V82" i="13"/>
  <c r="V83" i="13"/>
  <c r="V84" i="13"/>
  <c r="V85" i="13"/>
  <c r="V86" i="13"/>
  <c r="V87" i="13"/>
  <c r="V88" i="13"/>
  <c r="V89" i="13"/>
  <c r="V90" i="13"/>
  <c r="V91" i="13"/>
  <c r="V92" i="13"/>
  <c r="V93" i="13"/>
  <c r="V94" i="13"/>
  <c r="V95" i="13"/>
  <c r="V96" i="13"/>
  <c r="V97" i="13"/>
  <c r="V98" i="13"/>
  <c r="V99" i="13"/>
  <c r="V100" i="13"/>
  <c r="V101" i="13"/>
  <c r="V102" i="13"/>
  <c r="V103" i="13"/>
  <c r="V104" i="13"/>
  <c r="V105" i="13"/>
  <c r="V106" i="13"/>
  <c r="V107" i="13"/>
  <c r="V108" i="13"/>
  <c r="V109" i="13"/>
  <c r="V110" i="13"/>
  <c r="V111" i="13"/>
  <c r="V112" i="13"/>
  <c r="V113" i="13"/>
  <c r="V114" i="13"/>
  <c r="V115" i="13"/>
  <c r="V116" i="13"/>
  <c r="V117" i="13"/>
  <c r="V118" i="13"/>
  <c r="V119" i="13"/>
  <c r="V120" i="13"/>
  <c r="V121" i="13"/>
  <c r="V122" i="13"/>
  <c r="V123" i="13"/>
  <c r="V124" i="13"/>
  <c r="V125" i="13"/>
  <c r="V126" i="13"/>
  <c r="V127" i="13"/>
  <c r="V128" i="13"/>
  <c r="V129" i="13"/>
  <c r="V130" i="13"/>
  <c r="V131" i="13"/>
  <c r="V132" i="13"/>
  <c r="V133" i="13"/>
  <c r="V134" i="13"/>
  <c r="V135" i="13"/>
  <c r="V136" i="13"/>
  <c r="V137" i="13"/>
  <c r="V138" i="13"/>
  <c r="V139" i="13"/>
  <c r="V140" i="13"/>
  <c r="V141" i="13"/>
  <c r="V142" i="13"/>
  <c r="V143" i="13"/>
  <c r="V144" i="13"/>
  <c r="V145" i="13"/>
  <c r="V146" i="13"/>
  <c r="V147" i="13"/>
  <c r="V148" i="13"/>
  <c r="V149" i="13"/>
  <c r="V150" i="13"/>
  <c r="V151" i="13"/>
  <c r="V152" i="13"/>
  <c r="V153" i="13"/>
  <c r="V154" i="13"/>
  <c r="V155" i="13"/>
  <c r="V156" i="13"/>
  <c r="V157" i="13"/>
  <c r="V158" i="13"/>
  <c r="V159" i="13"/>
  <c r="V160" i="13"/>
  <c r="V161" i="13"/>
  <c r="V162" i="13"/>
  <c r="V163" i="13"/>
  <c r="V164" i="13"/>
  <c r="V165" i="13"/>
  <c r="V166" i="13"/>
  <c r="V167" i="13"/>
  <c r="V168" i="13"/>
  <c r="V169" i="13"/>
  <c r="V170" i="13"/>
  <c r="V171" i="13"/>
  <c r="V172" i="13"/>
  <c r="V173" i="13"/>
  <c r="V174" i="13"/>
  <c r="V175" i="13"/>
  <c r="V176" i="13"/>
  <c r="V177" i="13"/>
  <c r="V178" i="13"/>
  <c r="V179" i="13"/>
  <c r="V180" i="13"/>
  <c r="V181" i="13"/>
  <c r="V182" i="13"/>
  <c r="V183" i="13"/>
  <c r="V184" i="13"/>
  <c r="V185" i="13"/>
  <c r="V186" i="13"/>
  <c r="V187" i="13"/>
  <c r="V188" i="13"/>
  <c r="V189" i="13"/>
  <c r="V190" i="13"/>
  <c r="V191" i="13"/>
  <c r="V192" i="13"/>
  <c r="V193" i="13"/>
  <c r="V194" i="13"/>
  <c r="V195" i="13"/>
  <c r="V196" i="13"/>
  <c r="V197" i="13"/>
  <c r="V198" i="13"/>
  <c r="V199" i="13"/>
  <c r="V200" i="13"/>
  <c r="V201" i="13"/>
  <c r="V202" i="13"/>
  <c r="V203" i="13"/>
  <c r="V204" i="13"/>
  <c r="V205" i="13"/>
  <c r="V206" i="13"/>
  <c r="V207" i="13"/>
  <c r="V208" i="13"/>
  <c r="V209" i="13"/>
  <c r="V210" i="13"/>
  <c r="V211" i="13"/>
  <c r="V212" i="13"/>
  <c r="V213" i="13"/>
  <c r="V214" i="13"/>
  <c r="V215" i="13"/>
  <c r="V216" i="13"/>
  <c r="V217" i="13"/>
  <c r="V218" i="13"/>
  <c r="V219" i="13"/>
  <c r="V220" i="13"/>
  <c r="V221" i="13"/>
  <c r="V222" i="13"/>
  <c r="V223" i="13"/>
  <c r="V224" i="13"/>
  <c r="V225" i="13"/>
  <c r="V226" i="13"/>
  <c r="V227" i="13"/>
  <c r="V228" i="13"/>
  <c r="V229" i="13"/>
  <c r="V230" i="13"/>
  <c r="V231" i="13"/>
  <c r="V232" i="13"/>
  <c r="V233" i="13"/>
  <c r="V234" i="13"/>
  <c r="V235" i="13"/>
  <c r="V236" i="13"/>
  <c r="V237" i="13"/>
  <c r="V238" i="13"/>
  <c r="V239" i="13"/>
  <c r="V240" i="13"/>
  <c r="V241" i="13"/>
  <c r="V242" i="13"/>
  <c r="V243" i="13"/>
  <c r="V244" i="13"/>
  <c r="V245" i="13"/>
  <c r="V246" i="13"/>
  <c r="V247" i="13"/>
  <c r="V248" i="13"/>
  <c r="V249" i="13"/>
  <c r="V250" i="13"/>
  <c r="V251" i="13"/>
  <c r="V252" i="13"/>
  <c r="V253" i="13"/>
  <c r="V254" i="13"/>
  <c r="V255" i="13"/>
  <c r="V256" i="13"/>
  <c r="V257" i="13"/>
  <c r="V258" i="13"/>
  <c r="V259" i="13"/>
  <c r="V260" i="13"/>
  <c r="V261" i="13"/>
  <c r="V262" i="13"/>
  <c r="V263" i="13"/>
  <c r="V264" i="13"/>
  <c r="V265" i="13"/>
  <c r="V266" i="13"/>
  <c r="V267" i="13"/>
  <c r="V268" i="13"/>
  <c r="V269" i="13"/>
  <c r="V270" i="13"/>
  <c r="V271" i="13"/>
  <c r="V272" i="13"/>
  <c r="V273" i="13"/>
  <c r="V274" i="13"/>
  <c r="V275" i="13"/>
  <c r="V276" i="13"/>
  <c r="V277" i="13"/>
  <c r="V278" i="13"/>
  <c r="V279" i="13"/>
  <c r="V280" i="13"/>
  <c r="V281" i="13"/>
  <c r="V282" i="13"/>
  <c r="V283" i="13"/>
  <c r="V284" i="13"/>
  <c r="V285" i="13"/>
  <c r="V286" i="13"/>
  <c r="V287" i="13"/>
  <c r="V288" i="13"/>
  <c r="V289" i="13"/>
  <c r="V290" i="13"/>
  <c r="V291" i="13"/>
  <c r="V292" i="13"/>
  <c r="V293" i="13"/>
  <c r="V294" i="13"/>
  <c r="V295" i="13"/>
  <c r="V296" i="13"/>
  <c r="V297" i="13"/>
  <c r="V298" i="13"/>
  <c r="V299" i="13"/>
  <c r="V300" i="13"/>
  <c r="V301" i="13"/>
  <c r="V302" i="13"/>
  <c r="V303" i="13"/>
  <c r="V304" i="13"/>
  <c r="V305" i="13"/>
  <c r="V306" i="13"/>
  <c r="V307" i="13"/>
  <c r="V308" i="13"/>
  <c r="V309" i="13"/>
  <c r="V310" i="13"/>
  <c r="V311" i="13"/>
  <c r="V312" i="13"/>
  <c r="V313" i="13"/>
  <c r="V314" i="13"/>
  <c r="V315" i="13"/>
  <c r="V316" i="13"/>
  <c r="V317" i="13"/>
  <c r="V318" i="13"/>
  <c r="V319" i="13"/>
  <c r="V320" i="13"/>
  <c r="V321" i="13"/>
  <c r="V322" i="13"/>
  <c r="V323" i="13"/>
  <c r="V324" i="13"/>
  <c r="V325" i="13"/>
  <c r="V326" i="13"/>
  <c r="V327" i="13"/>
  <c r="V328" i="13"/>
  <c r="V329" i="13"/>
  <c r="V330" i="13"/>
  <c r="V331" i="13"/>
  <c r="V332" i="13"/>
  <c r="V333" i="13"/>
  <c r="V334" i="13"/>
  <c r="V335" i="13"/>
  <c r="V336" i="13"/>
  <c r="V337" i="13"/>
  <c r="V338" i="13"/>
  <c r="V339" i="13"/>
  <c r="V340" i="13"/>
  <c r="V341" i="13"/>
  <c r="V342" i="13"/>
  <c r="V343" i="13"/>
  <c r="V344" i="13"/>
  <c r="V345" i="13"/>
  <c r="V346" i="13"/>
  <c r="V347" i="13"/>
  <c r="V348" i="13"/>
  <c r="V349" i="13"/>
  <c r="V350" i="13"/>
  <c r="V351" i="13"/>
  <c r="V352" i="13"/>
  <c r="V353" i="13"/>
  <c r="V354" i="13"/>
  <c r="V355" i="13"/>
  <c r="V356" i="13"/>
  <c r="V357" i="13"/>
  <c r="V358" i="13"/>
  <c r="V359" i="13"/>
  <c r="V360" i="13"/>
  <c r="V361" i="13"/>
  <c r="V362" i="13"/>
  <c r="V363" i="13"/>
  <c r="V364" i="13"/>
  <c r="V365" i="13"/>
  <c r="V366" i="13"/>
  <c r="V367" i="13"/>
  <c r="V368" i="13"/>
  <c r="V369" i="13"/>
  <c r="V370" i="13"/>
  <c r="V371" i="13"/>
  <c r="V372" i="13"/>
  <c r="V373" i="13"/>
  <c r="V374" i="13"/>
  <c r="V375" i="13"/>
  <c r="V376" i="13"/>
  <c r="V377" i="13"/>
  <c r="V378" i="13"/>
  <c r="V379" i="13"/>
  <c r="V380" i="13"/>
  <c r="V381" i="13"/>
  <c r="V382" i="13"/>
  <c r="V383" i="13"/>
  <c r="V384" i="13"/>
  <c r="V385" i="13"/>
  <c r="V386" i="13"/>
  <c r="V387" i="13"/>
  <c r="V388" i="13"/>
  <c r="V389" i="13"/>
  <c r="V390" i="13"/>
  <c r="V391" i="13"/>
  <c r="V392" i="13"/>
  <c r="V393" i="13"/>
  <c r="V394" i="13"/>
  <c r="V395" i="13"/>
  <c r="V396" i="13"/>
  <c r="V397" i="13"/>
  <c r="V398" i="13"/>
  <c r="V399" i="13"/>
  <c r="V400" i="13"/>
  <c r="V401" i="13"/>
  <c r="V402" i="13"/>
  <c r="V403" i="13"/>
  <c r="V404" i="13"/>
  <c r="V405" i="13"/>
  <c r="V406" i="13"/>
  <c r="V407" i="13"/>
  <c r="V408" i="13"/>
  <c r="V409" i="13"/>
  <c r="V410" i="13"/>
  <c r="V411" i="13"/>
  <c r="V412" i="13"/>
  <c r="V413" i="13"/>
  <c r="V414" i="13"/>
  <c r="V415" i="13"/>
  <c r="V416" i="13"/>
  <c r="V417" i="13"/>
  <c r="V418" i="13"/>
  <c r="V419" i="13"/>
  <c r="V420" i="13"/>
  <c r="V421" i="13"/>
  <c r="V422" i="13"/>
  <c r="V423" i="13"/>
  <c r="V424" i="13"/>
  <c r="V425" i="13"/>
  <c r="V426" i="13"/>
  <c r="V427" i="13"/>
  <c r="V428" i="13"/>
  <c r="V429" i="13"/>
  <c r="V430" i="13"/>
  <c r="V431" i="13"/>
  <c r="V432" i="13"/>
  <c r="V433" i="13"/>
  <c r="V434" i="13"/>
  <c r="V435" i="13"/>
  <c r="V436" i="13"/>
  <c r="V437" i="13"/>
  <c r="V438" i="13"/>
  <c r="V439" i="13"/>
  <c r="V440" i="13"/>
  <c r="V441" i="13"/>
  <c r="V442" i="13"/>
  <c r="V443" i="13"/>
  <c r="V444" i="13"/>
  <c r="V445" i="13"/>
  <c r="V446" i="13"/>
  <c r="V447" i="13"/>
  <c r="V448" i="13"/>
  <c r="V449" i="13"/>
  <c r="V450" i="13"/>
  <c r="V451" i="13"/>
  <c r="V452" i="13"/>
  <c r="V453" i="13"/>
  <c r="V454" i="13"/>
  <c r="V455" i="13"/>
  <c r="V456" i="13"/>
  <c r="V457" i="13"/>
  <c r="V458" i="13"/>
  <c r="V459" i="13"/>
  <c r="V460" i="13"/>
  <c r="V461" i="13"/>
  <c r="V462" i="13"/>
  <c r="V463" i="13"/>
  <c r="V464" i="13"/>
  <c r="V465" i="13"/>
  <c r="V466" i="13"/>
  <c r="V467" i="13"/>
  <c r="V468" i="13"/>
  <c r="V469" i="13"/>
  <c r="V470" i="13"/>
  <c r="V471" i="13"/>
  <c r="V472" i="13"/>
  <c r="V473" i="13"/>
  <c r="V474" i="13"/>
  <c r="V475" i="13"/>
  <c r="V476" i="13"/>
  <c r="V477" i="13"/>
  <c r="V478" i="13"/>
  <c r="V479" i="13"/>
  <c r="V480" i="13"/>
  <c r="V481" i="13"/>
  <c r="V482" i="13"/>
  <c r="V483" i="13"/>
  <c r="V484" i="13"/>
  <c r="V485" i="13"/>
  <c r="V486" i="13"/>
  <c r="V487" i="13"/>
  <c r="V488" i="13"/>
  <c r="V489" i="13"/>
  <c r="V490" i="13"/>
  <c r="V491" i="13"/>
  <c r="V492" i="13"/>
  <c r="V493" i="13"/>
  <c r="V494" i="13"/>
  <c r="V495" i="13"/>
  <c r="V496" i="13"/>
  <c r="V497" i="13"/>
  <c r="V498" i="13"/>
  <c r="V499" i="13"/>
  <c r="V500" i="13"/>
  <c r="V501" i="13"/>
  <c r="V502" i="13"/>
  <c r="V503" i="13"/>
  <c r="V504" i="13"/>
  <c r="AH95" i="13" l="1"/>
  <c r="AH165" i="13"/>
  <c r="AH115" i="13"/>
  <c r="AH145" i="13"/>
  <c r="AH175" i="13"/>
  <c r="AH125" i="13"/>
  <c r="AH155" i="13"/>
  <c r="AH105" i="13"/>
  <c r="U155" i="13"/>
  <c r="U115" i="13"/>
  <c r="U175" i="13"/>
  <c r="U135" i="13"/>
  <c r="U95" i="13"/>
  <c r="U145" i="13"/>
  <c r="U105" i="13"/>
  <c r="U165" i="13"/>
  <c r="U125" i="13"/>
  <c r="B3" i="26"/>
  <c r="X15" i="13"/>
  <c r="A16" i="13"/>
  <c r="X16" i="13" s="1"/>
  <c r="X17" i="13"/>
  <c r="X18" i="13"/>
  <c r="X19" i="13"/>
  <c r="X20" i="13"/>
  <c r="X21" i="13"/>
  <c r="X22" i="13"/>
  <c r="X23" i="13"/>
  <c r="X24" i="13"/>
  <c r="Q18" i="21" l="1"/>
  <c r="O19" i="21"/>
  <c r="Q19" i="21" s="1"/>
  <c r="O20" i="21"/>
  <c r="Q20" i="21" s="1"/>
  <c r="O21" i="21"/>
  <c r="Q21" i="21" s="1"/>
  <c r="O22" i="21"/>
  <c r="Q22" i="21" s="1"/>
  <c r="O23" i="21"/>
  <c r="Q23" i="21" s="1"/>
  <c r="O24" i="21"/>
  <c r="Q24" i="21" s="1"/>
  <c r="O25" i="21"/>
  <c r="Q25" i="21" s="1"/>
  <c r="O26" i="21"/>
  <c r="Q26" i="21" s="1"/>
  <c r="O27" i="21"/>
  <c r="Q27" i="21" s="1"/>
  <c r="O28" i="21"/>
  <c r="Q28" i="21" s="1"/>
  <c r="O29" i="21"/>
  <c r="Q29" i="21" s="1"/>
  <c r="O30" i="21"/>
  <c r="Q30" i="21" s="1"/>
  <c r="O31" i="21"/>
  <c r="Q31" i="21" s="1"/>
  <c r="O32" i="21"/>
  <c r="Q32" i="21" s="1"/>
  <c r="O33" i="21"/>
  <c r="Q33" i="21" s="1"/>
  <c r="O34" i="21"/>
  <c r="Q34" i="21" s="1"/>
  <c r="O35" i="21"/>
  <c r="Q35" i="21" s="1"/>
  <c r="O36" i="21"/>
  <c r="Q36" i="21" s="1"/>
  <c r="O37" i="21"/>
  <c r="Q37" i="21" s="1"/>
  <c r="O38" i="21"/>
  <c r="Q38" i="21" s="1"/>
  <c r="O39" i="21"/>
  <c r="Q39" i="21" s="1"/>
  <c r="O40" i="21"/>
  <c r="Q40" i="21" s="1"/>
  <c r="O41" i="21"/>
  <c r="Q41" i="21" s="1"/>
  <c r="R4" i="21"/>
  <c r="R5" i="21"/>
  <c r="R6" i="21"/>
  <c r="R7" i="21"/>
  <c r="R8" i="21"/>
  <c r="R9" i="21"/>
  <c r="R10" i="21"/>
  <c r="R11" i="21"/>
  <c r="R12" i="21"/>
  <c r="R13" i="21"/>
  <c r="R14" i="21"/>
  <c r="R15" i="21"/>
  <c r="R16" i="21"/>
  <c r="R17" i="21"/>
  <c r="R18" i="21"/>
  <c r="R19" i="21"/>
  <c r="R20" i="21"/>
  <c r="R21" i="21"/>
  <c r="R22" i="21"/>
  <c r="R23" i="21"/>
  <c r="R24" i="21"/>
  <c r="R25" i="21"/>
  <c r="R26" i="21"/>
  <c r="R27" i="21"/>
  <c r="R28" i="21"/>
  <c r="R29" i="21"/>
  <c r="R30" i="21"/>
  <c r="R31" i="21"/>
  <c r="R32" i="21"/>
  <c r="R33" i="21"/>
  <c r="R34" i="21"/>
  <c r="R35" i="21"/>
  <c r="R36" i="21"/>
  <c r="R37" i="21"/>
  <c r="R38" i="21"/>
  <c r="R39" i="21"/>
  <c r="R40" i="21"/>
  <c r="R41" i="21"/>
  <c r="R3" i="21"/>
  <c r="T4" i="21" l="1"/>
  <c r="T5" i="21"/>
  <c r="T6" i="21"/>
  <c r="T7" i="21"/>
  <c r="T8" i="21"/>
  <c r="T9" i="21"/>
  <c r="T10" i="2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3" i="21"/>
  <c r="S3" i="21" l="1"/>
  <c r="Y5" i="13" l="1"/>
  <c r="Y39" i="13"/>
  <c r="Y42" i="13"/>
  <c r="Y44" i="13"/>
  <c r="Y45" i="13"/>
  <c r="Y46" i="13"/>
  <c r="Y48" i="13"/>
  <c r="Y50" i="13"/>
  <c r="Y51" i="13"/>
  <c r="Y52" i="13"/>
  <c r="Y53" i="13"/>
  <c r="Y54" i="13"/>
  <c r="Y55" i="13"/>
  <c r="Y56" i="13"/>
  <c r="Y57" i="13"/>
  <c r="Y59" i="13"/>
  <c r="Y60" i="13"/>
  <c r="Y61" i="13"/>
  <c r="Y62" i="13"/>
  <c r="Y63" i="13"/>
  <c r="Y64" i="13"/>
  <c r="Y66" i="13"/>
  <c r="Y67" i="13"/>
  <c r="Y68" i="13"/>
  <c r="Y69" i="13"/>
  <c r="Y71" i="13"/>
  <c r="Y73" i="13"/>
  <c r="Y74" i="13"/>
  <c r="Y75" i="13"/>
  <c r="Y77" i="13"/>
  <c r="Y78" i="13"/>
  <c r="Y80"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7" i="13"/>
  <c r="Y198" i="13"/>
  <c r="Y199" i="13"/>
  <c r="Y200" i="13"/>
  <c r="Y201" i="13"/>
  <c r="Y202" i="13"/>
  <c r="Y203" i="13"/>
  <c r="Y204" i="13"/>
  <c r="Y205" i="13"/>
  <c r="Y206"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Y474" i="13"/>
  <c r="Y475" i="13"/>
  <c r="Y476" i="13"/>
  <c r="Y477" i="13"/>
  <c r="Y478" i="13"/>
  <c r="Y479" i="13"/>
  <c r="Y480" i="13"/>
  <c r="Y481" i="13"/>
  <c r="Y482" i="13"/>
  <c r="Y483" i="13"/>
  <c r="Y484" i="13"/>
  <c r="Y485" i="13"/>
  <c r="Y486" i="13"/>
  <c r="Y487" i="13"/>
  <c r="Y488" i="13"/>
  <c r="Y489" i="13"/>
  <c r="Y490" i="13"/>
  <c r="Y491" i="13"/>
  <c r="Y492" i="13"/>
  <c r="Y493" i="13"/>
  <c r="Y494" i="13"/>
  <c r="Y495" i="13"/>
  <c r="Y496" i="13"/>
  <c r="Y497" i="13"/>
  <c r="Y498" i="13"/>
  <c r="Y499" i="13"/>
  <c r="Y500" i="13"/>
  <c r="Y501" i="13"/>
  <c r="Y502" i="13"/>
  <c r="Y503" i="13"/>
  <c r="Y504" i="13"/>
  <c r="G493" i="26"/>
  <c r="F493" i="26"/>
  <c r="AH495" i="13" s="1"/>
  <c r="D493" i="26"/>
  <c r="C493" i="26"/>
  <c r="A493" i="26"/>
  <c r="G483" i="26"/>
  <c r="F483" i="26"/>
  <c r="D483" i="26"/>
  <c r="C483" i="26"/>
  <c r="A483" i="26"/>
  <c r="G473" i="26"/>
  <c r="F473" i="26"/>
  <c r="D473" i="26"/>
  <c r="C473" i="26"/>
  <c r="A473" i="26"/>
  <c r="G463" i="26"/>
  <c r="F463" i="26"/>
  <c r="D463" i="26"/>
  <c r="C463" i="26"/>
  <c r="A463" i="26"/>
  <c r="G453" i="26"/>
  <c r="F453" i="26"/>
  <c r="D453" i="26"/>
  <c r="C453" i="26"/>
  <c r="A453" i="26"/>
  <c r="G443" i="26"/>
  <c r="F443" i="26"/>
  <c r="D443" i="26"/>
  <c r="C443" i="26"/>
  <c r="A443" i="26"/>
  <c r="G433" i="26"/>
  <c r="F433" i="26"/>
  <c r="D433" i="26"/>
  <c r="C433" i="26"/>
  <c r="A433" i="26"/>
  <c r="G423" i="26"/>
  <c r="F423" i="26"/>
  <c r="D423" i="26"/>
  <c r="C423" i="26"/>
  <c r="A423" i="26"/>
  <c r="G413" i="26"/>
  <c r="F413" i="26"/>
  <c r="AH415" i="13" s="1"/>
  <c r="D413" i="26"/>
  <c r="C413" i="26"/>
  <c r="A413" i="26"/>
  <c r="G403" i="26"/>
  <c r="F403" i="26"/>
  <c r="D403" i="26"/>
  <c r="C403" i="26"/>
  <c r="A403" i="26"/>
  <c r="G393" i="26"/>
  <c r="F393" i="26"/>
  <c r="D393" i="26"/>
  <c r="C393" i="26"/>
  <c r="A393" i="26"/>
  <c r="G383" i="26"/>
  <c r="F383" i="26"/>
  <c r="D383" i="26"/>
  <c r="C383" i="26"/>
  <c r="A383" i="26"/>
  <c r="G373" i="26"/>
  <c r="F373" i="26"/>
  <c r="D373" i="26"/>
  <c r="C373" i="26"/>
  <c r="A373" i="26"/>
  <c r="G363" i="26"/>
  <c r="F363" i="26"/>
  <c r="D363" i="26"/>
  <c r="C363" i="26"/>
  <c r="A363" i="26"/>
  <c r="G353" i="26"/>
  <c r="F353" i="26"/>
  <c r="D353" i="26"/>
  <c r="C353" i="26"/>
  <c r="A353" i="26"/>
  <c r="G343" i="26"/>
  <c r="F343" i="26"/>
  <c r="D343" i="26"/>
  <c r="C343" i="26"/>
  <c r="A343" i="26"/>
  <c r="G333" i="26"/>
  <c r="F333" i="26"/>
  <c r="AH335" i="13" s="1"/>
  <c r="D333" i="26"/>
  <c r="C333" i="26"/>
  <c r="A333" i="26"/>
  <c r="G323" i="26"/>
  <c r="F323" i="26"/>
  <c r="D323" i="26"/>
  <c r="C323" i="26"/>
  <c r="A323" i="26"/>
  <c r="G313" i="26"/>
  <c r="F313" i="26"/>
  <c r="D313" i="26"/>
  <c r="C313" i="26"/>
  <c r="A313" i="26"/>
  <c r="G303" i="26"/>
  <c r="F303" i="26"/>
  <c r="D303" i="26"/>
  <c r="C303" i="26"/>
  <c r="A303" i="26"/>
  <c r="G293" i="26"/>
  <c r="F293" i="26"/>
  <c r="D293" i="26"/>
  <c r="C293" i="26"/>
  <c r="A293" i="26"/>
  <c r="G283" i="26"/>
  <c r="F283" i="26"/>
  <c r="D283" i="26"/>
  <c r="C283" i="26"/>
  <c r="A283" i="26"/>
  <c r="G273" i="26"/>
  <c r="F273" i="26"/>
  <c r="D273" i="26"/>
  <c r="C273" i="26"/>
  <c r="A273" i="26"/>
  <c r="G263" i="26"/>
  <c r="F263" i="26"/>
  <c r="D263" i="26"/>
  <c r="C263" i="26"/>
  <c r="A263" i="26"/>
  <c r="G253" i="26"/>
  <c r="F253" i="26"/>
  <c r="AH255" i="13" s="1"/>
  <c r="D253" i="26"/>
  <c r="C253" i="26"/>
  <c r="A253" i="26"/>
  <c r="G243" i="26"/>
  <c r="F243" i="26"/>
  <c r="D243" i="26"/>
  <c r="C243" i="26"/>
  <c r="A243" i="26"/>
  <c r="G233" i="26"/>
  <c r="F233" i="26"/>
  <c r="D233" i="26"/>
  <c r="C233" i="26"/>
  <c r="A233" i="26"/>
  <c r="G223" i="26"/>
  <c r="F223" i="26"/>
  <c r="D223" i="26"/>
  <c r="C223" i="26"/>
  <c r="A223" i="26"/>
  <c r="G213" i="26"/>
  <c r="F213" i="26"/>
  <c r="D213" i="26"/>
  <c r="C213" i="26"/>
  <c r="A213" i="26"/>
  <c r="G203" i="26"/>
  <c r="F203" i="26"/>
  <c r="D203" i="26"/>
  <c r="C203" i="26"/>
  <c r="A203" i="26"/>
  <c r="G193" i="26"/>
  <c r="F193" i="26"/>
  <c r="D193" i="26"/>
  <c r="C193" i="26"/>
  <c r="A193" i="26"/>
  <c r="G183" i="26"/>
  <c r="F183" i="26"/>
  <c r="D183" i="26"/>
  <c r="C183" i="26"/>
  <c r="A183" i="26"/>
  <c r="G83" i="26"/>
  <c r="F83" i="26"/>
  <c r="AH85" i="13" s="1"/>
  <c r="D83" i="26"/>
  <c r="C83" i="26"/>
  <c r="A83" i="26"/>
  <c r="G73" i="26"/>
  <c r="F73" i="26"/>
  <c r="D73" i="26"/>
  <c r="C73" i="26"/>
  <c r="A73" i="26"/>
  <c r="G63" i="26"/>
  <c r="F63" i="26"/>
  <c r="D63" i="26"/>
  <c r="C63" i="26"/>
  <c r="A63" i="26"/>
  <c r="G53" i="26"/>
  <c r="F53" i="26"/>
  <c r="D53" i="26"/>
  <c r="C53" i="26"/>
  <c r="A53" i="26"/>
  <c r="G43" i="26"/>
  <c r="F43" i="26"/>
  <c r="D43" i="26"/>
  <c r="C43" i="26"/>
  <c r="A43" i="26"/>
  <c r="G33" i="26"/>
  <c r="F33" i="26"/>
  <c r="D33" i="26"/>
  <c r="C33" i="26"/>
  <c r="A33" i="26"/>
  <c r="G23" i="26"/>
  <c r="F23" i="26"/>
  <c r="D23" i="26"/>
  <c r="C23" i="26"/>
  <c r="A23" i="26"/>
  <c r="G13" i="26"/>
  <c r="F13" i="26"/>
  <c r="D13" i="26"/>
  <c r="C13" i="26"/>
  <c r="G3" i="26"/>
  <c r="F3" i="26"/>
  <c r="D3" i="26"/>
  <c r="C3" i="26"/>
  <c r="A3" i="26"/>
  <c r="D15" i="14"/>
  <c r="G19" i="14"/>
  <c r="E18" i="14"/>
  <c r="G15" i="14"/>
  <c r="F16" i="14"/>
  <c r="H18" i="14"/>
  <c r="D6" i="14"/>
  <c r="D7" i="14"/>
  <c r="G17" i="14"/>
  <c r="E17" i="14"/>
  <c r="H15" i="14"/>
  <c r="D8" i="14"/>
  <c r="F17" i="14"/>
  <c r="G16" i="14"/>
  <c r="G4" i="14"/>
  <c r="F18" i="14"/>
  <c r="H17" i="14"/>
  <c r="E19" i="14"/>
  <c r="D19" i="14"/>
  <c r="D16" i="14"/>
  <c r="F19" i="14"/>
  <c r="D4" i="14"/>
  <c r="H19" i="14"/>
  <c r="D5" i="14"/>
  <c r="F15" i="14"/>
  <c r="H16" i="14"/>
  <c r="E15" i="14"/>
  <c r="D18" i="14"/>
  <c r="E16" i="14"/>
  <c r="G18" i="14"/>
  <c r="D17" i="14"/>
  <c r="AH5" i="13" l="1"/>
  <c r="AH65" i="13"/>
  <c r="AH235" i="13"/>
  <c r="AH315" i="13"/>
  <c r="H313" i="26" s="1"/>
  <c r="AH475" i="13"/>
  <c r="H473" i="26" s="1"/>
  <c r="AH75" i="13"/>
  <c r="AH245" i="13"/>
  <c r="AH325" i="13"/>
  <c r="H323" i="26" s="1"/>
  <c r="AH405" i="13"/>
  <c r="AH485" i="13"/>
  <c r="AH195" i="13"/>
  <c r="AH275" i="13"/>
  <c r="H273" i="26" s="1"/>
  <c r="AH355" i="13"/>
  <c r="H353" i="26" s="1"/>
  <c r="AH435" i="13"/>
  <c r="AH185" i="13"/>
  <c r="AH265" i="13"/>
  <c r="AH345" i="13"/>
  <c r="AH425" i="13"/>
  <c r="AH55" i="13"/>
  <c r="AH225" i="13"/>
  <c r="AH305" i="13"/>
  <c r="H303" i="26" s="1"/>
  <c r="AH385" i="13"/>
  <c r="AH465" i="13"/>
  <c r="AH45" i="13"/>
  <c r="AH215" i="13"/>
  <c r="AH295" i="13"/>
  <c r="H293" i="26" s="1"/>
  <c r="AH375" i="13"/>
  <c r="H373" i="26" s="1"/>
  <c r="AH455" i="13"/>
  <c r="H453" i="26" s="1"/>
  <c r="AH15" i="13"/>
  <c r="AH395" i="13"/>
  <c r="AH205" i="13"/>
  <c r="AH285" i="13"/>
  <c r="AH365" i="13"/>
  <c r="AH445" i="13"/>
  <c r="H443" i="26" s="1"/>
  <c r="AH35" i="13"/>
  <c r="AH25" i="13"/>
  <c r="U495" i="13"/>
  <c r="E493" i="26" s="1"/>
  <c r="U25" i="13"/>
  <c r="U5" i="13"/>
  <c r="U55" i="13"/>
  <c r="U185" i="13"/>
  <c r="H203" i="26"/>
  <c r="U225" i="13"/>
  <c r="H243" i="26"/>
  <c r="U265" i="13"/>
  <c r="U305" i="13"/>
  <c r="U345" i="13"/>
  <c r="U385" i="13"/>
  <c r="U425" i="13"/>
  <c r="U465" i="13"/>
  <c r="U75" i="13"/>
  <c r="H183" i="26"/>
  <c r="U205" i="13"/>
  <c r="E203" i="26" s="1"/>
  <c r="U245" i="13"/>
  <c r="E243" i="26" s="1"/>
  <c r="U65" i="13"/>
  <c r="U195" i="13"/>
  <c r="E193" i="26" s="1"/>
  <c r="U235" i="13"/>
  <c r="H253" i="26"/>
  <c r="U275" i="13"/>
  <c r="U315" i="13"/>
  <c r="H333" i="26"/>
  <c r="U355" i="13"/>
  <c r="U395" i="13"/>
  <c r="H413" i="26"/>
  <c r="U435" i="13"/>
  <c r="U475" i="13"/>
  <c r="U285" i="13"/>
  <c r="U325" i="13"/>
  <c r="E323" i="26" s="1"/>
  <c r="U365" i="13"/>
  <c r="U405" i="13"/>
  <c r="U445" i="13"/>
  <c r="U485" i="13"/>
  <c r="E483" i="26" s="1"/>
  <c r="U45" i="13"/>
  <c r="U85" i="13"/>
  <c r="U215" i="13"/>
  <c r="E213" i="26" s="1"/>
  <c r="H233" i="26"/>
  <c r="U255" i="13"/>
  <c r="U295" i="13"/>
  <c r="U335" i="13"/>
  <c r="U375" i="13"/>
  <c r="E373" i="26" s="1"/>
  <c r="H393" i="26"/>
  <c r="U415" i="13"/>
  <c r="E413" i="26" s="1"/>
  <c r="H433" i="26"/>
  <c r="U455" i="13"/>
  <c r="E453" i="26" s="1"/>
  <c r="H493" i="26"/>
  <c r="U35" i="13"/>
  <c r="Y6" i="13"/>
  <c r="Y7" i="13" s="1"/>
  <c r="Y8" i="13" s="1"/>
  <c r="U15" i="13"/>
  <c r="E113" i="26"/>
  <c r="H133" i="26"/>
  <c r="E153" i="26"/>
  <c r="H173" i="26"/>
  <c r="H123" i="26"/>
  <c r="E143" i="26"/>
  <c r="H163" i="26"/>
  <c r="E173" i="26"/>
  <c r="E123" i="26"/>
  <c r="H143" i="26"/>
  <c r="E163" i="26"/>
  <c r="H113" i="26"/>
  <c r="E133" i="26"/>
  <c r="H153" i="26"/>
  <c r="H103" i="26"/>
  <c r="E103" i="26"/>
  <c r="H93" i="26"/>
  <c r="E93" i="26"/>
  <c r="Y9" i="13" l="1"/>
  <c r="E293" i="26"/>
  <c r="E353" i="26"/>
  <c r="H213" i="26"/>
  <c r="E223" i="26"/>
  <c r="E363" i="26"/>
  <c r="H283" i="26"/>
  <c r="E383" i="26"/>
  <c r="E303" i="26"/>
  <c r="H403" i="26"/>
  <c r="E333" i="26"/>
  <c r="E263" i="26"/>
  <c r="E183" i="26"/>
  <c r="E283" i="26"/>
  <c r="H363" i="26"/>
  <c r="H193" i="26"/>
  <c r="H483" i="26"/>
  <c r="E443" i="26"/>
  <c r="E343" i="26"/>
  <c r="E463" i="26"/>
  <c r="H223" i="26"/>
  <c r="H383" i="26"/>
  <c r="H263" i="26"/>
  <c r="E473" i="26"/>
  <c r="E393" i="26"/>
  <c r="H423" i="26"/>
  <c r="E313" i="26"/>
  <c r="E433" i="26"/>
  <c r="E233" i="26"/>
  <c r="E423" i="26"/>
  <c r="H343" i="26"/>
  <c r="E403" i="26"/>
  <c r="H463" i="26"/>
  <c r="E273" i="26"/>
  <c r="E253" i="26"/>
  <c r="Y10" i="13" l="1"/>
  <c r="Y28" i="13"/>
  <c r="Y11" i="13" l="1"/>
  <c r="Y12" i="13" l="1"/>
  <c r="Y13" i="13" s="1"/>
  <c r="Y14" i="13" l="1"/>
  <c r="Y40" i="13"/>
  <c r="Y41" i="13" s="1"/>
  <c r="Y43" i="13" s="1"/>
  <c r="A246" i="13"/>
  <c r="A247" i="13"/>
  <c r="A248" i="13"/>
  <c r="A249" i="13"/>
  <c r="A250" i="13"/>
  <c r="A251" i="13"/>
  <c r="A252" i="13"/>
  <c r="A253" i="13"/>
  <c r="A254" i="13"/>
  <c r="A245" i="13"/>
  <c r="A236" i="13"/>
  <c r="A237" i="13"/>
  <c r="A238" i="13"/>
  <c r="A239" i="13"/>
  <c r="A240" i="13"/>
  <c r="A241" i="13"/>
  <c r="A242" i="13"/>
  <c r="A243" i="13"/>
  <c r="A244" i="13"/>
  <c r="A235" i="13"/>
  <c r="A226" i="13"/>
  <c r="A227" i="13"/>
  <c r="A228" i="13"/>
  <c r="A229" i="13"/>
  <c r="A230" i="13"/>
  <c r="A231" i="13"/>
  <c r="A232" i="13"/>
  <c r="A233" i="13"/>
  <c r="A234" i="13"/>
  <c r="A225" i="13"/>
  <c r="Y15" i="13" l="1"/>
  <c r="Y47" i="13"/>
  <c r="Y49" i="13" s="1"/>
  <c r="Y58" i="13" s="1"/>
  <c r="Y70" i="13" s="1"/>
  <c r="Y72" i="13" s="1"/>
  <c r="Y76" i="13" s="1"/>
  <c r="Y79" i="13" s="1"/>
  <c r="Y81" i="13" s="1"/>
  <c r="A86" i="13"/>
  <c r="A87" i="13" s="1"/>
  <c r="A88" i="13" s="1"/>
  <c r="A89" i="13" s="1"/>
  <c r="A90" i="13" s="1"/>
  <c r="A91" i="13" s="1"/>
  <c r="A92" i="13" s="1"/>
  <c r="A93" i="13" s="1"/>
  <c r="A94" i="13" s="1"/>
  <c r="A6" i="13"/>
  <c r="A26" i="13"/>
  <c r="A36" i="13"/>
  <c r="A46" i="13"/>
  <c r="A47" i="13" s="1"/>
  <c r="A48" i="13" s="1"/>
  <c r="A49" i="13" s="1"/>
  <c r="A50" i="13" s="1"/>
  <c r="A51" i="13" s="1"/>
  <c r="A52" i="13" s="1"/>
  <c r="A53" i="13" s="1"/>
  <c r="A54" i="13" s="1"/>
  <c r="A56" i="13"/>
  <c r="A57" i="13" s="1"/>
  <c r="A58" i="13" s="1"/>
  <c r="A59" i="13" s="1"/>
  <c r="A60" i="13" s="1"/>
  <c r="A61" i="13" s="1"/>
  <c r="A62" i="13" s="1"/>
  <c r="A63" i="13" s="1"/>
  <c r="A64" i="13" s="1"/>
  <c r="A66" i="13"/>
  <c r="A67" i="13" s="1"/>
  <c r="A68" i="13" s="1"/>
  <c r="A69" i="13" s="1"/>
  <c r="A70" i="13" s="1"/>
  <c r="A71" i="13" s="1"/>
  <c r="A72" i="13" s="1"/>
  <c r="A73" i="13" s="1"/>
  <c r="A74" i="13" s="1"/>
  <c r="A76" i="13"/>
  <c r="A77" i="13" s="1"/>
  <c r="A78" i="13" s="1"/>
  <c r="A79" i="13" s="1"/>
  <c r="A80" i="13" s="1"/>
  <c r="A81" i="13" s="1"/>
  <c r="A82" i="13" s="1"/>
  <c r="A83" i="13" s="1"/>
  <c r="A84" i="13" s="1"/>
  <c r="A96" i="13"/>
  <c r="A97" i="13" s="1"/>
  <c r="A98" i="13" s="1"/>
  <c r="A99" i="13" s="1"/>
  <c r="A100" i="13" s="1"/>
  <c r="A101" i="13" s="1"/>
  <c r="A102" i="13" s="1"/>
  <c r="A103" i="13" s="1"/>
  <c r="A104" i="13" s="1"/>
  <c r="X55" i="13"/>
  <c r="X56" i="13"/>
  <c r="X57" i="13"/>
  <c r="X58" i="13"/>
  <c r="X59" i="13"/>
  <c r="X60" i="13"/>
  <c r="X61" i="13"/>
  <c r="X62" i="13"/>
  <c r="X63" i="13"/>
  <c r="X64" i="13"/>
  <c r="X65" i="13"/>
  <c r="X66" i="13"/>
  <c r="X67" i="13"/>
  <c r="X68" i="13"/>
  <c r="X69" i="13"/>
  <c r="X71"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X249" i="13"/>
  <c r="X250" i="13"/>
  <c r="X251" i="13"/>
  <c r="X252" i="13"/>
  <c r="X253" i="13"/>
  <c r="X254" i="13"/>
  <c r="X255" i="13"/>
  <c r="X256" i="13"/>
  <c r="X257" i="13"/>
  <c r="X258" i="13"/>
  <c r="X259" i="13"/>
  <c r="X260" i="13"/>
  <c r="X261" i="13"/>
  <c r="X262" i="13"/>
  <c r="X263" i="13"/>
  <c r="X264" i="13"/>
  <c r="X265" i="13"/>
  <c r="X266" i="13"/>
  <c r="X267" i="13"/>
  <c r="X268" i="13"/>
  <c r="X269" i="13"/>
  <c r="X270" i="13"/>
  <c r="X271" i="13"/>
  <c r="X272" i="13"/>
  <c r="X273" i="13"/>
  <c r="X274" i="13"/>
  <c r="X275" i="13"/>
  <c r="X276" i="13"/>
  <c r="X277" i="13"/>
  <c r="X278" i="13"/>
  <c r="X279" i="13"/>
  <c r="X280" i="13"/>
  <c r="X281" i="13"/>
  <c r="X282" i="13"/>
  <c r="X283" i="13"/>
  <c r="X284" i="13"/>
  <c r="X285" i="13"/>
  <c r="X286" i="13"/>
  <c r="X287" i="13"/>
  <c r="X288" i="13"/>
  <c r="X289" i="13"/>
  <c r="X290" i="13"/>
  <c r="X291" i="13"/>
  <c r="X292" i="13"/>
  <c r="X293" i="13"/>
  <c r="X294" i="13"/>
  <c r="X295" i="13"/>
  <c r="X296" i="13"/>
  <c r="X297" i="13"/>
  <c r="X298" i="13"/>
  <c r="X299" i="13"/>
  <c r="X300" i="13"/>
  <c r="X301" i="13"/>
  <c r="X302" i="13"/>
  <c r="X303" i="13"/>
  <c r="X304" i="13"/>
  <c r="X305" i="13"/>
  <c r="X306" i="13"/>
  <c r="X307" i="13"/>
  <c r="X308" i="13"/>
  <c r="X309" i="13"/>
  <c r="X310" i="13"/>
  <c r="X311" i="13"/>
  <c r="X312" i="13"/>
  <c r="X313" i="13"/>
  <c r="X314" i="13"/>
  <c r="X315" i="13"/>
  <c r="X316" i="13"/>
  <c r="X317" i="13"/>
  <c r="X318" i="13"/>
  <c r="X319" i="13"/>
  <c r="X320" i="13"/>
  <c r="X321" i="13"/>
  <c r="X322" i="13"/>
  <c r="X323" i="13"/>
  <c r="X324" i="13"/>
  <c r="X325" i="13"/>
  <c r="X326" i="13"/>
  <c r="X327" i="13"/>
  <c r="X328" i="13"/>
  <c r="X329" i="13"/>
  <c r="X330" i="13"/>
  <c r="X331" i="13"/>
  <c r="X332" i="13"/>
  <c r="X333" i="13"/>
  <c r="X334" i="13"/>
  <c r="X335" i="13"/>
  <c r="X336" i="13"/>
  <c r="X337" i="13"/>
  <c r="X338" i="13"/>
  <c r="X339" i="13"/>
  <c r="X340" i="13"/>
  <c r="X341" i="13"/>
  <c r="X342" i="13"/>
  <c r="X343" i="13"/>
  <c r="X344" i="13"/>
  <c r="X345" i="13"/>
  <c r="X346" i="13"/>
  <c r="X347" i="13"/>
  <c r="X348" i="13"/>
  <c r="X349" i="13"/>
  <c r="X350" i="13"/>
  <c r="X351" i="13"/>
  <c r="X352" i="13"/>
  <c r="X353" i="13"/>
  <c r="X354" i="13"/>
  <c r="X355" i="13"/>
  <c r="X356" i="13"/>
  <c r="X357" i="13"/>
  <c r="X358" i="13"/>
  <c r="X359" i="13"/>
  <c r="X360" i="13"/>
  <c r="X361" i="13"/>
  <c r="X362" i="13"/>
  <c r="X363" i="13"/>
  <c r="X364" i="13"/>
  <c r="X365" i="13"/>
  <c r="X366" i="13"/>
  <c r="X367" i="13"/>
  <c r="X368" i="13"/>
  <c r="X369" i="13"/>
  <c r="X370" i="13"/>
  <c r="X371" i="13"/>
  <c r="X372" i="13"/>
  <c r="X373" i="13"/>
  <c r="X374" i="13"/>
  <c r="X375" i="13"/>
  <c r="X376" i="13"/>
  <c r="X377" i="13"/>
  <c r="X378" i="13"/>
  <c r="X379" i="13"/>
  <c r="X380" i="13"/>
  <c r="X381" i="13"/>
  <c r="X382" i="13"/>
  <c r="X383" i="13"/>
  <c r="X384" i="13"/>
  <c r="X385" i="13"/>
  <c r="X386" i="13"/>
  <c r="X387" i="13"/>
  <c r="X388" i="13"/>
  <c r="X389" i="13"/>
  <c r="X390" i="13"/>
  <c r="X391" i="13"/>
  <c r="X392" i="13"/>
  <c r="X393" i="13"/>
  <c r="X394" i="13"/>
  <c r="X395" i="13"/>
  <c r="X396" i="13"/>
  <c r="X397" i="13"/>
  <c r="X398" i="13"/>
  <c r="X399" i="13"/>
  <c r="X400" i="13"/>
  <c r="X401" i="13"/>
  <c r="X402" i="13"/>
  <c r="X403" i="13"/>
  <c r="X404" i="13"/>
  <c r="X405" i="13"/>
  <c r="X406" i="13"/>
  <c r="X407" i="13"/>
  <c r="X408" i="13"/>
  <c r="X409" i="13"/>
  <c r="X410" i="13"/>
  <c r="X411" i="13"/>
  <c r="X412" i="13"/>
  <c r="X413" i="13"/>
  <c r="X414" i="13"/>
  <c r="X415" i="13"/>
  <c r="X416" i="13"/>
  <c r="X417" i="13"/>
  <c r="X418" i="13"/>
  <c r="X419" i="13"/>
  <c r="X420" i="13"/>
  <c r="X421" i="13"/>
  <c r="X422" i="13"/>
  <c r="X423" i="13"/>
  <c r="X424" i="13"/>
  <c r="X425" i="13"/>
  <c r="X426" i="13"/>
  <c r="X427" i="13"/>
  <c r="X428" i="13"/>
  <c r="X429" i="13"/>
  <c r="X430" i="13"/>
  <c r="X431" i="13"/>
  <c r="X432" i="13"/>
  <c r="X433" i="13"/>
  <c r="X434" i="13"/>
  <c r="X435" i="13"/>
  <c r="X436" i="13"/>
  <c r="X437" i="13"/>
  <c r="X438" i="13"/>
  <c r="X439" i="13"/>
  <c r="X440" i="13"/>
  <c r="X441" i="13"/>
  <c r="X442" i="13"/>
  <c r="X443" i="13"/>
  <c r="X444" i="13"/>
  <c r="X445" i="13"/>
  <c r="X446" i="13"/>
  <c r="X447" i="13"/>
  <c r="X448" i="13"/>
  <c r="X449" i="13"/>
  <c r="X450" i="13"/>
  <c r="X451" i="13"/>
  <c r="X452" i="13"/>
  <c r="X453" i="13"/>
  <c r="X454" i="13"/>
  <c r="X455" i="13"/>
  <c r="X456" i="13"/>
  <c r="X457" i="13"/>
  <c r="X458" i="13"/>
  <c r="X459" i="13"/>
  <c r="X460" i="13"/>
  <c r="X461" i="13"/>
  <c r="X462" i="13"/>
  <c r="X463" i="13"/>
  <c r="X464" i="13"/>
  <c r="X465" i="13"/>
  <c r="X466" i="13"/>
  <c r="X467" i="13"/>
  <c r="X468" i="13"/>
  <c r="X469" i="13"/>
  <c r="X470" i="13"/>
  <c r="X471" i="13"/>
  <c r="X472" i="13"/>
  <c r="X473" i="13"/>
  <c r="X474" i="13"/>
  <c r="X475" i="13"/>
  <c r="X476" i="13"/>
  <c r="X477" i="13"/>
  <c r="X478" i="13"/>
  <c r="X479" i="13"/>
  <c r="X480" i="13"/>
  <c r="X481" i="13"/>
  <c r="X482" i="13"/>
  <c r="X483" i="13"/>
  <c r="X484" i="13"/>
  <c r="X485" i="13"/>
  <c r="X486" i="13"/>
  <c r="X487" i="13"/>
  <c r="X488" i="13"/>
  <c r="X489" i="13"/>
  <c r="X490" i="13"/>
  <c r="X491" i="13"/>
  <c r="X492" i="13"/>
  <c r="X493" i="13"/>
  <c r="X494" i="13"/>
  <c r="X495" i="13"/>
  <c r="X496" i="13"/>
  <c r="X497" i="13"/>
  <c r="X498" i="13"/>
  <c r="X499" i="13"/>
  <c r="X500" i="13"/>
  <c r="X501" i="13"/>
  <c r="X502" i="13"/>
  <c r="X503" i="13"/>
  <c r="X504" i="13"/>
  <c r="Y16" i="13" l="1"/>
  <c r="Y17" i="13" s="1"/>
  <c r="Y18" i="13" s="1"/>
  <c r="Y19" i="13"/>
  <c r="X72" i="13"/>
  <c r="X70" i="13"/>
  <c r="X6" i="13"/>
  <c r="X7" i="13"/>
  <c r="X8" i="13"/>
  <c r="X9" i="13"/>
  <c r="X10" i="13"/>
  <c r="X11" i="13"/>
  <c r="X12" i="13"/>
  <c r="X13" i="13"/>
  <c r="X1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 i="13"/>
  <c r="B2" i="45" l="1" a="1"/>
  <c r="B2" i="45" s="1"/>
  <c r="Y20" i="13"/>
  <c r="Y30" i="13"/>
  <c r="Y31" i="13" s="1"/>
  <c r="Y32" i="13" s="1"/>
  <c r="Y33" i="13" s="1"/>
  <c r="Y34" i="13" s="1"/>
  <c r="Y35" i="13" s="1"/>
  <c r="Y36" i="13" s="1"/>
  <c r="Y37" i="13" s="1"/>
  <c r="Y38" i="13" s="1"/>
  <c r="A62" i="20"/>
  <c r="B62" i="20" s="1"/>
  <c r="A63" i="20"/>
  <c r="B63" i="20" s="1"/>
  <c r="A64" i="20"/>
  <c r="B64" i="20" s="1"/>
  <c r="A65" i="20"/>
  <c r="B65" i="20" s="1"/>
  <c r="A66" i="20"/>
  <c r="B66" i="20" s="1"/>
  <c r="A67" i="20"/>
  <c r="B67" i="20" s="1"/>
  <c r="A68" i="20"/>
  <c r="B68" i="20" s="1"/>
  <c r="A69" i="20"/>
  <c r="B69" i="20" s="1"/>
  <c r="A70" i="20"/>
  <c r="B70" i="20" s="1"/>
  <c r="A71" i="20"/>
  <c r="B71" i="20" s="1"/>
  <c r="A72" i="20"/>
  <c r="B72" i="20" s="1"/>
  <c r="A73" i="20"/>
  <c r="B73" i="20" s="1"/>
  <c r="A74" i="20"/>
  <c r="B74" i="20" s="1"/>
  <c r="A75" i="20"/>
  <c r="B75" i="20" s="1"/>
  <c r="A76" i="20"/>
  <c r="B76" i="20" s="1"/>
  <c r="A77" i="20"/>
  <c r="B77" i="20" s="1"/>
  <c r="A78" i="20"/>
  <c r="B78" i="20" s="1"/>
  <c r="A79" i="20"/>
  <c r="B79" i="20" s="1"/>
  <c r="A80" i="20"/>
  <c r="B80" i="20" s="1"/>
  <c r="A81" i="20"/>
  <c r="B81" i="20" s="1"/>
  <c r="A82" i="20"/>
  <c r="B82" i="20" s="1"/>
  <c r="A83" i="20"/>
  <c r="B83" i="20" s="1"/>
  <c r="A84" i="20"/>
  <c r="B84" i="20" s="1"/>
  <c r="A85" i="20"/>
  <c r="B85" i="20" s="1"/>
  <c r="A86" i="20"/>
  <c r="B86" i="20" s="1"/>
  <c r="A87" i="20"/>
  <c r="B87" i="20" s="1"/>
  <c r="A88" i="20"/>
  <c r="B88" i="20" s="1"/>
  <c r="A89" i="20"/>
  <c r="B89" i="20" s="1"/>
  <c r="A90" i="20"/>
  <c r="B90" i="20" s="1"/>
  <c r="A91" i="20"/>
  <c r="B91" i="20" s="1"/>
  <c r="A92" i="20"/>
  <c r="B92" i="20" s="1"/>
  <c r="A93" i="20"/>
  <c r="B93" i="20" s="1"/>
  <c r="A94" i="20"/>
  <c r="B94" i="20" s="1"/>
  <c r="A95" i="20"/>
  <c r="B95" i="20" s="1"/>
  <c r="A96" i="20"/>
  <c r="B96" i="20" s="1"/>
  <c r="A97" i="20"/>
  <c r="B97" i="20" s="1"/>
  <c r="A98" i="20"/>
  <c r="B98" i="20" s="1"/>
  <c r="A99" i="20"/>
  <c r="B99" i="20" s="1"/>
  <c r="A100" i="20"/>
  <c r="B100" i="20" s="1"/>
  <c r="A101" i="20"/>
  <c r="B101" i="20" s="1"/>
  <c r="A102" i="20"/>
  <c r="B102" i="20" s="1"/>
  <c r="A103" i="20"/>
  <c r="B103" i="20" s="1"/>
  <c r="A104" i="20"/>
  <c r="B104" i="20" s="1"/>
  <c r="A105" i="20"/>
  <c r="B105" i="20" s="1"/>
  <c r="A106" i="20"/>
  <c r="B106" i="20" s="1"/>
  <c r="A107" i="20"/>
  <c r="B107" i="20" s="1"/>
  <c r="A108" i="20"/>
  <c r="B108" i="20" s="1"/>
  <c r="A109" i="20"/>
  <c r="B109" i="20" s="1"/>
  <c r="A110" i="20"/>
  <c r="B110" i="20" s="1"/>
  <c r="A111" i="20"/>
  <c r="B111" i="20" s="1"/>
  <c r="A112" i="20"/>
  <c r="B112" i="20" s="1"/>
  <c r="A113" i="20"/>
  <c r="B113" i="20" s="1"/>
  <c r="A114" i="20"/>
  <c r="B114" i="20" s="1"/>
  <c r="A115" i="20"/>
  <c r="B115" i="20" s="1"/>
  <c r="A116" i="20"/>
  <c r="B116" i="20" s="1"/>
  <c r="A117" i="20"/>
  <c r="B117" i="20" s="1"/>
  <c r="A118" i="20"/>
  <c r="B118" i="20" s="1"/>
  <c r="A119" i="20"/>
  <c r="B119" i="20" s="1"/>
  <c r="A120" i="20"/>
  <c r="B120" i="20" s="1"/>
  <c r="A121" i="20"/>
  <c r="B121" i="20" s="1"/>
  <c r="A122" i="20"/>
  <c r="B122" i="20" s="1"/>
  <c r="A123" i="20"/>
  <c r="B123" i="20" s="1"/>
  <c r="A124" i="20"/>
  <c r="B124" i="20" s="1"/>
  <c r="A125" i="20"/>
  <c r="B125" i="20" s="1"/>
  <c r="A126" i="20"/>
  <c r="B126" i="20" s="1"/>
  <c r="A127" i="20"/>
  <c r="B127" i="20" s="1"/>
  <c r="A128" i="20"/>
  <c r="B128" i="20" s="1"/>
  <c r="A129" i="20"/>
  <c r="B129" i="20" s="1"/>
  <c r="A130" i="20"/>
  <c r="B130" i="20" s="1"/>
  <c r="A131" i="20"/>
  <c r="B131" i="20" s="1"/>
  <c r="A132" i="20"/>
  <c r="B132" i="20" s="1"/>
  <c r="A133" i="20"/>
  <c r="B133" i="20" s="1"/>
  <c r="A134" i="20"/>
  <c r="B134" i="20" s="1"/>
  <c r="A135" i="20"/>
  <c r="B135" i="20" s="1"/>
  <c r="A136" i="20"/>
  <c r="B136" i="20" s="1"/>
  <c r="A137" i="20"/>
  <c r="B137" i="20" s="1"/>
  <c r="A138" i="20"/>
  <c r="B138" i="20" s="1"/>
  <c r="A139" i="20"/>
  <c r="B139" i="20" s="1"/>
  <c r="A140" i="20"/>
  <c r="B140" i="20" s="1"/>
  <c r="A141" i="20"/>
  <c r="B141" i="20" s="1"/>
  <c r="A142" i="20"/>
  <c r="B142" i="20" s="1"/>
  <c r="A143" i="20"/>
  <c r="B143" i="20" s="1"/>
  <c r="A144" i="20"/>
  <c r="B144" i="20" s="1"/>
  <c r="A145" i="20"/>
  <c r="B145" i="20" s="1"/>
  <c r="A146" i="20"/>
  <c r="B146" i="20" s="1"/>
  <c r="A147" i="20"/>
  <c r="B147" i="20" s="1"/>
  <c r="A148" i="20"/>
  <c r="B148" i="20" s="1"/>
  <c r="A149" i="20"/>
  <c r="B149" i="20" s="1"/>
  <c r="A150" i="20"/>
  <c r="B150" i="20" s="1"/>
  <c r="A151" i="20"/>
  <c r="B151" i="20" s="1"/>
  <c r="A152" i="20"/>
  <c r="B152" i="20" s="1"/>
  <c r="A153" i="20"/>
  <c r="B153" i="20" s="1"/>
  <c r="A154" i="20"/>
  <c r="B154" i="20" s="1"/>
  <c r="A155" i="20"/>
  <c r="B155" i="20" s="1"/>
  <c r="A156" i="20"/>
  <c r="B156" i="20" s="1"/>
  <c r="A157" i="20"/>
  <c r="B157" i="20" s="1"/>
  <c r="A158" i="20"/>
  <c r="B158" i="20" s="1"/>
  <c r="A159" i="20"/>
  <c r="B159" i="20" s="1"/>
  <c r="A160" i="20"/>
  <c r="B160" i="20" s="1"/>
  <c r="A161" i="20"/>
  <c r="B161" i="20" s="1"/>
  <c r="A162" i="20"/>
  <c r="B162" i="20" s="1"/>
  <c r="A163" i="20"/>
  <c r="B163" i="20" s="1"/>
  <c r="A164" i="20"/>
  <c r="B164" i="20" s="1"/>
  <c r="A165" i="20"/>
  <c r="B165" i="20" s="1"/>
  <c r="A166" i="20"/>
  <c r="B166" i="20" s="1"/>
  <c r="A167" i="20"/>
  <c r="B167" i="20" s="1"/>
  <c r="A168" i="20"/>
  <c r="B168" i="20" s="1"/>
  <c r="A169" i="20"/>
  <c r="B169" i="20" s="1"/>
  <c r="A170" i="20"/>
  <c r="B170" i="20" s="1"/>
  <c r="A171" i="20"/>
  <c r="B171" i="20" s="1"/>
  <c r="A172" i="20"/>
  <c r="B172" i="20" s="1"/>
  <c r="A173" i="20"/>
  <c r="B173" i="20" s="1"/>
  <c r="A174" i="20"/>
  <c r="B174" i="20" s="1"/>
  <c r="A175" i="20"/>
  <c r="B175" i="20" s="1"/>
  <c r="A176" i="20"/>
  <c r="B176" i="20" s="1"/>
  <c r="A177" i="20"/>
  <c r="B177" i="20" s="1"/>
  <c r="A178" i="20"/>
  <c r="B178" i="20" s="1"/>
  <c r="A179" i="20"/>
  <c r="B179" i="20" s="1"/>
  <c r="A180" i="20"/>
  <c r="B180" i="20" s="1"/>
  <c r="A181" i="20"/>
  <c r="B181" i="20" s="1"/>
  <c r="A182" i="20"/>
  <c r="B182" i="20" s="1"/>
  <c r="A183" i="20"/>
  <c r="B183" i="20" s="1"/>
  <c r="A184" i="20"/>
  <c r="B184" i="20" s="1"/>
  <c r="A185" i="20"/>
  <c r="B185" i="20" s="1"/>
  <c r="A186" i="20"/>
  <c r="B186" i="20" s="1"/>
  <c r="A187" i="20"/>
  <c r="B187" i="20" s="1"/>
  <c r="A188" i="20"/>
  <c r="B188" i="20" s="1"/>
  <c r="A189" i="20"/>
  <c r="B189" i="20" s="1"/>
  <c r="A190" i="20"/>
  <c r="B190" i="20" s="1"/>
  <c r="A191" i="20"/>
  <c r="B191" i="20" s="1"/>
  <c r="A192" i="20"/>
  <c r="B192" i="20" s="1"/>
  <c r="A193" i="20"/>
  <c r="B193" i="20" s="1"/>
  <c r="A194" i="20"/>
  <c r="B194" i="20" s="1"/>
  <c r="A195" i="20"/>
  <c r="B195" i="20" s="1"/>
  <c r="A196" i="20"/>
  <c r="B196" i="20" s="1"/>
  <c r="A197" i="20"/>
  <c r="B197" i="20" s="1"/>
  <c r="A198" i="20"/>
  <c r="B198" i="20" s="1"/>
  <c r="A199" i="20"/>
  <c r="B199" i="20" s="1"/>
  <c r="A200" i="20"/>
  <c r="B200" i="20" s="1"/>
  <c r="A201" i="20"/>
  <c r="A202" i="20"/>
  <c r="A203" i="20"/>
  <c r="A204" i="20"/>
  <c r="A205" i="20"/>
  <c r="A206" i="20"/>
  <c r="A207" i="20"/>
  <c r="A208" i="20"/>
  <c r="A209" i="20"/>
  <c r="A210" i="20"/>
  <c r="A211" i="20"/>
  <c r="A212" i="20"/>
  <c r="A213" i="20"/>
  <c r="A214" i="20"/>
  <c r="A215" i="20"/>
  <c r="A216" i="20"/>
  <c r="A217" i="20"/>
  <c r="A218" i="20"/>
  <c r="A219" i="20"/>
  <c r="A220" i="20"/>
  <c r="A221" i="20"/>
  <c r="A222" i="20"/>
  <c r="A223" i="20"/>
  <c r="A224" i="20"/>
  <c r="A225" i="20"/>
  <c r="A226" i="20"/>
  <c r="A227" i="20"/>
  <c r="A228" i="20"/>
  <c r="A229" i="20"/>
  <c r="A230" i="20"/>
  <c r="A231" i="20"/>
  <c r="A232" i="20"/>
  <c r="A233" i="20"/>
  <c r="A234" i="20"/>
  <c r="A235" i="20"/>
  <c r="A236" i="20"/>
  <c r="A237" i="20"/>
  <c r="A238" i="20"/>
  <c r="A239" i="20"/>
  <c r="A240" i="20"/>
  <c r="A241" i="20"/>
  <c r="A242" i="20"/>
  <c r="A243" i="20"/>
  <c r="A244" i="20"/>
  <c r="A245" i="20"/>
  <c r="A246" i="20"/>
  <c r="A247" i="20"/>
  <c r="A248" i="20"/>
  <c r="A249" i="20"/>
  <c r="A250" i="20"/>
  <c r="A251" i="20"/>
  <c r="A252" i="20"/>
  <c r="A253" i="20"/>
  <c r="A254" i="20"/>
  <c r="A255" i="20"/>
  <c r="A256" i="20"/>
  <c r="A257" i="20"/>
  <c r="A258" i="20"/>
  <c r="A259" i="20"/>
  <c r="A260" i="20"/>
  <c r="A261" i="20"/>
  <c r="A262" i="20"/>
  <c r="A263" i="20"/>
  <c r="A264" i="20"/>
  <c r="A265" i="20"/>
  <c r="A266" i="20"/>
  <c r="A267" i="20"/>
  <c r="A268" i="20"/>
  <c r="A269" i="20"/>
  <c r="A270" i="20"/>
  <c r="A271" i="20"/>
  <c r="A272" i="20"/>
  <c r="A273" i="20"/>
  <c r="A274" i="20"/>
  <c r="A275" i="20"/>
  <c r="A276" i="20"/>
  <c r="A277" i="20"/>
  <c r="A278" i="20"/>
  <c r="A279" i="20"/>
  <c r="A280" i="20"/>
  <c r="A281" i="20"/>
  <c r="A282" i="20"/>
  <c r="A283" i="20"/>
  <c r="A284" i="20"/>
  <c r="A285" i="20"/>
  <c r="A286" i="20"/>
  <c r="A287" i="20"/>
  <c r="A288" i="20"/>
  <c r="A289" i="20"/>
  <c r="A290" i="20"/>
  <c r="A291" i="20"/>
  <c r="A292" i="20"/>
  <c r="A293" i="20"/>
  <c r="A294" i="20"/>
  <c r="A295" i="20"/>
  <c r="A296" i="20"/>
  <c r="A297" i="20"/>
  <c r="A298" i="20"/>
  <c r="A299" i="20"/>
  <c r="A300" i="20"/>
  <c r="A301" i="20"/>
  <c r="A302" i="20"/>
  <c r="A303" i="20"/>
  <c r="A304" i="20"/>
  <c r="A305" i="20"/>
  <c r="A306" i="20"/>
  <c r="A307" i="20"/>
  <c r="A308" i="20"/>
  <c r="A309" i="20"/>
  <c r="A310" i="20"/>
  <c r="A311" i="20"/>
  <c r="A312" i="20"/>
  <c r="A313" i="20"/>
  <c r="A314" i="20"/>
  <c r="A315" i="20"/>
  <c r="A316" i="20"/>
  <c r="A317" i="20"/>
  <c r="A318" i="20"/>
  <c r="A319" i="20"/>
  <c r="A320" i="20"/>
  <c r="A321" i="20"/>
  <c r="A322" i="20"/>
  <c r="A323" i="20"/>
  <c r="A324" i="20"/>
  <c r="A325" i="20"/>
  <c r="A326" i="20"/>
  <c r="A327" i="20"/>
  <c r="A328" i="20"/>
  <c r="A329" i="20"/>
  <c r="A330" i="20"/>
  <c r="A331" i="20"/>
  <c r="A332" i="20"/>
  <c r="A333" i="20"/>
  <c r="A334" i="20"/>
  <c r="A335" i="20"/>
  <c r="A336" i="20"/>
  <c r="A337" i="20"/>
  <c r="A338" i="20"/>
  <c r="A339" i="20"/>
  <c r="A340" i="20"/>
  <c r="A341" i="20"/>
  <c r="A342" i="20"/>
  <c r="A343" i="20"/>
  <c r="A344" i="20"/>
  <c r="A345" i="20"/>
  <c r="A346" i="20"/>
  <c r="A347" i="20"/>
  <c r="A348" i="20"/>
  <c r="A349" i="20"/>
  <c r="A350" i="20"/>
  <c r="A351" i="20"/>
  <c r="A352" i="20"/>
  <c r="A353" i="20"/>
  <c r="A354" i="20"/>
  <c r="A355" i="20"/>
  <c r="A356" i="20"/>
  <c r="A357" i="20"/>
  <c r="A358" i="20"/>
  <c r="A359" i="20"/>
  <c r="A360" i="20"/>
  <c r="A361" i="20"/>
  <c r="A362" i="20"/>
  <c r="A363" i="20"/>
  <c r="A364" i="20"/>
  <c r="A365" i="20"/>
  <c r="A366" i="20"/>
  <c r="A367" i="20"/>
  <c r="A368" i="20"/>
  <c r="A369" i="20"/>
  <c r="A370" i="20"/>
  <c r="A371" i="20"/>
  <c r="A372" i="20"/>
  <c r="A373" i="20"/>
  <c r="A374" i="20"/>
  <c r="A375" i="20"/>
  <c r="A376" i="20"/>
  <c r="A377" i="20"/>
  <c r="A378" i="20"/>
  <c r="A379" i="20"/>
  <c r="A380" i="20"/>
  <c r="A381" i="20"/>
  <c r="A382" i="20"/>
  <c r="A383" i="20"/>
  <c r="A384" i="20"/>
  <c r="A385" i="20"/>
  <c r="A386" i="20"/>
  <c r="A387" i="20"/>
  <c r="A388" i="20"/>
  <c r="A389" i="20"/>
  <c r="A390" i="20"/>
  <c r="A391" i="20"/>
  <c r="A392" i="20"/>
  <c r="A393" i="20"/>
  <c r="A394" i="20"/>
  <c r="A395" i="20"/>
  <c r="A396" i="20"/>
  <c r="A397" i="20"/>
  <c r="A398" i="20"/>
  <c r="A399" i="20"/>
  <c r="A400" i="20"/>
  <c r="A401" i="20"/>
  <c r="A402" i="20"/>
  <c r="A403" i="20"/>
  <c r="A404" i="20"/>
  <c r="A405" i="20"/>
  <c r="A406" i="20"/>
  <c r="A407" i="20"/>
  <c r="A408" i="20"/>
  <c r="A409" i="20"/>
  <c r="A410" i="20"/>
  <c r="A411" i="20"/>
  <c r="A412" i="20"/>
  <c r="A413" i="20"/>
  <c r="A414" i="20"/>
  <c r="A415" i="20"/>
  <c r="A416" i="20"/>
  <c r="A417" i="20"/>
  <c r="A418" i="20"/>
  <c r="A419" i="20"/>
  <c r="A420" i="20"/>
  <c r="A421" i="20"/>
  <c r="A422" i="20"/>
  <c r="A423" i="20"/>
  <c r="A424" i="20"/>
  <c r="A425" i="20"/>
  <c r="A426" i="20"/>
  <c r="A427" i="20"/>
  <c r="A428" i="20"/>
  <c r="A429" i="20"/>
  <c r="A430" i="20"/>
  <c r="A431" i="20"/>
  <c r="A432" i="20"/>
  <c r="A433" i="20"/>
  <c r="A434" i="20"/>
  <c r="A435" i="20"/>
  <c r="A436" i="20"/>
  <c r="A437" i="20"/>
  <c r="A438" i="20"/>
  <c r="A439" i="20"/>
  <c r="A440" i="20"/>
  <c r="A441" i="20"/>
  <c r="A442" i="20"/>
  <c r="A443" i="20"/>
  <c r="A444" i="20"/>
  <c r="A445" i="20"/>
  <c r="A446" i="20"/>
  <c r="A447" i="20"/>
  <c r="A448" i="20"/>
  <c r="A449" i="20"/>
  <c r="A450" i="20"/>
  <c r="A451" i="20"/>
  <c r="A452" i="20"/>
  <c r="A453" i="20"/>
  <c r="A454" i="20"/>
  <c r="A455" i="20"/>
  <c r="A456" i="20"/>
  <c r="A457" i="20"/>
  <c r="A458" i="20"/>
  <c r="A459" i="20"/>
  <c r="A460" i="20"/>
  <c r="A461" i="20"/>
  <c r="A462" i="20"/>
  <c r="A463" i="20"/>
  <c r="A464" i="20"/>
  <c r="A465" i="20"/>
  <c r="A466" i="20"/>
  <c r="A467" i="20"/>
  <c r="A468" i="20"/>
  <c r="A469" i="20"/>
  <c r="A470" i="20"/>
  <c r="A471" i="20"/>
  <c r="A472" i="20"/>
  <c r="A473" i="20"/>
  <c r="A474" i="20"/>
  <c r="A475" i="20"/>
  <c r="A476" i="20"/>
  <c r="A477" i="20"/>
  <c r="A478" i="20"/>
  <c r="A479" i="20"/>
  <c r="A480" i="20"/>
  <c r="A481" i="20"/>
  <c r="A482" i="20"/>
  <c r="A483" i="20"/>
  <c r="A484" i="20"/>
  <c r="A485" i="20"/>
  <c r="A486" i="20"/>
  <c r="A487" i="20"/>
  <c r="A488" i="20"/>
  <c r="A489" i="20"/>
  <c r="A490" i="20"/>
  <c r="A491" i="20"/>
  <c r="A492" i="20"/>
  <c r="A493" i="20"/>
  <c r="A494" i="20"/>
  <c r="A495" i="20"/>
  <c r="A496" i="20"/>
  <c r="A497" i="20"/>
  <c r="A498" i="20"/>
  <c r="A499" i="20"/>
  <c r="A500" i="20"/>
  <c r="A501" i="20"/>
  <c r="A502" i="20"/>
  <c r="A503" i="20"/>
  <c r="A504" i="20"/>
  <c r="A505" i="20"/>
  <c r="A506" i="20"/>
  <c r="A507" i="20"/>
  <c r="A508" i="20"/>
  <c r="A509" i="20"/>
  <c r="A510" i="20"/>
  <c r="A511" i="20"/>
  <c r="A512" i="20"/>
  <c r="A513" i="20"/>
  <c r="A514" i="20"/>
  <c r="A515" i="20"/>
  <c r="A516" i="20"/>
  <c r="A517" i="20"/>
  <c r="A518" i="20"/>
  <c r="A519" i="20"/>
  <c r="A520" i="20"/>
  <c r="A521" i="20"/>
  <c r="A522" i="20"/>
  <c r="A523" i="20"/>
  <c r="A524" i="20"/>
  <c r="A525" i="20"/>
  <c r="A526" i="20"/>
  <c r="A527" i="20"/>
  <c r="A528" i="20"/>
  <c r="A529" i="20"/>
  <c r="A530" i="20"/>
  <c r="A531" i="20"/>
  <c r="A532" i="20"/>
  <c r="A533" i="20"/>
  <c r="A534" i="20"/>
  <c r="A535" i="20"/>
  <c r="A536" i="20"/>
  <c r="A537" i="20"/>
  <c r="A538" i="20"/>
  <c r="A539" i="20"/>
  <c r="A540" i="20"/>
  <c r="A541" i="20"/>
  <c r="A542" i="20"/>
  <c r="A543" i="20"/>
  <c r="A544" i="20"/>
  <c r="A545" i="20"/>
  <c r="A546" i="20"/>
  <c r="A547" i="20"/>
  <c r="A548" i="20"/>
  <c r="A549" i="20"/>
  <c r="A550" i="20"/>
  <c r="A551" i="20"/>
  <c r="A552" i="20"/>
  <c r="A553" i="20"/>
  <c r="A554" i="20"/>
  <c r="A555" i="20"/>
  <c r="A556" i="20"/>
  <c r="A557" i="20"/>
  <c r="A558" i="20"/>
  <c r="A559" i="20"/>
  <c r="A560" i="20"/>
  <c r="A561" i="20"/>
  <c r="A562" i="20"/>
  <c r="A563" i="20"/>
  <c r="A564" i="20"/>
  <c r="A565" i="20"/>
  <c r="A566" i="20"/>
  <c r="A567" i="20"/>
  <c r="A568" i="20"/>
  <c r="A569" i="20"/>
  <c r="A570" i="20"/>
  <c r="A571" i="20"/>
  <c r="A572" i="20"/>
  <c r="A573" i="20"/>
  <c r="A574" i="20"/>
  <c r="A575" i="20"/>
  <c r="A576" i="20"/>
  <c r="A577" i="20"/>
  <c r="A578" i="20"/>
  <c r="A579" i="20"/>
  <c r="A580" i="20"/>
  <c r="A581" i="20"/>
  <c r="A582" i="20"/>
  <c r="A583" i="20"/>
  <c r="A584" i="20"/>
  <c r="A585" i="20"/>
  <c r="A586" i="20"/>
  <c r="A587" i="20"/>
  <c r="A588" i="20"/>
  <c r="A589" i="20"/>
  <c r="A590" i="20"/>
  <c r="A591" i="20"/>
  <c r="A592" i="20"/>
  <c r="A593" i="20"/>
  <c r="A594" i="20"/>
  <c r="A595" i="20"/>
  <c r="A596" i="20"/>
  <c r="A597" i="20"/>
  <c r="A598" i="20"/>
  <c r="A599" i="20"/>
  <c r="A600" i="20"/>
  <c r="A601" i="20"/>
  <c r="A602" i="20"/>
  <c r="A603" i="20"/>
  <c r="A604" i="20"/>
  <c r="A605" i="20"/>
  <c r="A606" i="20"/>
  <c r="A607" i="20"/>
  <c r="A608" i="20"/>
  <c r="A609" i="20"/>
  <c r="A610" i="20"/>
  <c r="A611" i="20"/>
  <c r="A612" i="20"/>
  <c r="A613" i="20"/>
  <c r="A614" i="20"/>
  <c r="A615" i="20"/>
  <c r="A616" i="20"/>
  <c r="A617" i="20"/>
  <c r="A618" i="20"/>
  <c r="A619" i="20"/>
  <c r="A620" i="20"/>
  <c r="A621" i="20"/>
  <c r="A622" i="20"/>
  <c r="A623" i="20"/>
  <c r="A624" i="20"/>
  <c r="A625" i="20"/>
  <c r="A626" i="20"/>
  <c r="A627" i="20"/>
  <c r="A628" i="20"/>
  <c r="A629" i="20"/>
  <c r="A630" i="20"/>
  <c r="A631" i="20"/>
  <c r="A632" i="20"/>
  <c r="A633" i="20"/>
  <c r="A634" i="20"/>
  <c r="A635" i="20"/>
  <c r="A636" i="20"/>
  <c r="A637" i="20"/>
  <c r="A638" i="20"/>
  <c r="A639" i="20"/>
  <c r="A640" i="20"/>
  <c r="A641" i="20"/>
  <c r="A642" i="20"/>
  <c r="A643" i="20"/>
  <c r="A644" i="20"/>
  <c r="A645" i="20"/>
  <c r="A646" i="20"/>
  <c r="A647" i="20"/>
  <c r="A648" i="20"/>
  <c r="A649" i="20"/>
  <c r="A650" i="20"/>
  <c r="A651" i="20"/>
  <c r="A652" i="20"/>
  <c r="A653" i="20"/>
  <c r="A654" i="20"/>
  <c r="A655" i="20"/>
  <c r="A656" i="20"/>
  <c r="A657" i="20"/>
  <c r="A658" i="20"/>
  <c r="A659" i="20"/>
  <c r="A660" i="20"/>
  <c r="A661" i="20"/>
  <c r="A662" i="20"/>
  <c r="A663" i="20"/>
  <c r="A664" i="20"/>
  <c r="A665" i="20"/>
  <c r="A666" i="20"/>
  <c r="A667" i="20"/>
  <c r="A668" i="20"/>
  <c r="A669" i="20"/>
  <c r="A670" i="20"/>
  <c r="A671" i="20"/>
  <c r="A672" i="20"/>
  <c r="A673" i="20"/>
  <c r="A674" i="20"/>
  <c r="A675" i="20"/>
  <c r="A676" i="20"/>
  <c r="A677" i="20"/>
  <c r="A678" i="20"/>
  <c r="A679" i="20"/>
  <c r="A680" i="20"/>
  <c r="A681" i="20"/>
  <c r="A682" i="20"/>
  <c r="A683" i="20"/>
  <c r="A684" i="20"/>
  <c r="A685" i="20"/>
  <c r="A686" i="20"/>
  <c r="A687" i="20"/>
  <c r="A688" i="20"/>
  <c r="A689" i="20"/>
  <c r="A690" i="20"/>
  <c r="A691" i="20"/>
  <c r="A692" i="20"/>
  <c r="A693" i="20"/>
  <c r="A694" i="20"/>
  <c r="A695" i="20"/>
  <c r="A696" i="20"/>
  <c r="A697" i="20"/>
  <c r="A698" i="20"/>
  <c r="A699" i="20"/>
  <c r="A700" i="20"/>
  <c r="A701" i="20"/>
  <c r="A702" i="20"/>
  <c r="A703" i="20"/>
  <c r="A704" i="20"/>
  <c r="A705" i="20"/>
  <c r="A706" i="20"/>
  <c r="A707" i="20"/>
  <c r="A708" i="20"/>
  <c r="A709" i="20"/>
  <c r="A710" i="20"/>
  <c r="A711" i="20"/>
  <c r="A712" i="20"/>
  <c r="A713" i="20"/>
  <c r="A714" i="20"/>
  <c r="A715" i="20"/>
  <c r="A716" i="20"/>
  <c r="A717" i="20"/>
  <c r="A718" i="20"/>
  <c r="A719" i="20"/>
  <c r="A720" i="20"/>
  <c r="A721" i="20"/>
  <c r="A722" i="20"/>
  <c r="A723" i="20"/>
  <c r="A724" i="20"/>
  <c r="A725" i="20"/>
  <c r="A726" i="20"/>
  <c r="A727" i="20"/>
  <c r="A728" i="20"/>
  <c r="A729" i="20"/>
  <c r="A730" i="20"/>
  <c r="A731" i="20"/>
  <c r="A732" i="20"/>
  <c r="A733" i="20"/>
  <c r="A734" i="20"/>
  <c r="A735" i="20"/>
  <c r="A736" i="20"/>
  <c r="A737" i="20"/>
  <c r="A738" i="20"/>
  <c r="A739" i="20"/>
  <c r="A740" i="20"/>
  <c r="A741" i="20"/>
  <c r="A742" i="20"/>
  <c r="A743" i="20"/>
  <c r="A744" i="20"/>
  <c r="A745" i="20"/>
  <c r="A746" i="20"/>
  <c r="A747" i="20"/>
  <c r="A748" i="20"/>
  <c r="A749" i="20"/>
  <c r="A750" i="20"/>
  <c r="A751" i="20"/>
  <c r="A752" i="20"/>
  <c r="A753" i="20"/>
  <c r="A754" i="20"/>
  <c r="A755" i="20"/>
  <c r="A756" i="20"/>
  <c r="A757" i="20"/>
  <c r="A758" i="20"/>
  <c r="A759" i="20"/>
  <c r="A760" i="20"/>
  <c r="A761" i="20"/>
  <c r="A762" i="20"/>
  <c r="A763" i="20"/>
  <c r="A764" i="20"/>
  <c r="A765" i="20"/>
  <c r="A766" i="20"/>
  <c r="A767" i="20"/>
  <c r="A768" i="20"/>
  <c r="A769" i="20"/>
  <c r="A770" i="20"/>
  <c r="A771" i="20"/>
  <c r="A772" i="20"/>
  <c r="A773" i="20"/>
  <c r="A774" i="20"/>
  <c r="A775" i="20"/>
  <c r="A776" i="20"/>
  <c r="A777" i="20"/>
  <c r="A778" i="20"/>
  <c r="A779" i="20"/>
  <c r="A780" i="20"/>
  <c r="A781" i="20"/>
  <c r="A782" i="20"/>
  <c r="A783" i="20"/>
  <c r="A784" i="20"/>
  <c r="A785" i="20"/>
  <c r="A786" i="20"/>
  <c r="A787" i="20"/>
  <c r="A788" i="20"/>
  <c r="A789" i="20"/>
  <c r="A790" i="20"/>
  <c r="A791" i="20"/>
  <c r="A792" i="20"/>
  <c r="A793" i="20"/>
  <c r="A794" i="20"/>
  <c r="A795" i="20"/>
  <c r="A796" i="20"/>
  <c r="A797" i="20"/>
  <c r="A798" i="20"/>
  <c r="A799" i="20"/>
  <c r="A800" i="20"/>
  <c r="A801" i="20"/>
  <c r="A802" i="20"/>
  <c r="A803" i="20"/>
  <c r="A804" i="20"/>
  <c r="A805" i="20"/>
  <c r="A806" i="20"/>
  <c r="A807" i="20"/>
  <c r="A808" i="20"/>
  <c r="A809" i="20"/>
  <c r="A810" i="20"/>
  <c r="A811" i="20"/>
  <c r="A812" i="20"/>
  <c r="A813" i="20"/>
  <c r="A814" i="20"/>
  <c r="A815" i="20"/>
  <c r="A816" i="20"/>
  <c r="A817" i="20"/>
  <c r="A818" i="20"/>
  <c r="A819" i="20"/>
  <c r="A820" i="20"/>
  <c r="A821" i="20"/>
  <c r="A822" i="20"/>
  <c r="A823" i="20"/>
  <c r="A824" i="20"/>
  <c r="A825" i="20"/>
  <c r="A826" i="20"/>
  <c r="A827" i="20"/>
  <c r="A828" i="20"/>
  <c r="A829" i="20"/>
  <c r="A830" i="20"/>
  <c r="A831" i="20"/>
  <c r="A832" i="20"/>
  <c r="A833" i="20"/>
  <c r="A834" i="20"/>
  <c r="A835" i="20"/>
  <c r="A836" i="20"/>
  <c r="A837" i="20"/>
  <c r="A838" i="20"/>
  <c r="A839" i="20"/>
  <c r="A840" i="20"/>
  <c r="A841" i="20"/>
  <c r="A842" i="20"/>
  <c r="A843" i="20"/>
  <c r="A844" i="20"/>
  <c r="A845" i="20"/>
  <c r="A846" i="20"/>
  <c r="A847" i="20"/>
  <c r="A848" i="20"/>
  <c r="A849" i="20"/>
  <c r="A850" i="20"/>
  <c r="A851" i="20"/>
  <c r="A852" i="20"/>
  <c r="A853" i="20"/>
  <c r="A854" i="20"/>
  <c r="A855" i="20"/>
  <c r="A856" i="20"/>
  <c r="A857" i="20"/>
  <c r="A858" i="20"/>
  <c r="A859" i="20"/>
  <c r="A860" i="20"/>
  <c r="A861" i="20"/>
  <c r="A862" i="20"/>
  <c r="A863" i="20"/>
  <c r="A864" i="20"/>
  <c r="A865" i="20"/>
  <c r="A866" i="20"/>
  <c r="A867" i="20"/>
  <c r="A868" i="20"/>
  <c r="A869" i="20"/>
  <c r="A870" i="20"/>
  <c r="A871" i="20"/>
  <c r="A872" i="20"/>
  <c r="A873" i="20"/>
  <c r="A874" i="20"/>
  <c r="A875" i="20"/>
  <c r="A876" i="20"/>
  <c r="A877" i="20"/>
  <c r="A878" i="20"/>
  <c r="A879" i="20"/>
  <c r="A880" i="20"/>
  <c r="A881" i="20"/>
  <c r="A882" i="20"/>
  <c r="A883" i="20"/>
  <c r="A884" i="20"/>
  <c r="A885" i="20"/>
  <c r="A886" i="20"/>
  <c r="A887" i="20"/>
  <c r="A888" i="20"/>
  <c r="A889" i="20"/>
  <c r="A890" i="20"/>
  <c r="A891" i="20"/>
  <c r="A892" i="20"/>
  <c r="A893" i="20"/>
  <c r="A894" i="20"/>
  <c r="A895" i="20"/>
  <c r="A896" i="20"/>
  <c r="A897" i="20"/>
  <c r="A898" i="20"/>
  <c r="A899" i="20"/>
  <c r="A900" i="20"/>
  <c r="A901" i="20"/>
  <c r="A902" i="20"/>
  <c r="A903" i="20"/>
  <c r="A904" i="20"/>
  <c r="A905" i="20"/>
  <c r="A906" i="20"/>
  <c r="A907" i="20"/>
  <c r="A908" i="20"/>
  <c r="A909" i="20"/>
  <c r="A910" i="20"/>
  <c r="A911" i="20"/>
  <c r="A912" i="20"/>
  <c r="A913" i="20"/>
  <c r="A914" i="20"/>
  <c r="A915" i="20"/>
  <c r="A916" i="20"/>
  <c r="A917" i="20"/>
  <c r="A918" i="20"/>
  <c r="A919" i="20"/>
  <c r="A920" i="20"/>
  <c r="A921" i="20"/>
  <c r="A922" i="20"/>
  <c r="A923" i="20"/>
  <c r="A924" i="20"/>
  <c r="A925" i="20"/>
  <c r="A926" i="20"/>
  <c r="A927" i="20"/>
  <c r="A928" i="20"/>
  <c r="A929" i="20"/>
  <c r="A930" i="20"/>
  <c r="A931" i="20"/>
  <c r="A932" i="20"/>
  <c r="A933" i="20"/>
  <c r="A934" i="20"/>
  <c r="A935" i="20"/>
  <c r="A936" i="20"/>
  <c r="A937" i="20"/>
  <c r="A938" i="20"/>
  <c r="A939" i="20"/>
  <c r="A940" i="20"/>
  <c r="A941" i="20"/>
  <c r="A942" i="20"/>
  <c r="A943" i="20"/>
  <c r="A944" i="20"/>
  <c r="A945" i="20"/>
  <c r="A946" i="20"/>
  <c r="A947" i="20"/>
  <c r="A948" i="20"/>
  <c r="A949" i="20"/>
  <c r="A950" i="20"/>
  <c r="A951" i="20"/>
  <c r="A952" i="20"/>
  <c r="A953" i="20"/>
  <c r="A954" i="20"/>
  <c r="A955" i="20"/>
  <c r="A956" i="20"/>
  <c r="A957" i="20"/>
  <c r="A958" i="20"/>
  <c r="A959" i="20"/>
  <c r="A960" i="20"/>
  <c r="A961" i="20"/>
  <c r="A962" i="20"/>
  <c r="A963" i="20"/>
  <c r="A964" i="20"/>
  <c r="A965" i="20"/>
  <c r="A966" i="20"/>
  <c r="A967" i="20"/>
  <c r="A968" i="20"/>
  <c r="A969" i="20"/>
  <c r="A970" i="20"/>
  <c r="A971" i="20"/>
  <c r="A972" i="20"/>
  <c r="A973" i="20"/>
  <c r="A974" i="20"/>
  <c r="A975" i="20"/>
  <c r="A976" i="20"/>
  <c r="A977" i="20"/>
  <c r="A978" i="20"/>
  <c r="A979" i="20"/>
  <c r="A980" i="20"/>
  <c r="A981" i="20"/>
  <c r="A982" i="20"/>
  <c r="A983" i="20"/>
  <c r="A984" i="20"/>
  <c r="A985" i="20"/>
  <c r="A986" i="20"/>
  <c r="A987" i="20"/>
  <c r="A988" i="20"/>
  <c r="A989" i="20"/>
  <c r="A990" i="20"/>
  <c r="A991" i="20"/>
  <c r="A992" i="20"/>
  <c r="A993" i="20"/>
  <c r="A994" i="20"/>
  <c r="A995" i="20"/>
  <c r="A996" i="20"/>
  <c r="A997" i="20"/>
  <c r="A998" i="20"/>
  <c r="A999" i="20"/>
  <c r="A1000" i="20"/>
  <c r="A1001" i="20"/>
  <c r="A1002" i="20"/>
  <c r="A1003" i="20"/>
  <c r="A1004" i="20"/>
  <c r="A1005" i="20"/>
  <c r="A1006" i="20"/>
  <c r="A1007" i="20"/>
  <c r="A1008" i="20"/>
  <c r="A1009" i="20"/>
  <c r="A1010" i="20"/>
  <c r="A1011" i="20"/>
  <c r="A1012" i="20"/>
  <c r="A1013" i="20"/>
  <c r="A1014" i="20"/>
  <c r="A1015" i="20"/>
  <c r="A1016" i="20"/>
  <c r="A1017" i="20"/>
  <c r="A1018" i="20"/>
  <c r="A1019" i="20"/>
  <c r="A1020" i="20"/>
  <c r="A1021" i="20"/>
  <c r="A1022" i="20"/>
  <c r="A1023" i="20"/>
  <c r="A1024" i="20"/>
  <c r="A1025" i="20"/>
  <c r="A1026" i="20"/>
  <c r="A1027" i="20"/>
  <c r="A1028" i="20"/>
  <c r="A1029" i="20"/>
  <c r="A1030" i="20"/>
  <c r="A1031" i="20"/>
  <c r="A1032" i="20"/>
  <c r="A1033" i="20"/>
  <c r="A1034" i="20"/>
  <c r="A1035" i="20"/>
  <c r="A1036" i="20"/>
  <c r="A1037" i="20"/>
  <c r="A1038" i="20"/>
  <c r="A1039" i="20"/>
  <c r="A1040" i="20"/>
  <c r="A1041" i="20"/>
  <c r="A1042" i="20"/>
  <c r="A1043" i="20"/>
  <c r="A1044" i="20"/>
  <c r="A1045" i="20"/>
  <c r="A1046" i="20"/>
  <c r="A1047" i="20"/>
  <c r="A1048" i="20"/>
  <c r="A1049" i="20"/>
  <c r="A1050" i="20"/>
  <c r="A1051" i="20"/>
  <c r="A1052" i="20"/>
  <c r="A1053" i="20"/>
  <c r="A1054" i="20"/>
  <c r="A1055" i="20"/>
  <c r="A1056" i="20"/>
  <c r="A1057" i="20"/>
  <c r="A1058" i="20"/>
  <c r="A1059" i="20"/>
  <c r="A1060" i="20"/>
  <c r="A1061" i="20"/>
  <c r="A1062" i="20"/>
  <c r="A1063" i="20"/>
  <c r="A1064" i="20"/>
  <c r="A1065" i="20"/>
  <c r="A1066" i="20"/>
  <c r="A1067" i="20"/>
  <c r="A1068" i="20"/>
  <c r="A1069" i="20"/>
  <c r="A1070" i="20"/>
  <c r="A1071" i="20"/>
  <c r="A1072" i="20"/>
  <c r="A1073" i="20"/>
  <c r="A1074" i="20"/>
  <c r="A1075" i="20"/>
  <c r="A1076" i="20"/>
  <c r="A1077" i="20"/>
  <c r="A1078" i="20"/>
  <c r="A1079" i="20"/>
  <c r="A1080" i="20"/>
  <c r="A1081" i="20"/>
  <c r="A1082" i="20"/>
  <c r="A1083" i="20"/>
  <c r="A1084" i="20"/>
  <c r="A1085" i="20"/>
  <c r="A1086" i="20"/>
  <c r="A1087" i="20"/>
  <c r="A1088" i="20"/>
  <c r="A1089" i="20"/>
  <c r="A1090" i="20"/>
  <c r="A1091" i="20"/>
  <c r="A1092" i="20"/>
  <c r="A1093" i="20"/>
  <c r="A1094" i="20"/>
  <c r="A1095" i="20"/>
  <c r="A1096" i="20"/>
  <c r="A1097" i="20"/>
  <c r="A1098" i="20"/>
  <c r="A1099" i="20"/>
  <c r="A1100" i="20"/>
  <c r="A1101" i="20"/>
  <c r="A1102" i="20"/>
  <c r="A1103" i="20"/>
  <c r="A1104" i="20"/>
  <c r="A1105" i="20"/>
  <c r="A1106" i="20"/>
  <c r="A1107" i="20"/>
  <c r="A1108" i="20"/>
  <c r="A1109" i="20"/>
  <c r="A1110" i="20"/>
  <c r="A1111" i="20"/>
  <c r="A1112" i="20"/>
  <c r="A1113" i="20"/>
  <c r="A1114" i="20"/>
  <c r="A1115" i="20"/>
  <c r="A1116" i="20"/>
  <c r="A1117" i="20"/>
  <c r="A1118" i="20"/>
  <c r="A1119" i="20"/>
  <c r="A1120" i="20"/>
  <c r="A1121" i="20"/>
  <c r="A1122" i="20"/>
  <c r="A1123" i="20"/>
  <c r="A1124" i="20"/>
  <c r="A1125" i="20"/>
  <c r="A1126" i="20"/>
  <c r="A1127" i="20"/>
  <c r="A1128" i="20"/>
  <c r="A1129" i="20"/>
  <c r="A1130" i="20"/>
  <c r="A1131" i="20"/>
  <c r="A1132" i="20"/>
  <c r="A1133" i="20"/>
  <c r="A1134" i="20"/>
  <c r="A1135" i="20"/>
  <c r="A1136" i="20"/>
  <c r="A1137" i="20"/>
  <c r="A1138" i="20"/>
  <c r="A1139" i="20"/>
  <c r="A1140" i="20"/>
  <c r="A1141" i="20"/>
  <c r="A1142" i="20"/>
  <c r="A1143" i="20"/>
  <c r="A2" i="20"/>
  <c r="Y21" i="13" l="1"/>
  <c r="Y22" i="13" s="1"/>
  <c r="Y23" i="13"/>
  <c r="Y24" i="13" s="1"/>
  <c r="Y25" i="13" s="1"/>
  <c r="Y26" i="13" s="1"/>
  <c r="A3" i="20"/>
  <c r="B2" i="20"/>
  <c r="Y27" i="13" l="1"/>
  <c r="Y29" i="13" s="1"/>
  <c r="A4" i="20"/>
  <c r="B3" i="20"/>
  <c r="H20" i="14"/>
  <c r="G20" i="14"/>
  <c r="F20" i="14"/>
  <c r="E20" i="14"/>
  <c r="D20" i="14"/>
  <c r="B19" i="14"/>
  <c r="B8" i="14"/>
  <c r="H9" i="14"/>
  <c r="G9" i="14"/>
  <c r="F9" i="14"/>
  <c r="E9" i="14"/>
  <c r="Y65" i="13" l="1"/>
  <c r="Y195" i="13" s="1"/>
  <c r="Y196" i="13" s="1"/>
  <c r="A2" i="45" s="1" a="1"/>
  <c r="A2" i="45" s="1"/>
  <c r="A5" i="20"/>
  <c r="B4" i="20"/>
  <c r="K29" i="18"/>
  <c r="K28" i="18"/>
  <c r="H83" i="26"/>
  <c r="A6" i="20" l="1"/>
  <c r="B5" i="20"/>
  <c r="H43" i="26"/>
  <c r="H53" i="26"/>
  <c r="H33" i="26"/>
  <c r="E83" i="26"/>
  <c r="E73" i="26"/>
  <c r="H13" i="26"/>
  <c r="E63" i="26"/>
  <c r="E43" i="26"/>
  <c r="H73" i="26"/>
  <c r="H63" i="26"/>
  <c r="E53" i="26"/>
  <c r="H23" i="26"/>
  <c r="H3" i="26" l="1"/>
  <c r="A7" i="20"/>
  <c r="B6" i="20"/>
  <c r="E3" i="26"/>
  <c r="E23" i="26"/>
  <c r="E13" i="26"/>
  <c r="B33" i="12"/>
  <c r="B34" i="12"/>
  <c r="B35" i="12"/>
  <c r="B36" i="12"/>
  <c r="B37" i="12"/>
  <c r="H38" i="12"/>
  <c r="G38" i="12"/>
  <c r="F38" i="12"/>
  <c r="E38" i="12"/>
  <c r="D38" i="12"/>
  <c r="D17" i="12"/>
  <c r="D16" i="12"/>
  <c r="D15" i="12"/>
  <c r="D13" i="12"/>
  <c r="A8" i="20" l="1"/>
  <c r="B7" i="20"/>
  <c r="A9" i="20" l="1"/>
  <c r="B8" i="20"/>
  <c r="A10" i="20" l="1"/>
  <c r="B9" i="20"/>
  <c r="K75" i="18"/>
  <c r="K71" i="18"/>
  <c r="K67" i="18"/>
  <c r="K63" i="18"/>
  <c r="K59" i="18"/>
  <c r="K55" i="18"/>
  <c r="K51" i="18"/>
  <c r="K47" i="18"/>
  <c r="K43" i="18"/>
  <c r="K39" i="18"/>
  <c r="K35" i="18"/>
  <c r="K31" i="18"/>
  <c r="K16" i="18"/>
  <c r="K78" i="18"/>
  <c r="K74" i="18"/>
  <c r="K70" i="18"/>
  <c r="K66" i="18"/>
  <c r="K62" i="18"/>
  <c r="K58" i="18"/>
  <c r="K54" i="18"/>
  <c r="K50" i="18"/>
  <c r="K46" i="18"/>
  <c r="K42" i="18"/>
  <c r="K38" i="18"/>
  <c r="K34" i="18"/>
  <c r="K30" i="18"/>
  <c r="K12" i="18"/>
  <c r="K77" i="18"/>
  <c r="K73" i="18"/>
  <c r="K69" i="18"/>
  <c r="K65" i="18"/>
  <c r="K61" i="18"/>
  <c r="K57" i="18"/>
  <c r="K53" i="18"/>
  <c r="K49" i="18"/>
  <c r="K45" i="18"/>
  <c r="K41" i="18"/>
  <c r="K37" i="18"/>
  <c r="K33" i="18"/>
  <c r="K24" i="18"/>
  <c r="K8" i="18"/>
  <c r="K76" i="18"/>
  <c r="K72" i="18"/>
  <c r="K68" i="18"/>
  <c r="K64" i="18"/>
  <c r="K60" i="18"/>
  <c r="K56" i="18"/>
  <c r="K52" i="18"/>
  <c r="K48" i="18"/>
  <c r="K44" i="18"/>
  <c r="K40" i="18"/>
  <c r="K36" i="18"/>
  <c r="K32" i="18"/>
  <c r="K20" i="18"/>
  <c r="K4" i="18"/>
  <c r="G6" i="14"/>
  <c r="G5" i="14"/>
  <c r="E5" i="14"/>
  <c r="F4" i="14"/>
  <c r="F7" i="14"/>
  <c r="H7" i="14"/>
  <c r="G8" i="14"/>
  <c r="F6" i="14"/>
  <c r="H5" i="14"/>
  <c r="F5" i="14"/>
  <c r="E7" i="14"/>
  <c r="H8" i="14"/>
  <c r="F8" i="14"/>
  <c r="H4" i="14"/>
  <c r="E6" i="14"/>
  <c r="E4" i="14"/>
  <c r="H6" i="14"/>
  <c r="E8" i="14"/>
  <c r="G7" i="14"/>
  <c r="A11" i="20" l="1"/>
  <c r="B10" i="20"/>
  <c r="K9" i="18"/>
  <c r="K25" i="18"/>
  <c r="K19" i="18"/>
  <c r="K10" i="18"/>
  <c r="K26" i="18"/>
  <c r="K13" i="18"/>
  <c r="K7" i="18"/>
  <c r="K23" i="18"/>
  <c r="K14" i="18"/>
  <c r="K3" i="18"/>
  <c r="K17" i="18"/>
  <c r="K11" i="18"/>
  <c r="K27" i="18"/>
  <c r="K18" i="18"/>
  <c r="K5" i="18"/>
  <c r="K21" i="18"/>
  <c r="K15" i="18"/>
  <c r="K6" i="18"/>
  <c r="K22" i="18"/>
  <c r="A12" i="20" l="1"/>
  <c r="B11" i="20"/>
  <c r="E33" i="26"/>
  <c r="E4" i="21"/>
  <c r="E6" i="21"/>
  <c r="E7" i="21"/>
  <c r="E8" i="21"/>
  <c r="E9" i="21"/>
  <c r="E10" i="21"/>
  <c r="E11" i="21"/>
  <c r="E12" i="21"/>
  <c r="E13" i="21"/>
  <c r="E14" i="21"/>
  <c r="E15" i="21"/>
  <c r="G3" i="21"/>
  <c r="G4" i="21"/>
  <c r="G6" i="21"/>
  <c r="G7" i="21"/>
  <c r="G8" i="21"/>
  <c r="G9" i="21"/>
  <c r="G10" i="21"/>
  <c r="G11" i="21"/>
  <c r="G12" i="21"/>
  <c r="G13" i="21"/>
  <c r="G15" i="21"/>
  <c r="M3" i="21"/>
  <c r="M4" i="21"/>
  <c r="M5" i="21"/>
  <c r="M6" i="21"/>
  <c r="M7" i="21"/>
  <c r="M8" i="21"/>
  <c r="M9" i="21"/>
  <c r="M10" i="21"/>
  <c r="M11" i="21"/>
  <c r="M12" i="21"/>
  <c r="M13" i="21"/>
  <c r="M14" i="21"/>
  <c r="M15" i="21"/>
  <c r="M16" i="21"/>
  <c r="M17" i="21"/>
  <c r="K17" i="21"/>
  <c r="K15" i="21"/>
  <c r="I15" i="21"/>
  <c r="K14" i="21"/>
  <c r="K13" i="21"/>
  <c r="I13" i="21"/>
  <c r="K12" i="21"/>
  <c r="I12" i="21"/>
  <c r="K11" i="21"/>
  <c r="I11" i="21"/>
  <c r="K10" i="21"/>
  <c r="I10" i="21"/>
  <c r="K9" i="21"/>
  <c r="I9" i="21"/>
  <c r="K8" i="21"/>
  <c r="K7" i="21"/>
  <c r="I7" i="21"/>
  <c r="K6" i="21"/>
  <c r="I6" i="21"/>
  <c r="K4" i="21"/>
  <c r="I4" i="21"/>
  <c r="K3" i="21"/>
  <c r="I3" i="21"/>
  <c r="A13" i="20" l="1"/>
  <c r="B12" i="20"/>
  <c r="N5" i="21"/>
  <c r="N9" i="21"/>
  <c r="N6" i="21"/>
  <c r="N7" i="21"/>
  <c r="N17" i="21"/>
  <c r="O17" i="21" s="1"/>
  <c r="H15" i="13" s="1"/>
  <c r="N10" i="21"/>
  <c r="N13" i="21"/>
  <c r="N15" i="21"/>
  <c r="N14" i="21"/>
  <c r="N3" i="21"/>
  <c r="O3" i="21" s="1"/>
  <c r="Q3" i="21" s="1"/>
  <c r="N11" i="21"/>
  <c r="N16" i="21"/>
  <c r="N12" i="21"/>
  <c r="N8" i="21"/>
  <c r="N4" i="21"/>
  <c r="Q17" i="21" l="1"/>
  <c r="O16" i="21"/>
  <c r="Q16" i="21" s="1"/>
  <c r="O15" i="21"/>
  <c r="Q15" i="21" s="1"/>
  <c r="Q13" i="21"/>
  <c r="Q12" i="21"/>
  <c r="O11" i="21"/>
  <c r="O10" i="21"/>
  <c r="Q10" i="21" s="1"/>
  <c r="O9" i="21"/>
  <c r="Q9" i="21" s="1"/>
  <c r="O8" i="21"/>
  <c r="Q8" i="21" s="1"/>
  <c r="O7" i="21"/>
  <c r="Q7" i="21" s="1"/>
  <c r="O6" i="21"/>
  <c r="Q6" i="21" s="1"/>
  <c r="O5" i="21"/>
  <c r="Q5" i="21" s="1"/>
  <c r="O4" i="21"/>
  <c r="Q4" i="21" s="1"/>
  <c r="O14" i="21"/>
  <c r="Q14" i="21" s="1"/>
  <c r="A14" i="20"/>
  <c r="B13" i="20"/>
  <c r="J150" i="18"/>
  <c r="J149" i="18"/>
  <c r="J148" i="18"/>
  <c r="J147" i="18"/>
  <c r="J146" i="18"/>
  <c r="J145" i="18"/>
  <c r="J144" i="18"/>
  <c r="J143" i="18"/>
  <c r="J142" i="18"/>
  <c r="J141" i="18"/>
  <c r="J140" i="18"/>
  <c r="J139" i="18"/>
  <c r="J138" i="18"/>
  <c r="J137" i="18"/>
  <c r="J136" i="18"/>
  <c r="J135" i="18"/>
  <c r="J134" i="18"/>
  <c r="J133" i="18"/>
  <c r="J132" i="18"/>
  <c r="J131" i="18"/>
  <c r="J130" i="18"/>
  <c r="J129" i="18"/>
  <c r="J128" i="18"/>
  <c r="J127" i="18"/>
  <c r="J126" i="18"/>
  <c r="J125" i="18"/>
  <c r="J124" i="18"/>
  <c r="J123" i="18"/>
  <c r="J122" i="18"/>
  <c r="J121" i="18"/>
  <c r="J120" i="18"/>
  <c r="J119" i="18"/>
  <c r="J118" i="18"/>
  <c r="J117" i="18"/>
  <c r="J116" i="18"/>
  <c r="J115" i="18"/>
  <c r="J114" i="18"/>
  <c r="J113" i="18"/>
  <c r="J112" i="18"/>
  <c r="J111" i="18"/>
  <c r="J110" i="18"/>
  <c r="J109" i="18"/>
  <c r="J108" i="18"/>
  <c r="J107" i="18"/>
  <c r="J106" i="18"/>
  <c r="J105" i="18"/>
  <c r="J104" i="18"/>
  <c r="J103" i="18"/>
  <c r="J102" i="18"/>
  <c r="J101" i="18"/>
  <c r="J100" i="18"/>
  <c r="J99" i="18"/>
  <c r="J98" i="18"/>
  <c r="J97" i="18"/>
  <c r="J96" i="18"/>
  <c r="J95" i="18"/>
  <c r="J94" i="18"/>
  <c r="J93" i="18"/>
  <c r="J92" i="18"/>
  <c r="J91" i="18"/>
  <c r="J90" i="18"/>
  <c r="J89" i="18"/>
  <c r="J88" i="18"/>
  <c r="J87" i="18"/>
  <c r="J86" i="18"/>
  <c r="J85" i="18"/>
  <c r="J84" i="18"/>
  <c r="J83" i="18"/>
  <c r="J82" i="18"/>
  <c r="J81" i="18"/>
  <c r="J80" i="18"/>
  <c r="J79" i="18"/>
  <c r="Q11" i="21" l="1"/>
  <c r="H5" i="13"/>
  <c r="A15" i="20"/>
  <c r="B14" i="20"/>
  <c r="M3" i="17"/>
  <c r="A16" i="20" l="1"/>
  <c r="B15" i="20"/>
  <c r="B15" i="14"/>
  <c r="B16" i="14"/>
  <c r="B17" i="14"/>
  <c r="B18" i="14"/>
  <c r="B4" i="14"/>
  <c r="B5" i="14"/>
  <c r="B6" i="14"/>
  <c r="B7" i="14"/>
  <c r="A17" i="20" l="1"/>
  <c r="B16" i="20"/>
  <c r="A18" i="20" l="1"/>
  <c r="B17" i="20"/>
  <c r="A19" i="20" l="1"/>
  <c r="B18" i="20"/>
  <c r="A20" i="20" l="1"/>
  <c r="B19" i="20"/>
  <c r="A21" i="20" l="1"/>
  <c r="B20" i="20"/>
  <c r="A22" i="20" l="1"/>
  <c r="B21" i="20"/>
  <c r="A23" i="20" l="1"/>
  <c r="B22" i="20"/>
  <c r="A24" i="20" l="1"/>
  <c r="B23" i="20"/>
  <c r="A25" i="20" l="1"/>
  <c r="B24" i="20"/>
  <c r="A26" i="20" l="1"/>
  <c r="B25" i="20"/>
  <c r="A27" i="20" l="1"/>
  <c r="B26" i="20"/>
  <c r="A28" i="20" l="1"/>
  <c r="B27" i="20"/>
  <c r="A29" i="20" l="1"/>
  <c r="B28" i="20"/>
  <c r="A30" i="20" l="1"/>
  <c r="B29" i="20"/>
  <c r="A31" i="20" l="1"/>
  <c r="B30" i="20"/>
  <c r="A32" i="20" l="1"/>
  <c r="B31" i="20"/>
  <c r="A33" i="20" l="1"/>
  <c r="B32" i="20"/>
  <c r="A34" i="20" l="1"/>
  <c r="B33" i="20"/>
  <c r="A35" i="20" l="1"/>
  <c r="B34" i="20"/>
  <c r="A36" i="20" l="1"/>
  <c r="B35" i="20"/>
  <c r="A37" i="20" l="1"/>
  <c r="B36" i="20"/>
  <c r="A38" i="20" l="1"/>
  <c r="B37" i="20"/>
  <c r="A39" i="20" l="1"/>
  <c r="B38" i="20"/>
  <c r="A40" i="20" l="1"/>
  <c r="B39" i="20"/>
  <c r="A41" i="20" l="1"/>
  <c r="B40" i="20"/>
  <c r="A42" i="20" l="1"/>
  <c r="B41" i="20"/>
  <c r="A43" i="20" l="1"/>
  <c r="B42" i="20"/>
  <c r="A44" i="20" l="1"/>
  <c r="B43" i="20"/>
  <c r="A45" i="20" l="1"/>
  <c r="B44" i="20"/>
  <c r="A46" i="20" l="1"/>
  <c r="B45" i="20"/>
  <c r="A47" i="20" l="1"/>
  <c r="B46" i="20"/>
  <c r="A48" i="20" l="1"/>
  <c r="B47" i="20"/>
  <c r="A49" i="20" l="1"/>
  <c r="B48" i="20"/>
  <c r="A50" i="20" l="1"/>
  <c r="B49" i="20"/>
  <c r="A51" i="20" l="1"/>
  <c r="B50" i="20"/>
  <c r="A52" i="20" l="1"/>
  <c r="B51" i="20"/>
  <c r="A53" i="20" l="1"/>
  <c r="B52" i="20"/>
  <c r="A54" i="20" l="1"/>
  <c r="B53" i="20"/>
  <c r="A55" i="20" l="1"/>
  <c r="B54" i="20"/>
  <c r="A56" i="20" l="1"/>
  <c r="B55" i="20"/>
  <c r="A57" i="20" l="1"/>
  <c r="B56" i="20"/>
  <c r="A58" i="20" l="1"/>
  <c r="B57" i="20"/>
  <c r="A59" i="20" l="1"/>
  <c r="B58" i="20"/>
  <c r="A60" i="20" l="1"/>
  <c r="B59" i="20"/>
  <c r="A61" i="20" l="1"/>
  <c r="B61" i="20" s="1"/>
  <c r="B60" i="20"/>
  <c r="B13" i="26"/>
  <c r="A13"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Forfatter</author>
  </authors>
  <commentList>
    <comment ref="C3" authorId="0" shapeId="0" xr:uid="{00000000-0006-0000-0700-000001000000}">
      <text>
        <r>
          <rPr>
            <b/>
            <sz val="8"/>
            <color indexed="10"/>
            <rFont val="Oslo Sans Office"/>
          </rPr>
          <t>ADVARSEL!!! IKKE fjern eller kopier/flytt på rader og kolonner i dette regnearket. Formler og funksjoner vil slutte å fungere dersom dette gjøres. Alle endringer må gjøres gjennom å kopiere tekst celle for celle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<sst xmlns="http://schemas.openxmlformats.org/spreadsheetml/2006/main" count="581" uniqueCount="370">
  <si>
    <t xml:space="preserve">Veiledning </t>
  </si>
  <si>
    <t>NB! Generell informasjon om regnearket</t>
  </si>
  <si>
    <t>NB! Informasjon om fanen "Tiltaksliste"</t>
  </si>
  <si>
    <t>SANNSYNLIGHET</t>
  </si>
  <si>
    <t>KONSEKVENS</t>
  </si>
  <si>
    <t>RISIKO</t>
  </si>
  <si>
    <t>Meget liten</t>
  </si>
  <si>
    <t>Ubetydelig</t>
  </si>
  <si>
    <t>Lav</t>
  </si>
  <si>
    <t>Liten</t>
  </si>
  <si>
    <t>Moderat</t>
  </si>
  <si>
    <t>Middels</t>
  </si>
  <si>
    <t>Stor</t>
  </si>
  <si>
    <t>Alvorlig</t>
  </si>
  <si>
    <t>Svært stor</t>
  </si>
  <si>
    <t>Svært alvorlig</t>
  </si>
  <si>
    <t>Høy</t>
  </si>
  <si>
    <t>Konsekvensmatrise</t>
  </si>
  <si>
    <t>Liv og helse</t>
  </si>
  <si>
    <t>Økonomi</t>
  </si>
  <si>
    <t>Tillit</t>
  </si>
  <si>
    <t>Etterlevelse av lover og regler</t>
  </si>
  <si>
    <t>Måloppnåelse</t>
  </si>
  <si>
    <t>Dødsfall eller flere personer rammes av alvorlig varig funksjons-nedsettelse eller skade.</t>
  </si>
  <si>
    <t>Tap/skade på over 5 mill kroner for virksomheten</t>
  </si>
  <si>
    <t xml:space="preserve">Langvarige og svært negative oppslag i riksdekkende media.
Vesentlig tap av tillit hos innbyggere og samfunnet.
</t>
  </si>
  <si>
    <t>Kan medføre eller bidra til alvorlig brudd på lov, forskrift eller annet regelverk.</t>
  </si>
  <si>
    <t>Alvorlig personskade eller varig funksjons-nedsettelse.</t>
  </si>
  <si>
    <t>Tap/skade mellom kr 1 og 5 mill for virksomheten</t>
  </si>
  <si>
    <t xml:space="preserve">Negative oppslag i riksdekkende media over flere dager.
Tap av tillit hos innbyggere og samfunnet.
</t>
  </si>
  <si>
    <t xml:space="preserve">Kan medføre eller bidra til brudd på lov, forskrift eller annet regelverk. </t>
  </si>
  <si>
    <t xml:space="preserve">Mindre alvorlig personskade </t>
  </si>
  <si>
    <t>Tap/skade mellom kr 250.000 til 1 mill for virksomheten</t>
  </si>
  <si>
    <t>Mindre eller kortvarige oppslag i media.</t>
  </si>
  <si>
    <t xml:space="preserve">Kan medføre eller bidra til mindre alvorlige brudd på lov, forskrift eller annet regelverk. 
Kan medføre brudd på intern instruks eller reglement.
</t>
  </si>
  <si>
    <t>Moderat innvirkning på oppnåelse av virksomhetens mål.</t>
  </si>
  <si>
    <t>Småskader</t>
  </si>
  <si>
    <t>Tap/skade mellom kr 50.000 og 250.000 for virksomheten</t>
  </si>
  <si>
    <t>Henvendelse fra media uten negative oppslag.</t>
  </si>
  <si>
    <t xml:space="preserve">Kan medføre brudd på intern instruks eller reglement, uten at dette medfører brudd på lov, forskrift eller annet regelverk. </t>
  </si>
  <si>
    <t>Ingen skade</t>
  </si>
  <si>
    <t>Tap/skade på mindre enn 50.000 kroner for virksomheten</t>
  </si>
  <si>
    <t>Ubetydelig påvirkning fra media.</t>
  </si>
  <si>
    <t xml:space="preserve">Påvirker ikke etterlevelse </t>
  </si>
  <si>
    <t>Ubetydelig innvirkning på oppnåelse av virksomhetens mål.</t>
  </si>
  <si>
    <t>Sannsynlighetskategorier og -nivåer</t>
  </si>
  <si>
    <t>Hvor ofte skjer det?</t>
  </si>
  <si>
    <t>Hvor lett skjer det?</t>
  </si>
  <si>
    <t>Forventning</t>
  </si>
  <si>
    <t>Estimert sannsynlighet</t>
  </si>
  <si>
    <t>Sårbarhet</t>
  </si>
  <si>
    <t>Kapasitet og evne</t>
  </si>
  <si>
    <t>Intensjon</t>
  </si>
  <si>
    <t>Forventes å inntreffe tilnærmet ukentlig.</t>
  </si>
  <si>
    <t>Hendelsen vil oppstå under de fleste omstendigheter (inntreffer med over 70 % sannsynlighet)</t>
  </si>
  <si>
    <t>Sikkerhetstiltak er ikke etablert eller fungerer ikke etter hensikten</t>
  </si>
  <si>
    <t xml:space="preserve">Sikkerhetstiltak kan omgås eller brytes av egne medarbeidere og eksterne:
• Med små til normale ressurser
• Uten kjennskap til tiltakene
</t>
  </si>
  <si>
    <t xml:space="preserve">Egne medarbeidere og eksterne opptrer med ubetenksomhet, eller hendelsen skjer ved uhell </t>
  </si>
  <si>
    <t>Forventes å inntreffe tilnærmet månedlig.</t>
  </si>
  <si>
    <t>Hendelsen kan oppstå under flere omstendigheter (inntreffer med 30 – 70 % sannsynlighet)</t>
  </si>
  <si>
    <t>Sikkerhetstiltak er i noen grad etablert eller det er usikkert om de fungerer etter hensikten</t>
  </si>
  <si>
    <t>Egne medarbeidere 
• små til normale ressurser
• uten kjennskap til tiltakene
Eksterne 
• små til normale ressurser
• kjennskap til tiltakene</t>
  </si>
  <si>
    <t xml:space="preserve">Egne medarbeidere opptrer med ubetenksomhet, eller hendelsen skjer ved uhell
Eksterne bryter sikkerhetstiltakene bevisst.
</t>
  </si>
  <si>
    <t>Forventes å inntreffe minst kvartalsvis.</t>
  </si>
  <si>
    <t>Hendelsen kan oppstå under noen omstendigheter (inntreffer med 10 – 30 % sannsynlighet)</t>
  </si>
  <si>
    <t>Sikkerhetstiltak er delvis etablert, og fungerer delvis etter hensikten</t>
  </si>
  <si>
    <t>Egne medarbeidere
• små til normale ressurser
• noe kjennskap til tiltakene
• uten kompetanse
Eksterne
• normal til gode ressurser
• god kjennskap til tiltakene</t>
  </si>
  <si>
    <t xml:space="preserve">Egne medarbeidere bryter sikkerhetstiltakene bevisst .
Eksterne planlegger og bryter sikkerhetstiltakene. 
</t>
  </si>
  <si>
    <t>Forventes å inntreffe årlig.</t>
  </si>
  <si>
    <t>Hendelsen kan oppstå under sjeldne omstendigheter (inntreffer med 5 – 10 % sannsynlighet)</t>
  </si>
  <si>
    <t>Sikkerhetstiltak er etablert etter sikkerhetsbehovet og fungerer etter hensikten</t>
  </si>
  <si>
    <t>Egne medarbeidere
• små til normale ressurser
• kjennskap til tiltakene
• en viss kompetanse
Eksterne
• gode ressurser og spisskompetanse
• fullstendig kjennskap til tiltakene</t>
  </si>
  <si>
    <t xml:space="preserve">Egne medarbeidere bryter sikkerhetstiltakene bevisst.
Eksterne planlegger over lengre tid og bryter sikkerhetstiltakene. 
</t>
  </si>
  <si>
    <t>Forventes å finne sted sjeldnere enn en gang pr år.</t>
  </si>
  <si>
    <t>Hendelsen vil kun oppstå under helt spesielle omstendigheter (inntreffer med under 5 % sannsynlighet)</t>
  </si>
  <si>
    <t>Sikkerhetstiltak er etablert etter sikkerhetsbehovet og det kontrolleres at de fungerer etter hensikten</t>
  </si>
  <si>
    <t>Tiltakene kan kun brytes av egne medarbeidere 
• med gode ressurser, 
• god/fullstendig kjennskap til tiltakene. 
Eksternt personell kan kun omgå eller bryte tiltakene med hjelp fra interne.</t>
  </si>
  <si>
    <t>Egne medarbeidere planlegger og bryter sikkerhetstiltakene.</t>
  </si>
  <si>
    <t>#</t>
  </si>
  <si>
    <t>Informasjonsverdi</t>
  </si>
  <si>
    <t>Beskrivelse</t>
  </si>
  <si>
    <t>Tilstand</t>
  </si>
  <si>
    <t>Skadepotensial ved brudd på konfidensialitet</t>
  </si>
  <si>
    <t>Skadepotensial ved brudd på integritet</t>
  </si>
  <si>
    <t>Skadepotensial ved tap av tilgjengelighet</t>
  </si>
  <si>
    <t>Beregnet verdi</t>
  </si>
  <si>
    <t>Justert verdi</t>
  </si>
  <si>
    <t>Kritisk</t>
  </si>
  <si>
    <t>Tid fra &lt;system/tjeneste&gt; blir utilgjengelig til hendelsen får hhv. Lav, Moderat, Alvorlig og Svært alvorlig konsekvens for ulike brukergrupper/virksomheter</t>
  </si>
  <si>
    <t>Konsekvens iht. beskrivelser i konsekvensmatrise</t>
  </si>
  <si>
    <t>Eksisterende tiltak</t>
  </si>
  <si>
    <t>Kommentar</t>
  </si>
  <si>
    <t>&lt;Bydel/etat/institusjon&gt;</t>
  </si>
  <si>
    <t>&lt;arbeidsoppgave/tjeneste&gt;</t>
  </si>
  <si>
    <t>Uten tiltak</t>
  </si>
  <si>
    <t>&lt;Minutter/timer/dager&gt;</t>
  </si>
  <si>
    <t>Etc.</t>
  </si>
  <si>
    <t>Med eksisterende tiltak</t>
  </si>
  <si>
    <t>Systemets tallverdi</t>
  </si>
  <si>
    <t>Justert tallverdi</t>
  </si>
  <si>
    <t>Type (velg fra nedtrekks-menyen)</t>
  </si>
  <si>
    <t>Automatisk generert trusselnivå</t>
  </si>
  <si>
    <t>Manuell justering av trusselnivå</t>
  </si>
  <si>
    <t>Dummy</t>
  </si>
  <si>
    <t>Dummy 2</t>
  </si>
  <si>
    <t>Kommentar / begrunnelse</t>
  </si>
  <si>
    <t>Fenomen</t>
  </si>
  <si>
    <t>Aut</t>
  </si>
  <si>
    <t>Man</t>
  </si>
  <si>
    <t>x</t>
  </si>
  <si>
    <t>Forretningsprosess</t>
  </si>
  <si>
    <t>Kritikalitetsnivå</t>
  </si>
  <si>
    <t>Gjør en samlet vurdering av hvor viktig prosessen er for virksomheten. (måloppnåelse og verdiene som inngår i prosessen)
MÅ fylles inn!</t>
  </si>
  <si>
    <t>Process A</t>
  </si>
  <si>
    <t>High</t>
  </si>
  <si>
    <t>Process B</t>
  </si>
  <si>
    <t>Critical</t>
  </si>
  <si>
    <t>Process C</t>
  </si>
  <si>
    <t>Medium</t>
  </si>
  <si>
    <t>IKKE SLETT!</t>
  </si>
  <si>
    <t xml:space="preserve">Skalaene regnes ut i skjult kolonne "O". For å legge til flere rader, velg "unhide" på kolonne O, kopier så den formelen og formelen i kolonne "P" videre ned i regnearket. </t>
  </si>
  <si>
    <t>Yes/No</t>
  </si>
  <si>
    <t>Skala numerisk</t>
  </si>
  <si>
    <t>Skala_tekst</t>
  </si>
  <si>
    <t>Skala_sårbarheter</t>
  </si>
  <si>
    <t>Yes</t>
  </si>
  <si>
    <t>Stored</t>
  </si>
  <si>
    <t>=</t>
  </si>
  <si>
    <t>Low</t>
  </si>
  <si>
    <t>No</t>
  </si>
  <si>
    <t>In transit</t>
  </si>
  <si>
    <t>Both</t>
  </si>
  <si>
    <t>Aktør</t>
  </si>
  <si>
    <t>&gt;</t>
  </si>
  <si>
    <t xml:space="preserve">Maks </t>
  </si>
  <si>
    <t>Lavt</t>
  </si>
  <si>
    <t>Utydelig</t>
  </si>
  <si>
    <t>0</t>
  </si>
  <si>
    <t>Min</t>
  </si>
  <si>
    <t>Organisatoriske</t>
  </si>
  <si>
    <t>Høy prioritet</t>
  </si>
  <si>
    <t>Ja/Nei</t>
  </si>
  <si>
    <t>Menneskelige</t>
  </si>
  <si>
    <t>Middels prioritet</t>
  </si>
  <si>
    <t>Du må gjøre et valg</t>
  </si>
  <si>
    <t>I ro</t>
  </si>
  <si>
    <t>Ja</t>
  </si>
  <si>
    <t>Tekniske</t>
  </si>
  <si>
    <t>Lav prioritet</t>
  </si>
  <si>
    <t>I transit</t>
  </si>
  <si>
    <t>Nei</t>
  </si>
  <si>
    <t>Begge</t>
  </si>
  <si>
    <t>Critival</t>
  </si>
  <si>
    <t>Risikohåndtering</t>
  </si>
  <si>
    <t>IKKE ANGITT</t>
  </si>
  <si>
    <t>Akseptere risiko</t>
  </si>
  <si>
    <t>Unngå risiko</t>
  </si>
  <si>
    <t>Dele risiko</t>
  </si>
  <si>
    <t>Håndtere risiko</t>
  </si>
  <si>
    <t>High level vulnerabilities</t>
  </si>
  <si>
    <t>Type of vulnerability</t>
  </si>
  <si>
    <t>Mangelfull opplæring av ledere og ansatte</t>
  </si>
  <si>
    <t>Lav grad av sikkerhetskultur</t>
  </si>
  <si>
    <t>Lite styring av sluttbrukerprogrammer, herunder tilgangsstyring</t>
  </si>
  <si>
    <t>Manglende retningslinjer for informasjonssikkerhet. Ansatte er usikre på hva som "gjelder"</t>
  </si>
  <si>
    <t>Mangelfull tilgangsstyring av enheter som er kjøpt inn av den ansatte (ipad, telefoner)</t>
  </si>
  <si>
    <t>Gjennomføres lite kontroll av etterlevelse av retningslinjer og regelverk</t>
  </si>
  <si>
    <t>Mangelfull tilgangsstyring av filområder og prosjektrom, særlig når ansatte endrer arbeidsoppgaver</t>
  </si>
  <si>
    <t>Sikkerhetstiltak er ikke gjenstand for risikovurderinger</t>
  </si>
  <si>
    <t>Eierskap til informasjon er ikke tydelig definert</t>
  </si>
  <si>
    <t xml:space="preserve">Ingen systematisk tilnærming til innebygget sikkerhet i programvare og systemer som er utviklet in-house. </t>
  </si>
  <si>
    <t>Forretningsbehov ikke alltid avklart og dokumentert før utviklingsfasen begynner</t>
  </si>
  <si>
    <t>Sikkerhetskrav ikke alltid dokumentert som del av systemdokumentasjon</t>
  </si>
  <si>
    <t>Kontrakter og avtaler beskriver i liten grad roller og ansvar knyttet til sikkerhet</t>
  </si>
  <si>
    <t>Lite spesifiserte sikkerhetskrav i avtaler</t>
  </si>
  <si>
    <t>Kunder og partnere gis ingen eller lite opplæring i informasjonssikkerhet før disse gis tilgang til systemer</t>
  </si>
  <si>
    <t xml:space="preserve">Mangelfull overvåking og monitorering av infrastruktur </t>
  </si>
  <si>
    <t>Ansatte lagrer ikke alltid informasjon på filområder som er gjenstand for backup. Det tas ikke backup av klienter</t>
  </si>
  <si>
    <t xml:space="preserve">Mangelfull testing av endringer, oppgraderinger etc </t>
  </si>
  <si>
    <t>Mangelfull review/etterkontroll av endringer som er implementert</t>
  </si>
  <si>
    <t>Organizational</t>
  </si>
  <si>
    <t>Utrangert utstyr kan ende opp på private hender (hos ansatte)</t>
  </si>
  <si>
    <t>Fysisk utstyr er ikke angitt eier</t>
  </si>
  <si>
    <t>Mangelfull styring av ICS (SCADA-systemer)</t>
  </si>
  <si>
    <t>Mangelfull oversikt over omfang av ICS</t>
  </si>
  <si>
    <t>Mangelfull sikring av produksjonsfasiliteter</t>
  </si>
  <si>
    <t>Technical</t>
  </si>
  <si>
    <t>Manglende oversikt over PLSer med dokumenterte tekniske sårbarheter</t>
  </si>
  <si>
    <t>Mobile enheter autentiseres, men ikke autoriseres før disse gis tilgang til nettverket</t>
  </si>
  <si>
    <t>Ingen krav til antivirus eller annen beskyttelse av mobile enheter før disse gis adgang til nettverket</t>
  </si>
  <si>
    <t>Alle ansatte har administratorrettigheter på egne Pcer og mobile enheter</t>
  </si>
  <si>
    <t>Mobile enheter er ikke konfigurert slik at sensitiv informasjon blir særskilt beskyttet (restriksjoner mtp kopiering, endring, etc)</t>
  </si>
  <si>
    <t>Mangelfulle sikkerhetskrav til BYOD før oppkobling til bedriftsnettverk</t>
  </si>
  <si>
    <t>Ingen begrensninger knyttet til bruk av bærbare lagringsmedier (USB)</t>
  </si>
  <si>
    <t>Mangelfulle krav til sikring av bærbare lagringsmedier</t>
  </si>
  <si>
    <t>Mangelfull fysisk sikring av kabler, etc</t>
  </si>
  <si>
    <t>Mangelfull eller ikke oppdatert dokumentasjon av fysiske komponenter (merking, eierskap, etc)</t>
  </si>
  <si>
    <t>Manglende kontroll av patching, sikkerhetsprogramvare installert, brannmur aktivert, etc</t>
  </si>
  <si>
    <t>Manglende jevnlig kontroll/review av brannmurenes regelsett</t>
  </si>
  <si>
    <t>Mangelfull sikring av epostsystemer, herunder scanning av eposter, whitelisting/blacklisting</t>
  </si>
  <si>
    <t>Manglende risikovurderinger knyttet til eksterne leverandører</t>
  </si>
  <si>
    <t>Sikkerhetsvurderinger av leverandører gjøres ikke på en systematisk måte</t>
  </si>
  <si>
    <t>Mangelfulle sikkerhetsvurderinger knyttet til bruk av skytjenester</t>
  </si>
  <si>
    <t>Mangelfulle vurderinger av når personopplysninger legges i skyen</t>
  </si>
  <si>
    <t>Manglende systematisk håndtering av nye trusler og sårbarheter som har betydning for systemer som behandler viktig informasjon</t>
  </si>
  <si>
    <t>Klienter som har vært off-line en periode, kan kobles til nettverk uten at anti-virus er oppdatert</t>
  </si>
  <si>
    <t>Ingen IDS-tjenester (tjenesten er ikke kjøpt av driftsleverandør)</t>
  </si>
  <si>
    <t>Sikkerhetsmessige forhold logges ikke</t>
  </si>
  <si>
    <t>Sikkerhetshendelser håndteres ikke på en ensartet måte</t>
  </si>
  <si>
    <t>Manglende retningslinjer knyttet til hendelsehåndtering</t>
  </si>
  <si>
    <t>Varierende grad av testing av sikkerhetspatcher</t>
  </si>
  <si>
    <t>Manglende evne til å håndtere hendelser på en slik måte at bevis ikke blir ødelagt</t>
  </si>
  <si>
    <t>Ikke utnevnt lokale sikkerhetsledere eller annet personell med sikkerhetskompetanse i de ulike enhetene</t>
  </si>
  <si>
    <t>Mangelfull koordinering av sikkerhetsarbeidet på tvers av forretningsenheter</t>
  </si>
  <si>
    <t>Fysisk sikring av produksjonsanlegg og andre viktige installasjoner er ikke god nok</t>
  </si>
  <si>
    <t>Kontinuitetsplanverket omfatter ikke informasjonssikkerhetshendelser</t>
  </si>
  <si>
    <t>Det gjennomføres ikke sikkerhetsrevisjoner på jenvlig basis</t>
  </si>
  <si>
    <t>Ingen monitorering av ansatte med utvidede rettigheter i kjernesystemer og applikasjoner</t>
  </si>
  <si>
    <t>Teknisk</t>
  </si>
  <si>
    <t>Ingen jevnlig statusgjennomgang av sikkerhetsarbeidet. Toppledelsen er ukjent med status</t>
  </si>
  <si>
    <t>Ikke etablert måleparamentre som gjør det mulig å måle sikkerhetstilstanden</t>
  </si>
  <si>
    <t>Prosjektavhengig om det kartlegges hvilke regelverk med betydning for informasjonssikkerhet som virksomheten er underlagt</t>
  </si>
  <si>
    <t>Mangelfull bakgrunnssjekk av ansatte eller andre som gis tilgang til systemer, prosjektrom eller fysiske områder</t>
  </si>
  <si>
    <t>Generell sikkerhetskompetanse er lav</t>
  </si>
  <si>
    <t>Human</t>
  </si>
  <si>
    <t>Risikovurdering &lt;Forretningsområde/Avdeling/Prosess/System&gt;</t>
  </si>
  <si>
    <t>Tilhører risiko</t>
  </si>
  <si>
    <t>Tiltak ID</t>
  </si>
  <si>
    <t>Dummy2</t>
  </si>
  <si>
    <t>Gjenværende risiko</t>
  </si>
  <si>
    <t>RiskID</t>
  </si>
  <si>
    <t>Beskrivelse av konsekvens/resultat dersom hendelsen inntreffer (benytt konsekvensmatrisen)</t>
  </si>
  <si>
    <t>Beskrivelse av sannsynlighet, basert på trussel- og sårbarhetsvurderingene (benytt sannsynlighetsmatrisen)</t>
  </si>
  <si>
    <t>Nr</t>
  </si>
  <si>
    <t>Risk ID</t>
  </si>
  <si>
    <t>Tiltaksliste</t>
  </si>
  <si>
    <t>Prioritet</t>
  </si>
  <si>
    <t>Ansvarlig</t>
  </si>
  <si>
    <t>Frist</t>
  </si>
  <si>
    <t>Iboende risiko (risiko før planlagte tiltak)</t>
  </si>
  <si>
    <t>ID</t>
  </si>
  <si>
    <t>NR</t>
  </si>
  <si>
    <t>Sanns_verdi</t>
  </si>
  <si>
    <t>Kons_verdi</t>
  </si>
  <si>
    <t>Risiko_verdi</t>
  </si>
  <si>
    <t>Sanns_etter_verdi</t>
  </si>
  <si>
    <t>Kons_etter_verdi</t>
  </si>
  <si>
    <t>Gj_Risiko_verdi</t>
  </si>
  <si>
    <t>Versjon</t>
  </si>
  <si>
    <t>Dato</t>
  </si>
  <si>
    <t>Endringer</t>
  </si>
  <si>
    <t>Utført av</t>
  </si>
  <si>
    <t>0.987</t>
  </si>
  <si>
    <t>1. Noen kosmetiske endringer i veiledningsarket
2. Frigjort celler i start-arkfanen og i risikovurderingsarket som ved en feiltakelse ble låst i forrige versjon</t>
  </si>
  <si>
    <t>Andreas Grefsrud</t>
  </si>
  <si>
    <t>0.986</t>
  </si>
  <si>
    <t>1. Lagt til tabell i start-arkfanen der kritikalitet for informasjonsverdier angis
2. Lagt til "ansvarlig" og "frist" i risikovurderingsarket (i forbindelse med risikoevaluering)
3. Lagt til formel og betinget formattering i kolonnene Ansvarlig og Frist, slik at det automatisk fremgår tekst i disse dersom det er skrevet en tiltaksbeskrivelse
3. Ryddet i script som eksporterer alle tiltak til tiltaksliste
4. Inkludert Ansvarlig og Frist i eksportfunksjon</t>
  </si>
  <si>
    <t>0.985</t>
  </si>
  <si>
    <t>1. Fikset bug i tiltakslisten. Feil besto i at prioritering av tiltak ikke ble riktig dersom det ikke var angitt prioritering i risikovurderingsarket
2. Prioritering av tiltak blir automatisk angitt til "høy prioritering" fra risikovurderingsarket dersom brukeren glemmer å angi prioritering
3. Lagt til funksjonalitet som gjør det mulig å kopiere tiltakslisten til en "backup" 
4. Alle nedrekksmenyer er fikset slik at det er ikke er store tomrom som må scrolles gjennom</t>
  </si>
  <si>
    <t>0.984</t>
  </si>
  <si>
    <t>1. Lagt til nedtrekksmeny som viser hvilken strategi som velges i evalueringsfasen. Dersom valgt strategi er "akseptere risiko" vil restrisiko være den samme som opprinnelig risiko uavhengig av hva som måtte velges i nedtrekksmenyene "antatt sannsynlighet etter tiltak" og "antatt konsekvens etter tiltak" 
2. Redusert antall mulige scenarioer fra 100 til 50
3. Lagt til farger i risikovurderingsarket slik at det er lettere å skille de ulike scenarioene fra hverandre
4. Lagt til nye arkfaner som knytter informasjonsverdier til systemer og prosesser. Verdier er tatt ut av selve risikovurderingsarket og erstattet med systemer og prosesser. Muliggjør at verktøyet kan benyttes til ulike typer risikovurderinger i større grad uten endringer
5. Lagt til mellomrom mellom radene i arkfanen "risikovurdering_data" som tilsvarer antall rader i hvert scenario i "risikovurdering". Gjør det mindre tidkrevende å gjøre endringer ved senere anledninger</t>
  </si>
  <si>
    <t>Nedtrekksfelt</t>
  </si>
  <si>
    <t>Test</t>
  </si>
  <si>
    <t>Risiko</t>
  </si>
  <si>
    <t>Pivot table for å lage pai-grafen 'konfidensialitet' I fanen "Verdivurdering"</t>
  </si>
  <si>
    <t>Pivot table for å lage pai-grafen 'Integritet' I fanen "verdivurdering</t>
  </si>
  <si>
    <t>Pivot table for å lage pai-grafen "Tilgjenglighet" I fanen "verdivurdering"</t>
  </si>
  <si>
    <t>Sårbarhetsnivå</t>
  </si>
  <si>
    <t>5 - Svært Stor</t>
  </si>
  <si>
    <t>4 - Stor</t>
  </si>
  <si>
    <t>3 - Moderat</t>
  </si>
  <si>
    <t>2 - Liten</t>
  </si>
  <si>
    <t>1 - Meget liten</t>
  </si>
  <si>
    <t>Relevant(e) verdi(er) (nedtrekksmeny)</t>
  </si>
  <si>
    <t>Scenario</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</si>
  <si>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</si>
  <si>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</si>
  <si>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</si>
  <si>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</si>
  <si>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</si>
  <si>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</si>
  <si>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</si>
  <si>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</si>
  <si>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</si>
  <si>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</si>
  <si>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</si>
  <si>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</si>
  <si>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</si>
  <si>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</si>
  <si>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</si>
  <si>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</si>
  <si>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</si>
  <si>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</si>
  <si>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</si>
  <si>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</si>
  <si>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</si>
  <si>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</si>
  <si>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</si>
  <si>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</si>
  <si>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</si>
  <si>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</si>
  <si>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</si>
  <si>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</si>
  <si>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</si>
  <si>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</si>
  <si>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</si>
  <si>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OG Start</t>
  </si>
  <si>
    <t>Oppdatert Start</t>
  </si>
  <si>
    <t>Verdidata</t>
  </si>
  <si>
    <t>Tiltak</t>
  </si>
  <si>
    <t>Tilhører Risiko</t>
  </si>
  <si>
    <t>Beskrivelse av planlagt tiltak (et tiltak på hver linje)</t>
  </si>
  <si>
    <t>Aktør/Fenomen</t>
  </si>
  <si>
    <t>Data for personopplysning</t>
  </si>
  <si>
    <t>RisikoID</t>
  </si>
  <si>
    <t>Dummy Ansvarlig</t>
  </si>
  <si>
    <t>Dummy Frist</t>
  </si>
  <si>
    <t xml:space="preserve">Frist (dd.mm.åååå) </t>
  </si>
  <si>
    <t>Konsekvens</t>
  </si>
  <si>
    <t>Svært Alvorlig</t>
  </si>
  <si>
    <t xml:space="preserve">Count </t>
  </si>
  <si>
    <t>Konf</t>
  </si>
  <si>
    <t>Integritet</t>
  </si>
  <si>
    <t>Tilgjengelighet</t>
  </si>
  <si>
    <t xml:space="preserve">Her kan det dokumenteres administrativ informasjon om risikovurderingen, for eksempel omfang, risikoeier og hvem som har deltatt. </t>
  </si>
  <si>
    <t>Med risikoeier menes systemeier eller linjeleder som skal akseptere restrisiko for system eller prosess.</t>
  </si>
  <si>
    <t>Omfang av system eller prosess som skal risikovurderes:</t>
  </si>
  <si>
    <t>Risikoeier (Systemeier, linjeleder el.lign.):</t>
  </si>
  <si>
    <t>Fasilitator av risikovurderingen:</t>
  </si>
  <si>
    <t>Deltakere i risikovurderingen:</t>
  </si>
  <si>
    <t>Dato for risikovurdering:</t>
  </si>
  <si>
    <t>Ikke slett eller sett inn rader eller kolonner i regnearkfanene da dette kan ødelegge koden som beregner risiko og/eller plotter resultatene i risikomatrisen.</t>
  </si>
  <si>
    <t xml:space="preserve">Hvis du får melding om å aktivere makroer når du åpner regnearket, må du akseptere dette. </t>
  </si>
  <si>
    <t>Det vises til dokumentet Veileder for risikovurdering - Informasjonssikkerhet for forklaring av metodikk og bruken av verktøyet.</t>
  </si>
  <si>
    <t>https://felles.intranett.oslo.kommune.no/informasjonssikkerhet-og-personvern/informasjonssikkerhet/risikostyring/</t>
  </si>
  <si>
    <t>Se</t>
  </si>
  <si>
    <t>Om endring av ark og celler</t>
  </si>
  <si>
    <t>Hvis du ønsker å kopiere informasjon på denne siden til en rapport, kan du bruk knappen til høyre.</t>
  </si>
  <si>
    <t>Forside - risikovurdering av XXX</t>
  </si>
  <si>
    <t xml:space="preserve">Hvis du klikker på knappen "Oppdater liste", hentes informasjon fra Risikovurdering-fanen. Eventuell informasjon som er lagt inn manuelt i Tiltaksliste-fanen, blir overskrevet. Du kan ta kopi av informasjonen i Tiltaksliste-fanen til Kopi av tiltaksliste-fanen, med knappen "Lag en kopi av listen" før du klikker på knappen "Oppdater liste".
</t>
  </si>
  <si>
    <t>Ved spørsmål til bruken av regnearket, ta kontakt med: Espen J. Evensen i Byrådsavdeling for finans.</t>
  </si>
  <si>
    <t>Risk
ID</t>
  </si>
  <si>
    <t>Skriv ned relevante kombinasjoner av KIT</t>
  </si>
  <si>
    <t>Beskriv relevante sårbarheter (menneskelige, organisatoriske, tekniske) som reduserer evnen til å motstå en trussel</t>
  </si>
  <si>
    <t>Konsekvens etter tiltak</t>
  </si>
  <si>
    <t>Sannsynlighet etter tiltak</t>
  </si>
  <si>
    <t>Restrisiko</t>
  </si>
  <si>
    <t>Risikonivå</t>
  </si>
  <si>
    <t>Prioritet (blir Høy dersom dette ikke angis manuelt)</t>
  </si>
  <si>
    <t xml:space="preserve">
Scenariobeskrivelse</t>
  </si>
  <si>
    <t>Relevant for PVK-vurdering. P eller blank (nedtrekk)</t>
  </si>
  <si>
    <t>Trussel
(nedtrekk)</t>
  </si>
  <si>
    <r>
      <t xml:space="preserve">Tilstedeværelse: </t>
    </r>
    <r>
      <rPr>
        <sz val="11"/>
        <rFont val="Oslo Sans Office"/>
      </rPr>
      <t>Aktøren antas å være i stand til å nå virksomheten og ansatte, enten fysisk eller via elektroniske nettverk</t>
    </r>
  </si>
  <si>
    <r>
      <t xml:space="preserve">Kapasitet: </t>
    </r>
    <r>
      <rPr>
        <sz val="11"/>
        <rFont val="Oslo Sans Office"/>
      </rPr>
      <t>Tilegnet, antatt eller demonstrert evne til å utføre uønskede handlinger</t>
    </r>
  </si>
  <si>
    <r>
      <t xml:space="preserve">Intensjon: </t>
    </r>
    <r>
      <rPr>
        <sz val="11"/>
        <rFont val="Oslo Sans Office"/>
      </rPr>
      <t>Aktøren har, eller kan antas å ha en vilje til og/eller ønske om å utføre uønskede handlinger</t>
    </r>
  </si>
  <si>
    <r>
      <t xml:space="preserve">Historikk: </t>
    </r>
    <r>
      <rPr>
        <sz val="11"/>
        <rFont val="Oslo Sans Office"/>
      </rPr>
      <t>Aktøren har stått bak påviselig aktivitet over tid</t>
    </r>
  </si>
  <si>
    <r>
      <t xml:space="preserve">Målvalg: </t>
    </r>
    <r>
      <rPr>
        <sz val="11"/>
        <rFont val="Oslo Sans Office"/>
      </rPr>
      <t>Virksomheten antas å være et utsatt og attraktivt mål for aktøren</t>
    </r>
  </si>
  <si>
    <r>
      <t xml:space="preserve">Potensial: </t>
    </r>
    <r>
      <rPr>
        <sz val="11"/>
        <rFont val="Oslo Sans Office"/>
      </rPr>
      <t>Fenomenet kan gi betydelige skader på virksomhetens verdier</t>
    </r>
  </si>
  <si>
    <r>
      <t xml:space="preserve">Forutsetninger: </t>
    </r>
    <r>
      <rPr>
        <sz val="11"/>
        <rFont val="Oslo Sans Office"/>
      </rPr>
      <t>Alle forutsetninger er til stede for at fenomenet kan inntreffe</t>
    </r>
  </si>
  <si>
    <r>
      <t xml:space="preserve">Utbredelse: </t>
    </r>
    <r>
      <rPr>
        <sz val="11"/>
        <rFont val="Oslo Sans Office"/>
      </rPr>
      <t>Fenomenet er vanlig i miljøet hvor virksomheten befinner seg</t>
    </r>
  </si>
  <si>
    <r>
      <t xml:space="preserve">Historikk: </t>
    </r>
    <r>
      <rPr>
        <sz val="11"/>
        <rFont val="Oslo Sans Office"/>
      </rPr>
      <t>Fenomenet har inntruffet tidligere i virksomheten</t>
    </r>
  </si>
  <si>
    <r>
      <t xml:space="preserve">Omstendigheter: </t>
    </r>
    <r>
      <rPr>
        <sz val="11"/>
        <rFont val="Oslo Sans Office"/>
      </rPr>
      <t xml:space="preserve">Virksomheten er spesielt utsatt for fenomenet </t>
    </r>
  </si>
  <si>
    <r>
      <t xml:space="preserve">Konsekvens </t>
    </r>
    <r>
      <rPr>
        <b/>
        <sz val="9"/>
        <rFont val="Oslo Sans Office"/>
      </rPr>
      <t>(nedtrekk)</t>
    </r>
  </si>
  <si>
    <r>
      <t xml:space="preserve">Sårbarhet </t>
    </r>
    <r>
      <rPr>
        <b/>
        <sz val="11"/>
        <rFont val="Oslo Sans Office"/>
      </rPr>
      <t>(nedtrekk)</t>
    </r>
  </si>
  <si>
    <r>
      <rPr>
        <b/>
        <sz val="12"/>
        <rFont val="Oslo Sans Office"/>
      </rPr>
      <t>Trusselnivå</t>
    </r>
    <r>
      <rPr>
        <b/>
        <sz val="14"/>
        <rFont val="Oslo Sans Office"/>
      </rPr>
      <t xml:space="preserve"> </t>
    </r>
    <r>
      <rPr>
        <b/>
        <sz val="10"/>
        <rFont val="Oslo Sans Office"/>
      </rPr>
      <t>(beregnet)</t>
    </r>
  </si>
  <si>
    <r>
      <rPr>
        <b/>
        <sz val="12"/>
        <rFont val="Oslo Sans Office"/>
      </rPr>
      <t xml:space="preserve">Sannsynlighet </t>
    </r>
    <r>
      <rPr>
        <b/>
        <sz val="9"/>
        <rFont val="Oslo Sans Office"/>
      </rPr>
      <t>(nedtrekk)</t>
    </r>
  </si>
  <si>
    <t>Manglende oppnåelse av kritiske mål for virksomheten.</t>
  </si>
  <si>
    <t>Manglende oppnåelse av mindre kritiske mål for virksomheten.</t>
  </si>
  <si>
    <t>Liten innvirkning på oppnåelse av virksomhetens mål.</t>
  </si>
  <si>
    <t>(Versjon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</si>
</sst>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dd\.mm\.aaaa"/>
  </numFmts>
  <fonts count="57" x14ac:knownFonts="1">
    <font>
      <sz val="11"/>
      <color theme="1"/>
      <name val="Calibri"/>
      <family val="2"/>
      <scheme val="minor"/>
    </font>
    <font>
      <b/>
      <sz val="20"/>
      <color theme="1"/>
      <name val="Calibri"/>
      <family val="2"/>
      <scheme val="minor"/>
    </font>
    <font>
      <sz val="11"/>
      <name val="Calibri"/>
      <family val="2"/>
      <scheme val="minor"/>
    </font>
    <font>
      <sz val="10"/>
      <color rgb="FF333333"/>
      <name val="Consolas"/>
      <family val="3"/>
    </font>
    <font>
      <sz val="11"/>
      <color theme="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b/>
      <sz val="14"/>
      <color theme="0"/>
      <name val="Calibri"/>
      <family val="2"/>
      <scheme val="minor"/>
    </font>
    <font>
      <b/>
      <sz val="14"/>
      <color theme="1"/>
      <name val="Calibri"/>
      <family val="2"/>
      <scheme val="minor"/>
    </font>
    <font>
      <sz val="8"/>
      <name val="Calibri"/>
      <family val="2"/>
      <scheme val="minor"/>
    </font>
    <font>
      <sz val="11"/>
      <color rgb="FF000000"/>
      <name val="Calibri"/>
      <family val="2"/>
    </font>
    <font>
      <sz val="11"/>
      <color theme="1"/>
      <name val="Consolas"/>
      <family val="3"/>
    </font>
    <font>
      <sz val="11"/>
      <color rgb="FFFF0000"/>
      <name val="Calibri"/>
      <family val="2"/>
      <scheme val="minor"/>
    </font>
    <font>
      <sz val="11"/>
      <color rgb="FFFF3300"/>
      <name val="Calibri"/>
      <family val="2"/>
      <scheme val="minor"/>
    </font>
    <font>
      <sz val="16"/>
      <color rgb="FF000000"/>
      <name val="Calibri"/>
      <family val="2"/>
    </font>
    <font>
      <sz val="11"/>
      <color theme="1"/>
      <name val="Calibri"/>
      <family val="2"/>
      <scheme val="minor"/>
    </font>
    <font>
      <u/>
      <sz val="11"/>
      <color theme="10"/>
      <name val="Calibri"/>
      <family val="2"/>
      <scheme val="minor"/>
    </font>
    <font>
      <sz val="11"/>
      <color theme="1"/>
      <name val="Oslo Sans Office"/>
    </font>
    <font>
      <b/>
      <sz val="22"/>
      <color theme="1"/>
      <name val="Oslo Sans Office"/>
    </font>
    <font>
      <b/>
      <sz val="11"/>
      <color theme="1"/>
      <name val="Oslo Sans Office"/>
    </font>
    <font>
      <sz val="11"/>
      <color rgb="FF000000"/>
      <name val="Oslo Sans Office"/>
    </font>
    <font>
      <u/>
      <sz val="11"/>
      <color theme="10"/>
      <name val="Oslo Sans Office"/>
    </font>
    <font>
      <b/>
      <sz val="11"/>
      <name val="Oslo Sans Office"/>
    </font>
    <font>
      <b/>
      <sz val="16"/>
      <color theme="1"/>
      <name val="Oslo Sans Office"/>
    </font>
    <font>
      <sz val="16"/>
      <color theme="1"/>
      <name val="Oslo Sans Office"/>
    </font>
    <font>
      <sz val="11"/>
      <name val="Oslo Sans Office"/>
    </font>
    <font>
      <b/>
      <sz val="11"/>
      <color theme="3" tint="0.59999389629810485"/>
      <name val="Oslo Sans Office"/>
    </font>
    <font>
      <b/>
      <i/>
      <sz val="11"/>
      <name val="Oslo Sans Office"/>
    </font>
    <font>
      <sz val="12"/>
      <color theme="1"/>
      <name val="Oslo Sans Office"/>
    </font>
    <font>
      <b/>
      <sz val="11"/>
      <color theme="0"/>
      <name val="Oslo Sans Office"/>
    </font>
    <font>
      <b/>
      <i/>
      <sz val="11"/>
      <color theme="1"/>
      <name val="Oslo Sans Office"/>
    </font>
    <font>
      <sz val="11"/>
      <color theme="0"/>
      <name val="Oslo Sans Office"/>
    </font>
    <font>
      <b/>
      <sz val="10"/>
      <color theme="0"/>
      <name val="Oslo Sans Office"/>
    </font>
    <font>
      <sz val="8"/>
      <color theme="1"/>
      <name val="Oslo Sans Office"/>
    </font>
    <font>
      <sz val="8"/>
      <name val="Oslo Sans Office"/>
    </font>
    <font>
      <b/>
      <sz val="8"/>
      <name val="Oslo Sans Office"/>
    </font>
    <font>
      <b/>
      <sz val="8"/>
      <color theme="1"/>
      <name val="Oslo Sans Office"/>
    </font>
    <font>
      <b/>
      <sz val="8"/>
      <color theme="0"/>
      <name val="Oslo Sans Office"/>
    </font>
    <font>
      <b/>
      <sz val="14"/>
      <color theme="1"/>
      <name val="Oslo Sans Office"/>
    </font>
    <font>
      <sz val="20"/>
      <color theme="0"/>
      <name val="Oslo Sans Office"/>
    </font>
    <font>
      <sz val="6"/>
      <color theme="0"/>
      <name val="Oslo Sans Office"/>
    </font>
    <font>
      <b/>
      <sz val="12"/>
      <color theme="1"/>
      <name val="Oslo Sans Office"/>
    </font>
    <font>
      <b/>
      <sz val="12"/>
      <name val="Oslo Sans Office"/>
    </font>
    <font>
      <b/>
      <sz val="14"/>
      <name val="Oslo Sans Office"/>
    </font>
    <font>
      <b/>
      <sz val="6"/>
      <name val="Oslo Sans Office"/>
    </font>
    <font>
      <b/>
      <sz val="6"/>
      <color theme="1"/>
      <name val="Oslo Sans Office"/>
    </font>
    <font>
      <sz val="6"/>
      <color theme="1"/>
      <name val="Oslo Sans Office"/>
    </font>
    <font>
      <b/>
      <sz val="10"/>
      <name val="Oslo Sans Office"/>
    </font>
    <font>
      <b/>
      <sz val="9"/>
      <name val="Oslo Sans Office"/>
    </font>
    <font>
      <b/>
      <sz val="8"/>
      <color indexed="10"/>
      <name val="Oslo Sans Office"/>
    </font>
    <font>
      <b/>
      <i/>
      <sz val="16"/>
      <color theme="0"/>
      <name val="Oslo Sans Office"/>
    </font>
    <font>
      <b/>
      <i/>
      <sz val="16"/>
      <color theme="1"/>
      <name val="Oslo Sans Office"/>
    </font>
    <font>
      <b/>
      <sz val="18"/>
      <color theme="1"/>
      <name val="Oslo Sans Office"/>
    </font>
    <font>
      <sz val="14"/>
      <color theme="1"/>
      <name val="Oslo Sans Office"/>
    </font>
    <font>
      <sz val="12"/>
      <color rgb="FF333333"/>
      <name val="Oslo Sans Office"/>
    </font>
    <font>
      <sz val="10"/>
      <color rgb="FF333333"/>
      <name val="Oslo Sans Office"/>
    </font>
  </fonts>
  <fills count="20">
    <fill>
      <patternFill patternType="none"/>
    </fill>
    <fill>
      <patternFill patternType="gray125"/>
    </fill>
    <fill>
      <patternFill patternType="solid">
        <fgColor theme="0" tint="-0.249977111117893"/>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4B4B"/>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theme="3" tint="0.59999389629810485"/>
        <bgColor indexed="64"/>
      </patternFill>
    </fill>
    <fill>
      <patternFill patternType="solid">
        <fgColor theme="8"/>
        <bgColor indexed="64"/>
      </patternFill>
    </fill>
    <fill>
      <patternFill patternType="solid">
        <fgColor rgb="FF67E76D"/>
        <bgColor indexed="64"/>
      </patternFill>
    </fill>
    <fill>
      <patternFill patternType="solid">
        <fgColor rgb="FF2A2859"/>
        <bgColor indexed="64"/>
      </patternFill>
    </fill>
    <fill>
      <patternFill patternType="solid">
        <fgColor rgb="FFEDFAFF"/>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s>
  <cellStyleXfs count="3">
    <xf numFmtId="0" fontId="0" fillId="0" borderId="0"/>
    <xf numFmtId="9" fontId="16" fillId="0" borderId="0" applyFont="0" applyFill="0" applyBorder="0" applyAlignment="0" applyProtection="0"/>
    <xf numFmtId="0" fontId="17" fillId="0" borderId="0" applyNumberFormat="0" applyFill="0" applyBorder="0" applyAlignment="0" applyProtection="0"/>
  </cellStyleXfs>
  <cellXfs count="480">
    <xf numFmtId="0" fontId="0" fillId="0" borderId="0" xfId="0"/>
    <xf numFmtId="0" fontId="0" fillId="6" borderId="0" xfId="0" applyFill="1"/>
    <xf numFmtId="0" fontId="0" fillId="6" borderId="0" xfId="0" applyFill="1" applyAlignment="1">
      <alignment horizontal="center" vertical="center"/>
    </xf>
    <xf numFmtId="0" fontId="3" fillId="6" borderId="0" xfId="0" applyFont="1" applyFill="1"/>
    <xf numFmtId="0" fontId="6" fillId="6" borderId="1" xfId="0" applyFont="1" applyFill="1" applyBorder="1" applyAlignment="1">
      <alignment horizontal="center" vertical="center"/>
    </xf>
    <xf numFmtId="0" fontId="0" fillId="0" borderId="0" xfId="0" quotePrefix="1"/>
    <xf numFmtId="0" fontId="0" fillId="0" borderId="9" xfId="0" applyBorder="1"/>
    <xf numFmtId="0" fontId="0" fillId="0" borderId="9" xfId="0" quotePrefix="1" applyBorder="1"/>
    <xf numFmtId="0" fontId="0" fillId="0" borderId="0" xfId="0" applyAlignment="1">
      <alignment horizontal="right"/>
    </xf>
    <xf numFmtId="0" fontId="0" fillId="0" borderId="0" xfId="0" applyAlignment="1">
      <alignment horizontal="left"/>
    </xf>
    <xf numFmtId="0" fontId="5" fillId="2" borderId="8" xfId="0" applyFont="1" applyFill="1" applyBorder="1" applyAlignment="1">
      <alignment horizontal="center" vertical="center" textRotation="90" wrapText="1"/>
    </xf>
    <xf numFmtId="0" fontId="0" fillId="2" borderId="1" xfId="0" applyFill="1" applyBorder="1" applyAlignment="1">
      <alignment horizontal="center"/>
    </xf>
    <xf numFmtId="0" fontId="1" fillId="2" borderId="3" xfId="0" applyFont="1" applyFill="1" applyBorder="1" applyAlignment="1">
      <alignment horizontal="center"/>
    </xf>
    <xf numFmtId="0" fontId="0" fillId="6" borderId="0" xfId="0" applyFill="1" applyAlignment="1">
      <alignment horizontal="center"/>
    </xf>
    <xf numFmtId="0" fontId="1" fillId="0" borderId="0" xfId="0" applyFont="1" applyAlignment="1">
      <alignment horizontal="center"/>
    </xf>
    <xf numFmtId="0" fontId="5" fillId="0" borderId="0" xfId="0" applyFont="1" applyAlignment="1">
      <alignment horizontal="center" vertical="center" textRotation="90" wrapText="1"/>
    </xf>
    <xf numFmtId="0" fontId="6" fillId="0" borderId="0" xfId="0" applyFont="1" applyAlignment="1">
      <alignment horizontal="center" vertical="center"/>
    </xf>
    <xf numFmtId="0" fontId="0" fillId="0" borderId="0" xfId="0" applyAlignment="1">
      <alignment horizontal="center"/>
    </xf>
    <xf numFmtId="0" fontId="5" fillId="0" borderId="0" xfId="0" applyFont="1" applyAlignment="1">
      <alignment horizontal="center" vertical="center" wrapText="1"/>
    </xf>
    <xf numFmtId="0" fontId="0" fillId="0" borderId="1" xfId="0" applyBorder="1" applyAlignment="1">
      <alignment horizontal="center" vertical="center" wrapText="1"/>
    </xf>
    <xf numFmtId="0" fontId="0" fillId="0" borderId="0" xfId="0" applyAlignment="1">
      <alignment vertical="top" wrapText="1"/>
    </xf>
    <xf numFmtId="0" fontId="0" fillId="0" borderId="1" xfId="0" applyBorder="1" applyAlignment="1">
      <alignment vertical="center" wrapText="1"/>
    </xf>
    <xf numFmtId="0" fontId="0" fillId="0" borderId="1" xfId="0" applyBorder="1" applyAlignment="1" applyProtection="1">
      <alignment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vertical="center"/>
      <protection locked="0"/>
    </xf>
    <xf numFmtId="0" fontId="0" fillId="6" borderId="0" xfId="0" applyFill="1" applyAlignment="1">
      <alignment horizontal="left"/>
    </xf>
    <xf numFmtId="0" fontId="0" fillId="6" borderId="0" xfId="0" applyFill="1" applyAlignment="1">
      <alignment wrapText="1"/>
    </xf>
    <xf numFmtId="0" fontId="0" fillId="0" borderId="1" xfId="0" applyBorder="1" applyAlignment="1">
      <alignment horizontal="center" vertical="center"/>
    </xf>
    <xf numFmtId="0" fontId="5" fillId="2" borderId="1" xfId="0" applyFont="1" applyFill="1" applyBorder="1" applyAlignment="1">
      <alignment horizontal="center"/>
    </xf>
    <xf numFmtId="0" fontId="0" fillId="0" borderId="11" xfId="0" applyBorder="1" applyAlignment="1">
      <alignment horizontal="center" vertical="center" wrapText="1"/>
    </xf>
    <xf numFmtId="1" fontId="6" fillId="2" borderId="1" xfId="0" quotePrefix="1" applyNumberFormat="1" applyFont="1" applyFill="1" applyBorder="1" applyAlignment="1">
      <alignment vertical="center"/>
    </xf>
    <xf numFmtId="1" fontId="6" fillId="0" borderId="1" xfId="0" applyNumberFormat="1" applyFont="1" applyBorder="1" applyAlignment="1">
      <alignment vertical="center"/>
    </xf>
    <xf numFmtId="0" fontId="4" fillId="9" borderId="1" xfId="0" applyFont="1" applyFill="1" applyBorder="1" applyAlignment="1">
      <alignment horizontal="center" vertical="center"/>
    </xf>
    <xf numFmtId="0" fontId="7" fillId="9" borderId="1" xfId="0" applyFont="1" applyFill="1" applyBorder="1" applyAlignment="1" applyProtection="1">
      <alignment vertical="center" wrapText="1"/>
      <protection locked="0"/>
    </xf>
    <xf numFmtId="0" fontId="7" fillId="9" borderId="1" xfId="0" applyFont="1" applyFill="1" applyBorder="1" applyAlignment="1" applyProtection="1">
      <alignment vertical="center"/>
      <protection locked="0"/>
    </xf>
    <xf numFmtId="0" fontId="7" fillId="9" borderId="1" xfId="0" applyFont="1" applyFill="1" applyBorder="1" applyAlignment="1">
      <alignment horizontal="center" vertical="center" wrapText="1"/>
    </xf>
    <xf numFmtId="0" fontId="7" fillId="9" borderId="1" xfId="0" applyFont="1" applyFill="1" applyBorder="1" applyAlignment="1">
      <alignment horizontal="left" vertical="center" wrapText="1" indent="1"/>
    </xf>
    <xf numFmtId="0" fontId="4" fillId="9" borderId="1" xfId="0" applyFont="1" applyFill="1" applyBorder="1" applyAlignment="1">
      <alignment horizontal="center" vertical="center" wrapText="1"/>
    </xf>
    <xf numFmtId="0" fontId="4" fillId="0" borderId="1" xfId="0" applyFont="1" applyBorder="1" applyAlignment="1">
      <alignment horizontal="center" vertical="center"/>
    </xf>
    <xf numFmtId="0" fontId="0" fillId="0" borderId="1" xfId="0" applyBorder="1" applyAlignment="1" applyProtection="1">
      <alignment horizontal="center"/>
      <protection locked="0"/>
    </xf>
    <xf numFmtId="0" fontId="0" fillId="0" borderId="0" xfId="0" applyAlignment="1">
      <alignment horizontal="center" vertical="center"/>
    </xf>
    <xf numFmtId="0" fontId="7" fillId="9" borderId="36" xfId="0" applyFont="1" applyFill="1" applyBorder="1" applyAlignment="1">
      <alignment vertical="center" wrapText="1"/>
    </xf>
    <xf numFmtId="0" fontId="0" fillId="0" borderId="1" xfId="0" applyBorder="1" applyAlignment="1">
      <alignment vertical="center"/>
    </xf>
    <xf numFmtId="0" fontId="8" fillId="9" borderId="1" xfId="0" applyFont="1" applyFill="1" applyBorder="1"/>
    <xf numFmtId="14" fontId="0" fillId="0" borderId="1" xfId="0" applyNumberFormat="1" applyBorder="1" applyAlignment="1">
      <alignment vertical="center"/>
    </xf>
    <xf numFmtId="0" fontId="2" fillId="0" borderId="0" xfId="0" applyFont="1"/>
    <xf numFmtId="0" fontId="2" fillId="0" borderId="1" xfId="0" applyFont="1" applyBorder="1" applyAlignment="1">
      <alignment vertical="center"/>
    </xf>
    <xf numFmtId="14" fontId="2" fillId="0" borderId="1" xfId="0" applyNumberFormat="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xf>
    <xf numFmtId="0" fontId="7" fillId="9" borderId="2" xfId="0" applyFont="1" applyFill="1" applyBorder="1" applyAlignment="1">
      <alignment horizontal="center" vertical="center" wrapText="1"/>
    </xf>
    <xf numFmtId="0" fontId="0" fillId="6" borderId="0" xfId="0" applyFill="1" applyAlignment="1">
      <alignment vertical="top"/>
    </xf>
    <xf numFmtId="0" fontId="0" fillId="15" borderId="1" xfId="0" applyFill="1" applyBorder="1" applyAlignment="1">
      <alignment horizontal="center" vertical="center" wrapText="1"/>
    </xf>
    <xf numFmtId="0" fontId="0" fillId="6" borderId="0" xfId="0" applyFill="1" applyBorder="1" applyAlignment="1">
      <alignment horizontal="center" vertical="center" wrapText="1"/>
    </xf>
    <xf numFmtId="0" fontId="0" fillId="6" borderId="0" xfId="0" applyFill="1" applyBorder="1"/>
    <xf numFmtId="0" fontId="0" fillId="8" borderId="1" xfId="0" applyFill="1" applyBorder="1" applyAlignment="1">
      <alignment horizontal="center" vertical="center"/>
    </xf>
    <xf numFmtId="0" fontId="13" fillId="0" borderId="0" xfId="0" applyFont="1"/>
    <xf numFmtId="0" fontId="14" fillId="0" borderId="0" xfId="0" applyFont="1"/>
    <xf numFmtId="0" fontId="5" fillId="2" borderId="0" xfId="0" applyFont="1" applyFill="1" applyAlignment="1">
      <alignment horizontal="center" textRotation="90" wrapText="1"/>
    </xf>
    <xf numFmtId="0" fontId="0" fillId="6" borderId="1" xfId="0" applyFill="1" applyBorder="1" applyAlignment="1">
      <alignment horizontal="left" vertical="center" wrapText="1"/>
    </xf>
    <xf numFmtId="0" fontId="0" fillId="15" borderId="0" xfId="0" applyFill="1"/>
    <xf numFmtId="0" fontId="9" fillId="8" borderId="1" xfId="0" applyFont="1" applyFill="1" applyBorder="1" applyAlignment="1">
      <alignment horizontal="center" vertical="center"/>
    </xf>
    <xf numFmtId="164" fontId="0" fillId="0" borderId="0" xfId="0" applyNumberFormat="1"/>
    <xf numFmtId="164" fontId="12" fillId="0" borderId="0" xfId="1" applyNumberFormat="1" applyFont="1"/>
    <xf numFmtId="14" fontId="0" fillId="0" borderId="0" xfId="0" applyNumberFormat="1"/>
    <xf numFmtId="0" fontId="18" fillId="6" borderId="0" xfId="0" applyFont="1" applyFill="1" applyProtection="1">
      <protection locked="0"/>
    </xf>
    <xf numFmtId="0" fontId="18" fillId="6" borderId="0" xfId="0" applyFont="1" applyFill="1" applyAlignment="1" applyProtection="1">
      <alignment wrapText="1"/>
      <protection locked="0"/>
    </xf>
    <xf numFmtId="0" fontId="18" fillId="6" borderId="38" xfId="0" applyFont="1" applyFill="1" applyBorder="1"/>
    <xf numFmtId="0" fontId="18" fillId="6" borderId="0" xfId="0" applyFont="1" applyFill="1"/>
    <xf numFmtId="0" fontId="18" fillId="6" borderId="0" xfId="0" applyFont="1" applyFill="1" applyBorder="1"/>
    <xf numFmtId="0" fontId="19" fillId="6" borderId="0" xfId="0" applyFont="1" applyFill="1" applyAlignment="1">
      <alignment vertical="center"/>
    </xf>
    <xf numFmtId="0" fontId="20" fillId="6" borderId="0" xfId="0" applyFont="1" applyFill="1"/>
    <xf numFmtId="0" fontId="18" fillId="0" borderId="0" xfId="0" applyFont="1"/>
    <xf numFmtId="0" fontId="18" fillId="6" borderId="9" xfId="0" applyFont="1" applyFill="1" applyBorder="1"/>
    <xf numFmtId="0" fontId="18" fillId="6" borderId="48" xfId="0" applyFont="1" applyFill="1" applyBorder="1"/>
    <xf numFmtId="0" fontId="21" fillId="0" borderId="0" xfId="0" applyFont="1"/>
    <xf numFmtId="0" fontId="22" fillId="0" borderId="0" xfId="2" applyFont="1"/>
    <xf numFmtId="0" fontId="18" fillId="6" borderId="0" xfId="0" applyFont="1" applyFill="1" applyAlignment="1">
      <alignment wrapText="1"/>
    </xf>
    <xf numFmtId="0" fontId="18" fillId="6" borderId="0" xfId="0" applyFont="1" applyFill="1" applyAlignment="1">
      <alignment horizontal="left" vertical="center" indent="39"/>
    </xf>
    <xf numFmtId="0" fontId="20" fillId="6" borderId="0" xfId="0" applyFont="1" applyFill="1" applyAlignment="1">
      <alignment vertical="top"/>
    </xf>
    <xf numFmtId="0" fontId="18" fillId="6" borderId="0" xfId="0" applyFont="1" applyFill="1" applyAlignment="1">
      <alignment vertical="center"/>
    </xf>
    <xf numFmtId="0" fontId="18" fillId="6" borderId="0" xfId="0" applyFont="1" applyFill="1" applyAlignment="1">
      <alignment vertical="top" wrapText="1"/>
    </xf>
    <xf numFmtId="0" fontId="20" fillId="6" borderId="0" xfId="0" applyFont="1" applyFill="1" applyAlignment="1">
      <alignment vertical="top" wrapText="1"/>
    </xf>
    <xf numFmtId="0" fontId="18" fillId="6" borderId="0" xfId="0" applyFont="1" applyFill="1" applyAlignment="1">
      <alignment vertical="top"/>
    </xf>
    <xf numFmtId="0" fontId="23" fillId="6" borderId="0" xfId="0" applyFont="1" applyFill="1"/>
    <xf numFmtId="0" fontId="24" fillId="0" borderId="0" xfId="0" applyFont="1" applyProtection="1">
      <protection locked="0"/>
    </xf>
    <xf numFmtId="0" fontId="25" fillId="0" borderId="0" xfId="0" applyFont="1"/>
    <xf numFmtId="0" fontId="25" fillId="0" borderId="0" xfId="0" applyFont="1" applyAlignment="1">
      <alignment wrapText="1"/>
    </xf>
    <xf numFmtId="0" fontId="20" fillId="0" borderId="0" xfId="0" applyFont="1"/>
    <xf numFmtId="0" fontId="18" fillId="0" borderId="0" xfId="0" applyFont="1" applyAlignment="1">
      <alignment wrapText="1"/>
    </xf>
    <xf numFmtId="0" fontId="20" fillId="11" borderId="2" xfId="0" applyFont="1" applyFill="1" applyBorder="1"/>
    <xf numFmtId="0" fontId="20" fillId="11" borderId="36" xfId="0" applyFont="1" applyFill="1" applyBorder="1"/>
    <xf numFmtId="0" fontId="20" fillId="11" borderId="1" xfId="0" applyFont="1" applyFill="1" applyBorder="1"/>
    <xf numFmtId="0" fontId="20" fillId="11" borderId="1" xfId="0" applyFont="1" applyFill="1" applyBorder="1" applyAlignment="1">
      <alignment horizontal="center" wrapText="1"/>
    </xf>
    <xf numFmtId="0" fontId="18" fillId="11" borderId="1" xfId="0" applyFont="1" applyFill="1" applyBorder="1"/>
    <xf numFmtId="0" fontId="20" fillId="4" borderId="17" xfId="0" applyFont="1" applyFill="1" applyBorder="1"/>
    <xf numFmtId="0" fontId="20" fillId="7" borderId="17" xfId="0" applyFont="1" applyFill="1" applyBorder="1"/>
    <xf numFmtId="0" fontId="20" fillId="5" borderId="17" xfId="0" applyFont="1" applyFill="1" applyBorder="1"/>
    <xf numFmtId="0" fontId="20" fillId="11" borderId="17" xfId="0" applyFont="1" applyFill="1" applyBorder="1" applyAlignment="1">
      <alignment wrapText="1"/>
    </xf>
    <xf numFmtId="0" fontId="20" fillId="11" borderId="17" xfId="0" applyFont="1" applyFill="1" applyBorder="1"/>
    <xf numFmtId="0" fontId="20" fillId="0" borderId="1" xfId="0" applyFont="1" applyBorder="1" applyProtection="1">
      <protection locked="0"/>
    </xf>
    <xf numFmtId="0" fontId="18" fillId="14" borderId="1" xfId="0" applyFont="1" applyFill="1" applyBorder="1"/>
    <xf numFmtId="0" fontId="18" fillId="14" borderId="3" xfId="0" applyFont="1" applyFill="1" applyBorder="1"/>
    <xf numFmtId="0" fontId="18" fillId="14" borderId="3" xfId="0" applyFont="1" applyFill="1" applyBorder="1" applyAlignment="1">
      <alignment wrapText="1"/>
    </xf>
    <xf numFmtId="0" fontId="18" fillId="4" borderId="1" xfId="0" applyFont="1" applyFill="1" applyBorder="1" applyProtection="1">
      <protection locked="0"/>
    </xf>
    <xf numFmtId="0" fontId="18" fillId="7" borderId="1" xfId="0" applyFont="1" applyFill="1" applyBorder="1" applyProtection="1">
      <protection locked="0"/>
    </xf>
    <xf numFmtId="0" fontId="26" fillId="5" borderId="1" xfId="0" applyFont="1" applyFill="1" applyBorder="1" applyProtection="1">
      <protection locked="0"/>
    </xf>
    <xf numFmtId="0" fontId="18" fillId="14" borderId="1" xfId="0" applyFont="1" applyFill="1" applyBorder="1" applyAlignment="1">
      <alignment wrapText="1"/>
    </xf>
    <xf numFmtId="0" fontId="18" fillId="0" borderId="1" xfId="0" applyFont="1" applyBorder="1" applyAlignment="1" applyProtection="1">
      <alignment wrapText="1"/>
      <protection locked="0"/>
    </xf>
    <xf numFmtId="0" fontId="18" fillId="5" borderId="1" xfId="0" applyFont="1" applyFill="1" applyBorder="1" applyProtection="1">
      <protection locked="0"/>
    </xf>
    <xf numFmtId="0" fontId="18" fillId="0" borderId="1" xfId="0" applyFont="1" applyBorder="1" applyProtection="1">
      <protection locked="0"/>
    </xf>
    <xf numFmtId="0" fontId="27" fillId="15" borderId="0" xfId="0" applyFont="1" applyFill="1" applyAlignment="1">
      <alignment vertical="center"/>
    </xf>
    <xf numFmtId="0" fontId="23" fillId="15" borderId="1" xfId="0" applyFont="1" applyFill="1" applyBorder="1" applyAlignment="1">
      <alignment vertical="top" wrapText="1"/>
    </xf>
    <xf numFmtId="0" fontId="23" fillId="16" borderId="1" xfId="0" applyFont="1" applyFill="1" applyBorder="1" applyAlignment="1">
      <alignment vertical="top"/>
    </xf>
    <xf numFmtId="0" fontId="23" fillId="15" borderId="1" xfId="0" applyFont="1" applyFill="1" applyBorder="1" applyAlignment="1">
      <alignment horizontal="left" vertical="top" wrapText="1"/>
    </xf>
    <xf numFmtId="0" fontId="28" fillId="16" borderId="8" xfId="0" applyFont="1" applyFill="1" applyBorder="1" applyAlignment="1">
      <alignment horizontal="center" vertical="center" wrapText="1"/>
    </xf>
    <xf numFmtId="0" fontId="27" fillId="15" borderId="47" xfId="0" applyFont="1" applyFill="1" applyBorder="1" applyAlignment="1">
      <alignment vertical="center" wrapText="1"/>
    </xf>
    <xf numFmtId="0" fontId="26" fillId="16" borderId="0" xfId="0" applyFont="1" applyFill="1"/>
    <xf numFmtId="0" fontId="28" fillId="16" borderId="3" xfId="0" applyFont="1" applyFill="1" applyBorder="1" applyAlignment="1">
      <alignment horizontal="center" vertical="center" wrapText="1"/>
    </xf>
    <xf numFmtId="0" fontId="18" fillId="15" borderId="0" xfId="0" applyFont="1" applyFill="1"/>
    <xf numFmtId="0" fontId="18" fillId="6" borderId="1" xfId="0" applyFont="1" applyFill="1" applyBorder="1" applyAlignment="1" applyProtection="1">
      <alignment horizontal="left" vertical="center" wrapText="1"/>
      <protection locked="0"/>
    </xf>
    <xf numFmtId="0" fontId="18" fillId="6" borderId="1" xfId="0" applyFont="1" applyFill="1" applyBorder="1" applyAlignment="1" applyProtection="1">
      <alignment horizontal="center" vertical="center"/>
      <protection locked="0"/>
    </xf>
    <xf numFmtId="0" fontId="18" fillId="6" borderId="1" xfId="0" applyFont="1" applyFill="1" applyBorder="1" applyAlignment="1">
      <alignment horizontal="center" vertical="center"/>
    </xf>
    <xf numFmtId="0" fontId="18" fillId="6" borderId="1" xfId="0" applyFont="1" applyFill="1" applyBorder="1" applyAlignment="1" applyProtection="1">
      <alignment horizontal="left" vertical="center"/>
      <protection locked="0"/>
    </xf>
    <xf numFmtId="0" fontId="18" fillId="6" borderId="1" xfId="0" applyFont="1" applyFill="1" applyBorder="1" applyAlignment="1" applyProtection="1">
      <alignment horizontal="left" vertical="top" wrapText="1"/>
      <protection locked="0"/>
    </xf>
    <xf numFmtId="0" fontId="18" fillId="6" borderId="1" xfId="0" applyFont="1" applyFill="1" applyBorder="1" applyAlignment="1" applyProtection="1">
      <alignment horizontal="left" vertical="top"/>
      <protection locked="0"/>
    </xf>
    <xf numFmtId="0" fontId="18" fillId="6" borderId="1" xfId="0" applyFont="1" applyFill="1" applyBorder="1" applyProtection="1">
      <protection locked="0"/>
    </xf>
    <xf numFmtId="0" fontId="18" fillId="6" borderId="0" xfId="0" applyFont="1" applyFill="1" applyAlignment="1">
      <alignment horizontal="center" vertical="center"/>
    </xf>
    <xf numFmtId="0" fontId="18" fillId="6" borderId="0" xfId="0" applyFont="1" applyFill="1" applyAlignment="1">
      <alignment horizontal="left"/>
    </xf>
    <xf numFmtId="0" fontId="18" fillId="6" borderId="0" xfId="0" applyFont="1" applyFill="1" applyAlignment="1">
      <alignment horizontal="center"/>
    </xf>
    <xf numFmtId="0" fontId="31" fillId="6" borderId="0" xfId="0" applyFont="1" applyFill="1"/>
    <xf numFmtId="0" fontId="18" fillId="3" borderId="4" xfId="0" applyFont="1" applyFill="1" applyBorder="1" applyProtection="1">
      <protection locked="0"/>
    </xf>
    <xf numFmtId="0" fontId="32" fillId="6" borderId="0" xfId="0" applyFont="1" applyFill="1" applyAlignment="1">
      <alignment horizontal="left"/>
    </xf>
    <xf numFmtId="0" fontId="18" fillId="13" borderId="5" xfId="0" applyFont="1" applyFill="1" applyBorder="1"/>
    <xf numFmtId="0" fontId="18" fillId="4" borderId="5" xfId="0" applyFont="1" applyFill="1" applyBorder="1" applyProtection="1">
      <protection locked="0"/>
    </xf>
    <xf numFmtId="0" fontId="18" fillId="7" borderId="5" xfId="0" applyFont="1" applyFill="1" applyBorder="1" applyProtection="1">
      <protection locked="0"/>
    </xf>
    <xf numFmtId="0" fontId="18" fillId="5" borderId="6" xfId="0" applyFont="1" applyFill="1" applyBorder="1" applyProtection="1">
      <protection locked="0"/>
    </xf>
    <xf numFmtId="0" fontId="18" fillId="0" borderId="0" xfId="0" applyFont="1" applyProtection="1">
      <protection locked="0"/>
    </xf>
    <xf numFmtId="0" fontId="32" fillId="0" borderId="0" xfId="0" applyFont="1" applyAlignment="1">
      <alignment horizontal="left"/>
    </xf>
    <xf numFmtId="0" fontId="33" fillId="0" borderId="0" xfId="0" applyFont="1" applyAlignment="1">
      <alignment vertical="center"/>
    </xf>
    <xf numFmtId="0" fontId="34" fillId="0" borderId="0" xfId="0" applyFont="1" applyAlignment="1">
      <alignment vertical="center"/>
    </xf>
    <xf numFmtId="0" fontId="35" fillId="8" borderId="19" xfId="0" applyFont="1" applyFill="1" applyBorder="1"/>
    <xf numFmtId="0" fontId="36" fillId="8" borderId="1" xfId="0" applyFont="1" applyFill="1" applyBorder="1" applyAlignment="1">
      <alignment vertical="center" wrapText="1"/>
    </xf>
    <xf numFmtId="0" fontId="36" fillId="8" borderId="16" xfId="0" applyFont="1" applyFill="1" applyBorder="1" applyAlignment="1">
      <alignment horizontal="center" vertical="center" wrapText="1"/>
    </xf>
    <xf numFmtId="0" fontId="37" fillId="0" borderId="0" xfId="0" applyFont="1"/>
    <xf numFmtId="0" fontId="34" fillId="0" borderId="0" xfId="0" applyFont="1"/>
    <xf numFmtId="0" fontId="36" fillId="8" borderId="19" xfId="0" applyFont="1" applyFill="1" applyBorder="1" applyAlignment="1">
      <alignment horizontal="left" vertical="center" wrapText="1"/>
    </xf>
    <xf numFmtId="0" fontId="34" fillId="12" borderId="1" xfId="0" applyFont="1" applyFill="1" applyBorder="1" applyAlignment="1">
      <alignment horizontal="left" vertical="center" wrapText="1"/>
    </xf>
    <xf numFmtId="0" fontId="34" fillId="12" borderId="16" xfId="0" applyFont="1" applyFill="1" applyBorder="1" applyAlignment="1">
      <alignment horizontal="left" vertical="center" wrapText="1"/>
    </xf>
    <xf numFmtId="0" fontId="38" fillId="0" borderId="0" xfId="0" applyFont="1" applyAlignment="1">
      <alignment horizontal="left" vertical="center" wrapText="1"/>
    </xf>
    <xf numFmtId="0" fontId="34" fillId="0" borderId="0" xfId="0" applyFont="1" applyAlignment="1" applyProtection="1">
      <alignment horizontal="left" vertical="center" wrapText="1"/>
      <protection locked="0"/>
    </xf>
    <xf numFmtId="0" fontId="34" fillId="7" borderId="1" xfId="0" applyFont="1" applyFill="1" applyBorder="1" applyAlignment="1">
      <alignment horizontal="left" vertical="center" wrapText="1"/>
    </xf>
    <xf numFmtId="0" fontId="34" fillId="7" borderId="16" xfId="0" applyFont="1" applyFill="1" applyBorder="1" applyAlignment="1">
      <alignment horizontal="left" vertical="center" wrapText="1"/>
    </xf>
    <xf numFmtId="0" fontId="34" fillId="4" borderId="1" xfId="0" applyFont="1" applyFill="1" applyBorder="1" applyAlignment="1">
      <alignment horizontal="left" vertical="center" wrapText="1"/>
    </xf>
    <xf numFmtId="0" fontId="34" fillId="4" borderId="16" xfId="0" applyFont="1" applyFill="1" applyBorder="1" applyAlignment="1">
      <alignment horizontal="left" vertical="center" wrapText="1"/>
    </xf>
    <xf numFmtId="0" fontId="36" fillId="8" borderId="29" xfId="0" applyFont="1" applyFill="1" applyBorder="1" applyAlignment="1">
      <alignment horizontal="left" vertical="center" wrapText="1"/>
    </xf>
    <xf numFmtId="0" fontId="34" fillId="3" borderId="17" xfId="0" applyFont="1" applyFill="1" applyBorder="1" applyAlignment="1">
      <alignment horizontal="left" vertical="center" wrapText="1"/>
    </xf>
    <xf numFmtId="0" fontId="34" fillId="3" borderId="18" xfId="0" applyFont="1" applyFill="1" applyBorder="1" applyAlignment="1">
      <alignment horizontal="left" vertical="center" wrapText="1"/>
    </xf>
    <xf numFmtId="0" fontId="37" fillId="8" borderId="19" xfId="0" applyFont="1" applyFill="1" applyBorder="1"/>
    <xf numFmtId="0" fontId="37" fillId="8" borderId="1" xfId="0" applyFont="1" applyFill="1" applyBorder="1" applyAlignment="1">
      <alignment vertical="center" wrapText="1"/>
    </xf>
    <xf numFmtId="0" fontId="37" fillId="8" borderId="16" xfId="0" applyFont="1" applyFill="1" applyBorder="1" applyAlignment="1">
      <alignment vertical="center" wrapText="1"/>
    </xf>
    <xf numFmtId="0" fontId="37" fillId="8" borderId="19" xfId="0" applyFont="1" applyFill="1" applyBorder="1" applyAlignment="1">
      <alignment horizontal="left" vertical="center" wrapText="1"/>
    </xf>
    <xf numFmtId="0" fontId="37" fillId="8" borderId="29" xfId="0" applyFont="1" applyFill="1" applyBorder="1" applyAlignment="1">
      <alignment horizontal="left" vertical="center" wrapText="1"/>
    </xf>
    <xf numFmtId="0" fontId="39" fillId="6" borderId="0" xfId="0" applyFont="1" applyFill="1" applyAlignment="1">
      <alignment vertical="center"/>
    </xf>
    <xf numFmtId="0" fontId="18" fillId="6" borderId="0" xfId="0" applyFont="1" applyFill="1" applyAlignment="1">
      <alignment horizontal="center" vertical="center" textRotation="90"/>
    </xf>
    <xf numFmtId="0" fontId="18" fillId="6" borderId="21" xfId="0" applyFont="1" applyFill="1" applyBorder="1" applyAlignment="1">
      <alignment horizontal="center" vertical="center"/>
    </xf>
    <xf numFmtId="0" fontId="18" fillId="6" borderId="22" xfId="0" applyFont="1" applyFill="1" applyBorder="1" applyAlignment="1">
      <alignment horizontal="center" vertical="center"/>
    </xf>
    <xf numFmtId="0" fontId="18" fillId="6" borderId="28" xfId="0" applyFont="1" applyFill="1" applyBorder="1" applyAlignment="1">
      <alignment horizontal="center" vertical="center"/>
    </xf>
    <xf numFmtId="0" fontId="18" fillId="6" borderId="23" xfId="0" applyFont="1" applyFill="1" applyBorder="1" applyAlignment="1">
      <alignment horizontal="center" vertical="center"/>
    </xf>
    <xf numFmtId="0" fontId="18" fillId="6" borderId="3" xfId="0" applyFont="1" applyFill="1" applyBorder="1" applyAlignment="1">
      <alignment horizontal="center" vertical="center"/>
    </xf>
    <xf numFmtId="0" fontId="18" fillId="6" borderId="26" xfId="0" applyFont="1" applyFill="1" applyBorder="1" applyAlignment="1">
      <alignment horizontal="center" vertical="center"/>
    </xf>
    <xf numFmtId="0" fontId="18" fillId="6" borderId="25" xfId="0" applyFont="1" applyFill="1" applyBorder="1" applyAlignment="1">
      <alignment horizontal="center" vertical="center"/>
    </xf>
    <xf numFmtId="0" fontId="18" fillId="6" borderId="2" xfId="0" applyFont="1" applyFill="1" applyBorder="1" applyAlignment="1">
      <alignment horizontal="center" vertical="center"/>
    </xf>
    <xf numFmtId="0" fontId="18" fillId="6" borderId="16"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27" xfId="0" applyFont="1" applyFill="1" applyBorder="1" applyAlignment="1">
      <alignment horizontal="center" vertical="center"/>
    </xf>
    <xf numFmtId="0" fontId="18" fillId="6" borderId="18" xfId="0" applyFont="1" applyFill="1" applyBorder="1" applyAlignment="1">
      <alignment horizontal="center" vertical="center"/>
    </xf>
    <xf numFmtId="0" fontId="26" fillId="6" borderId="0" xfId="0" applyFont="1" applyFill="1"/>
    <xf numFmtId="0" fontId="39" fillId="6" borderId="0" xfId="0" applyFont="1" applyFill="1"/>
    <xf numFmtId="0" fontId="23" fillId="15" borderId="1" xfId="0" applyFont="1" applyFill="1" applyBorder="1" applyAlignment="1">
      <alignment horizontal="center" vertical="center" wrapText="1"/>
    </xf>
    <xf numFmtId="0" fontId="23" fillId="16" borderId="1" xfId="0" applyFont="1" applyFill="1" applyBorder="1" applyAlignment="1">
      <alignment horizontal="center" vertical="center" textRotation="45" wrapText="1"/>
    </xf>
    <xf numFmtId="0" fontId="23" fillId="16" borderId="11" xfId="0" applyFont="1" applyFill="1" applyBorder="1" applyAlignment="1">
      <alignment horizontal="center" vertical="center" textRotation="45" wrapText="1"/>
    </xf>
    <xf numFmtId="0" fontId="23" fillId="6" borderId="7" xfId="0" applyFont="1" applyFill="1" applyBorder="1" applyAlignment="1">
      <alignment horizontal="center" vertical="center" textRotation="45" wrapText="1"/>
    </xf>
    <xf numFmtId="0" fontId="20" fillId="6" borderId="0" xfId="0" applyFont="1" applyFill="1" applyAlignment="1">
      <alignment horizontal="center" vertical="center" wrapText="1"/>
    </xf>
    <xf numFmtId="0" fontId="20" fillId="0" borderId="0" xfId="0" applyFont="1" applyAlignment="1">
      <alignment horizontal="center" vertical="center" wrapText="1"/>
    </xf>
    <xf numFmtId="0" fontId="32" fillId="15" borderId="1" xfId="0" applyFont="1" applyFill="1" applyBorder="1" applyAlignment="1">
      <alignment horizontal="center" vertical="center" wrapText="1"/>
    </xf>
    <xf numFmtId="0" fontId="18" fillId="0" borderId="1" xfId="0" applyFont="1" applyBorder="1" applyAlignment="1" applyProtection="1">
      <alignment vertical="center" wrapText="1"/>
      <protection locked="0"/>
    </xf>
    <xf numFmtId="0" fontId="18" fillId="0" borderId="1" xfId="0" applyFont="1" applyBorder="1" applyAlignment="1" applyProtection="1">
      <alignment horizontal="center" vertical="center" wrapText="1"/>
      <protection locked="0"/>
    </xf>
    <xf numFmtId="0" fontId="18" fillId="0" borderId="1" xfId="0" applyFont="1" applyBorder="1" applyAlignment="1">
      <alignment horizontal="center" vertical="center" wrapText="1"/>
    </xf>
    <xf numFmtId="0" fontId="18" fillId="0" borderId="11" xfId="0" applyFont="1" applyBorder="1" applyAlignment="1">
      <alignment horizontal="center" vertical="center" wrapText="1"/>
    </xf>
    <xf numFmtId="0" fontId="18" fillId="6" borderId="0" xfId="0" applyFont="1" applyFill="1" applyBorder="1" applyAlignment="1">
      <alignment horizontal="center" vertical="center" wrapText="1"/>
    </xf>
    <xf numFmtId="0" fontId="18" fillId="0" borderId="0" xfId="0" applyFont="1" applyAlignment="1">
      <alignment vertical="top" wrapText="1"/>
    </xf>
    <xf numFmtId="0" fontId="18" fillId="0" borderId="1" xfId="0" applyFont="1" applyBorder="1" applyAlignment="1">
      <alignment vertical="center" wrapText="1"/>
    </xf>
    <xf numFmtId="0" fontId="18" fillId="15" borderId="1" xfId="0" applyFont="1" applyFill="1" applyBorder="1" applyAlignment="1">
      <alignment horizontal="center" vertical="center" wrapText="1"/>
    </xf>
    <xf numFmtId="0" fontId="32" fillId="9" borderId="9" xfId="0" applyFont="1" applyFill="1" applyBorder="1" applyAlignment="1">
      <alignment horizontal="center"/>
    </xf>
    <xf numFmtId="0" fontId="41" fillId="9" borderId="9" xfId="0" applyFont="1" applyFill="1" applyBorder="1" applyAlignment="1">
      <alignment horizontal="center"/>
    </xf>
    <xf numFmtId="0" fontId="41" fillId="9" borderId="0" xfId="0" applyFont="1" applyFill="1" applyBorder="1" applyAlignment="1">
      <alignment horizontal="center"/>
    </xf>
    <xf numFmtId="0" fontId="32" fillId="9" borderId="9" xfId="0" applyFont="1" applyFill="1" applyBorder="1" applyAlignment="1">
      <alignment horizontal="center" wrapText="1"/>
    </xf>
    <xf numFmtId="0" fontId="32" fillId="9" borderId="9" xfId="0" applyFont="1" applyFill="1" applyBorder="1" applyAlignment="1">
      <alignment horizontal="center" vertical="center"/>
    </xf>
    <xf numFmtId="14" fontId="32" fillId="9" borderId="9" xfId="0" applyNumberFormat="1" applyFont="1" applyFill="1" applyBorder="1" applyAlignment="1">
      <alignment horizontal="center"/>
    </xf>
    <xf numFmtId="0" fontId="42" fillId="8" borderId="0" xfId="0" applyFont="1" applyFill="1"/>
    <xf numFmtId="0" fontId="42" fillId="6" borderId="0" xfId="0" applyFont="1" applyFill="1"/>
    <xf numFmtId="0" fontId="42" fillId="6" borderId="0" xfId="0" applyFont="1" applyFill="1" applyAlignment="1">
      <alignment horizontal="center" vertical="center"/>
    </xf>
    <xf numFmtId="0" fontId="18" fillId="10" borderId="13" xfId="0" applyFont="1" applyFill="1" applyBorder="1"/>
    <xf numFmtId="0" fontId="18" fillId="6" borderId="0" xfId="0" applyFont="1" applyFill="1" applyAlignment="1">
      <alignment horizontal="left" vertical="center"/>
    </xf>
    <xf numFmtId="0" fontId="18" fillId="10" borderId="33" xfId="0" applyFont="1" applyFill="1" applyBorder="1"/>
    <xf numFmtId="0" fontId="18" fillId="10" borderId="21" xfId="0" applyFont="1" applyFill="1" applyBorder="1"/>
    <xf numFmtId="0" fontId="18" fillId="10" borderId="19" xfId="0" applyFont="1" applyFill="1" applyBorder="1"/>
    <xf numFmtId="0" fontId="18" fillId="10" borderId="20" xfId="0" applyFont="1" applyFill="1" applyBorder="1"/>
    <xf numFmtId="0" fontId="18" fillId="10" borderId="10" xfId="0" applyFont="1" applyFill="1" applyBorder="1" applyAlignment="1">
      <alignment vertical="center"/>
    </xf>
    <xf numFmtId="0" fontId="18" fillId="10" borderId="37" xfId="0" applyFont="1" applyFill="1" applyBorder="1" applyAlignment="1">
      <alignment vertical="center"/>
    </xf>
    <xf numFmtId="0" fontId="18" fillId="10" borderId="26" xfId="0" applyFont="1" applyFill="1" applyBorder="1" applyAlignment="1">
      <alignment vertical="center"/>
    </xf>
    <xf numFmtId="0" fontId="18" fillId="10" borderId="28" xfId="0" applyFont="1" applyFill="1" applyBorder="1" applyAlignment="1">
      <alignment vertical="center"/>
    </xf>
    <xf numFmtId="0" fontId="18" fillId="10" borderId="32" xfId="0" applyFont="1" applyFill="1" applyBorder="1"/>
    <xf numFmtId="0" fontId="46" fillId="6" borderId="0" xfId="0" applyFont="1" applyFill="1" applyAlignment="1"/>
    <xf numFmtId="0" fontId="46" fillId="6" borderId="0" xfId="0" applyFont="1" applyFill="1" applyAlignment="1">
      <alignment horizontal="left"/>
    </xf>
    <xf numFmtId="49" fontId="18" fillId="6" borderId="0" xfId="0" applyNumberFormat="1" applyFont="1" applyFill="1" applyAlignment="1">
      <alignment horizontal="center" vertical="center"/>
    </xf>
    <xf numFmtId="0" fontId="47" fillId="6" borderId="0" xfId="0" applyFont="1" applyFill="1" applyAlignment="1">
      <alignment horizontal="left"/>
    </xf>
    <xf numFmtId="0" fontId="47" fillId="6" borderId="0" xfId="0" applyFont="1" applyFill="1" applyAlignment="1">
      <alignment horizontal="left" vertical="center"/>
    </xf>
    <xf numFmtId="14" fontId="18" fillId="6" borderId="0" xfId="0" applyNumberFormat="1" applyFont="1" applyFill="1" applyAlignment="1">
      <alignment horizontal="center" vertical="center"/>
    </xf>
    <xf numFmtId="0" fontId="20" fillId="17" borderId="17" xfId="0" applyFont="1" applyFill="1" applyBorder="1"/>
    <xf numFmtId="0" fontId="18" fillId="17" borderId="1" xfId="0" applyFont="1" applyFill="1" applyBorder="1" applyProtection="1">
      <protection locked="0"/>
    </xf>
    <xf numFmtId="0" fontId="18" fillId="17" borderId="5" xfId="0" applyFont="1" applyFill="1" applyBorder="1" applyProtection="1">
      <protection locked="0"/>
    </xf>
    <xf numFmtId="0" fontId="34" fillId="17" borderId="1" xfId="0" applyFont="1" applyFill="1" applyBorder="1" applyAlignment="1">
      <alignment horizontal="left" vertical="center" wrapText="1"/>
    </xf>
    <xf numFmtId="0" fontId="34" fillId="17" borderId="16" xfId="0" applyFont="1" applyFill="1" applyBorder="1" applyAlignment="1">
      <alignment horizontal="left" vertical="center" wrapText="1"/>
    </xf>
    <xf numFmtId="0" fontId="18" fillId="17" borderId="24" xfId="0" applyFont="1" applyFill="1" applyBorder="1" applyAlignment="1">
      <alignment horizontal="center" vertical="center"/>
    </xf>
    <xf numFmtId="0" fontId="18" fillId="17" borderId="19" xfId="0" applyFont="1" applyFill="1" applyBorder="1" applyAlignment="1">
      <alignment horizontal="center" vertical="center"/>
    </xf>
    <xf numFmtId="0" fontId="18" fillId="17" borderId="20" xfId="0" applyFont="1" applyFill="1" applyBorder="1" applyAlignment="1">
      <alignment horizontal="center" vertical="center"/>
    </xf>
    <xf numFmtId="0" fontId="18" fillId="17" borderId="1" xfId="0" applyFont="1" applyFill="1" applyBorder="1" applyAlignment="1">
      <alignment horizontal="center" vertical="center"/>
    </xf>
    <xf numFmtId="0" fontId="18" fillId="17" borderId="17" xfId="0" applyFont="1" applyFill="1" applyBorder="1" applyAlignment="1">
      <alignment horizontal="center" vertical="center"/>
    </xf>
    <xf numFmtId="0" fontId="40" fillId="18" borderId="0" xfId="0" applyFont="1" applyFill="1" applyAlignment="1">
      <alignment vertical="center"/>
    </xf>
    <xf numFmtId="0" fontId="41" fillId="18" borderId="0" xfId="0" applyFont="1" applyFill="1" applyAlignment="1">
      <alignment vertical="center"/>
    </xf>
    <xf numFmtId="0" fontId="32" fillId="18" borderId="0" xfId="0" applyFont="1" applyFill="1" applyAlignment="1">
      <alignment vertical="center"/>
    </xf>
    <xf numFmtId="0" fontId="32" fillId="18" borderId="0" xfId="0" applyFont="1" applyFill="1" applyAlignment="1">
      <alignment vertical="center" wrapText="1"/>
    </xf>
    <xf numFmtId="14" fontId="32" fillId="18" borderId="0" xfId="0" applyNumberFormat="1" applyFont="1" applyFill="1" applyAlignment="1">
      <alignment vertical="center"/>
    </xf>
    <xf numFmtId="0" fontId="18" fillId="6" borderId="13" xfId="0" applyFont="1" applyFill="1" applyBorder="1"/>
    <xf numFmtId="0" fontId="18" fillId="6" borderId="3" xfId="0" applyFont="1" applyFill="1" applyBorder="1" applyAlignment="1" applyProtection="1">
      <alignment horizontal="left" vertical="center" wrapText="1"/>
      <protection locked="0"/>
    </xf>
    <xf numFmtId="0" fontId="18" fillId="6" borderId="43" xfId="0" quotePrefix="1" applyFont="1" applyFill="1" applyBorder="1" applyAlignment="1" applyProtection="1">
      <alignment horizontal="left" vertical="top" wrapText="1"/>
      <protection locked="0"/>
    </xf>
    <xf numFmtId="0" fontId="18" fillId="6" borderId="22" xfId="0" applyFont="1" applyFill="1" applyBorder="1" applyAlignment="1">
      <alignment horizontal="center" vertical="center" wrapText="1"/>
    </xf>
    <xf numFmtId="0" fontId="18" fillId="6" borderId="3" xfId="0" applyFont="1" applyFill="1" applyBorder="1" applyAlignment="1" applyProtection="1">
      <alignment horizontal="left" vertical="top" wrapText="1"/>
      <protection locked="0"/>
    </xf>
    <xf numFmtId="0" fontId="18" fillId="6" borderId="22" xfId="0" applyFont="1" applyFill="1" applyBorder="1" applyAlignment="1" applyProtection="1">
      <alignment horizontal="center" vertical="center" wrapText="1"/>
      <protection locked="0"/>
    </xf>
    <xf numFmtId="0" fontId="18" fillId="6" borderId="3" xfId="0" applyFont="1" applyFill="1" applyBorder="1" applyAlignment="1" applyProtection="1">
      <alignment horizontal="center" vertical="center" wrapText="1"/>
      <protection locked="0"/>
    </xf>
    <xf numFmtId="0" fontId="18" fillId="6" borderId="26" xfId="0" applyFont="1" applyFill="1" applyBorder="1" applyAlignment="1">
      <alignment horizontal="center" vertical="center" wrapText="1"/>
    </xf>
    <xf numFmtId="14" fontId="18" fillId="6" borderId="3" xfId="0" applyNumberFormat="1" applyFont="1" applyFill="1" applyBorder="1" applyAlignment="1" applyProtection="1">
      <alignment horizontal="center" vertical="center" wrapText="1"/>
      <protection locked="0"/>
    </xf>
    <xf numFmtId="0" fontId="18" fillId="6" borderId="33" xfId="0" applyFont="1" applyFill="1" applyBorder="1"/>
    <xf numFmtId="0" fontId="18" fillId="6" borderId="36" xfId="0" quotePrefix="1" applyFont="1" applyFill="1" applyBorder="1" applyAlignment="1" applyProtection="1">
      <alignment horizontal="left" vertical="top" wrapText="1"/>
      <protection locked="0"/>
    </xf>
    <xf numFmtId="0" fontId="18" fillId="6" borderId="1" xfId="0" applyFont="1" applyFill="1" applyBorder="1" applyAlignment="1">
      <alignment horizontal="center" vertical="center" wrapText="1"/>
    </xf>
    <xf numFmtId="0" fontId="18" fillId="6" borderId="1" xfId="0" applyFont="1" applyFill="1" applyBorder="1" applyAlignment="1" applyProtection="1">
      <alignment horizontal="center" vertical="center" wrapText="1"/>
      <protection locked="0"/>
    </xf>
    <xf numFmtId="14" fontId="18" fillId="6" borderId="1" xfId="0" applyNumberFormat="1" applyFont="1" applyFill="1" applyBorder="1" applyAlignment="1" applyProtection="1">
      <alignment horizontal="center" vertical="center" wrapText="1"/>
      <protection locked="0"/>
    </xf>
    <xf numFmtId="0" fontId="18" fillId="6" borderId="17" xfId="0" applyFont="1" applyFill="1" applyBorder="1" applyAlignment="1" applyProtection="1">
      <alignment horizontal="left" vertical="center" wrapText="1"/>
      <protection locked="0"/>
    </xf>
    <xf numFmtId="0" fontId="18" fillId="6" borderId="35" xfId="0" quotePrefix="1" applyFont="1" applyFill="1" applyBorder="1" applyAlignment="1" applyProtection="1">
      <alignment horizontal="left" vertical="top" wrapText="1"/>
      <protection locked="0"/>
    </xf>
    <xf numFmtId="0" fontId="18" fillId="6" borderId="8" xfId="0" applyFont="1" applyFill="1" applyBorder="1" applyAlignment="1">
      <alignment horizontal="center" vertical="center" wrapText="1"/>
    </xf>
    <xf numFmtId="0" fontId="18" fillId="6" borderId="8" xfId="0" applyFont="1" applyFill="1" applyBorder="1" applyAlignment="1" applyProtection="1">
      <alignment horizontal="left" vertical="top" wrapText="1"/>
      <protection locked="0"/>
    </xf>
    <xf numFmtId="0" fontId="18" fillId="6" borderId="8" xfId="0" applyFont="1" applyFill="1" applyBorder="1" applyAlignment="1" applyProtection="1">
      <alignment horizontal="center" vertical="center" wrapText="1"/>
      <protection locked="0"/>
    </xf>
    <xf numFmtId="0" fontId="18" fillId="6" borderId="34" xfId="0" applyFont="1" applyFill="1" applyBorder="1" applyAlignment="1">
      <alignment horizontal="center" vertical="center" wrapText="1"/>
    </xf>
    <xf numFmtId="0" fontId="18" fillId="6" borderId="17" xfId="0" applyFont="1" applyFill="1" applyBorder="1" applyAlignment="1" applyProtection="1">
      <alignment horizontal="center" vertical="center" wrapText="1"/>
      <protection locked="0"/>
    </xf>
    <xf numFmtId="14" fontId="18" fillId="6" borderId="17" xfId="0" applyNumberFormat="1" applyFont="1" applyFill="1" applyBorder="1" applyAlignment="1" applyProtection="1">
      <alignment horizontal="center" vertical="center" wrapText="1"/>
      <protection locked="0"/>
    </xf>
    <xf numFmtId="0" fontId="29" fillId="6" borderId="3" xfId="0" applyFont="1" applyFill="1" applyBorder="1" applyAlignment="1" applyProtection="1">
      <alignment horizontal="left" vertical="center" wrapText="1"/>
      <protection locked="0"/>
    </xf>
    <xf numFmtId="0" fontId="29" fillId="6" borderId="48" xfId="0" quotePrefix="1" applyFont="1" applyFill="1" applyBorder="1" applyAlignment="1" applyProtection="1">
      <alignment horizontal="left" vertical="top" wrapText="1"/>
      <protection locked="0"/>
    </xf>
    <xf numFmtId="0" fontId="29" fillId="6" borderId="3" xfId="0" applyFont="1" applyFill="1" applyBorder="1" applyAlignment="1">
      <alignment horizontal="center" vertical="center" wrapText="1"/>
    </xf>
    <xf numFmtId="0" fontId="29" fillId="6" borderId="3" xfId="0" applyFont="1" applyFill="1" applyBorder="1" applyAlignment="1" applyProtection="1">
      <alignment vertical="center" wrapText="1"/>
      <protection locked="0"/>
    </xf>
    <xf numFmtId="0" fontId="29" fillId="6" borderId="3" xfId="0" applyFont="1" applyFill="1" applyBorder="1" applyAlignment="1" applyProtection="1">
      <alignment horizontal="center" vertical="center" wrapText="1"/>
      <protection locked="0"/>
    </xf>
    <xf numFmtId="14" fontId="29" fillId="6" borderId="3" xfId="0" applyNumberFormat="1" applyFont="1" applyFill="1" applyBorder="1" applyAlignment="1" applyProtection="1">
      <alignment horizontal="center" vertical="center" wrapText="1"/>
      <protection locked="0"/>
    </xf>
    <xf numFmtId="0" fontId="29" fillId="6" borderId="1" xfId="0" applyFont="1" applyFill="1" applyBorder="1" applyAlignment="1" applyProtection="1">
      <alignment horizontal="left" vertical="center" wrapText="1"/>
      <protection locked="0"/>
    </xf>
    <xf numFmtId="0" fontId="29" fillId="6" borderId="36" xfId="0" quotePrefix="1" applyFont="1" applyFill="1" applyBorder="1" applyAlignment="1" applyProtection="1">
      <alignment horizontal="left" vertical="top" wrapText="1"/>
      <protection locked="0"/>
    </xf>
    <xf numFmtId="0" fontId="29" fillId="6" borderId="1" xfId="0" applyFont="1" applyFill="1" applyBorder="1" applyAlignment="1">
      <alignment horizontal="center" vertical="center" wrapText="1"/>
    </xf>
    <xf numFmtId="0" fontId="29" fillId="6" borderId="1" xfId="0" applyFont="1" applyFill="1" applyBorder="1" applyAlignment="1" applyProtection="1">
      <alignment vertical="center" wrapText="1"/>
      <protection locked="0"/>
    </xf>
    <xf numFmtId="0" fontId="29" fillId="6" borderId="1" xfId="0" applyFont="1" applyFill="1" applyBorder="1" applyAlignment="1" applyProtection="1">
      <alignment horizontal="center" vertical="center" wrapText="1"/>
      <protection locked="0"/>
    </xf>
    <xf numFmtId="0" fontId="29" fillId="6" borderId="17" xfId="0" applyFont="1" applyFill="1" applyBorder="1" applyAlignment="1" applyProtection="1">
      <alignment horizontal="left" vertical="center" wrapText="1"/>
      <protection locked="0"/>
    </xf>
    <xf numFmtId="0" fontId="29" fillId="6" borderId="35" xfId="0" quotePrefix="1" applyFont="1" applyFill="1" applyBorder="1" applyAlignment="1" applyProtection="1">
      <alignment horizontal="left" vertical="top" wrapText="1"/>
      <protection locked="0"/>
    </xf>
    <xf numFmtId="0" fontId="29" fillId="6" borderId="8" xfId="0" applyFont="1" applyFill="1" applyBorder="1" applyAlignment="1">
      <alignment horizontal="center" vertical="center" wrapText="1"/>
    </xf>
    <xf numFmtId="0" fontId="29" fillId="6" borderId="8" xfId="0" applyFont="1" applyFill="1" applyBorder="1" applyAlignment="1" applyProtection="1">
      <alignment vertical="center" wrapText="1"/>
      <protection locked="0"/>
    </xf>
    <xf numFmtId="0" fontId="29" fillId="6" borderId="8" xfId="0" applyFont="1" applyFill="1" applyBorder="1" applyAlignment="1" applyProtection="1">
      <alignment horizontal="center" vertical="center" wrapText="1"/>
      <protection locked="0"/>
    </xf>
    <xf numFmtId="0" fontId="29" fillId="6" borderId="17" xfId="0" applyFont="1" applyFill="1" applyBorder="1" applyAlignment="1" applyProtection="1">
      <alignment horizontal="center" vertical="center" wrapText="1"/>
      <protection locked="0"/>
    </xf>
    <xf numFmtId="14" fontId="29" fillId="6" borderId="17" xfId="0" applyNumberFormat="1" applyFont="1" applyFill="1" applyBorder="1" applyAlignment="1" applyProtection="1">
      <alignment horizontal="center" vertical="center" wrapText="1"/>
      <protection locked="0"/>
    </xf>
    <xf numFmtId="0" fontId="52" fillId="0" borderId="0" xfId="0" applyFont="1" applyAlignment="1">
      <alignment vertical="top"/>
    </xf>
    <xf numFmtId="0" fontId="18" fillId="0" borderId="0" xfId="0" applyFont="1" applyAlignment="1">
      <alignment vertical="center" wrapText="1"/>
    </xf>
    <xf numFmtId="0" fontId="18" fillId="0" borderId="0" xfId="0" applyFont="1" applyAlignment="1">
      <alignment vertical="center"/>
    </xf>
    <xf numFmtId="165" fontId="18" fillId="0" borderId="0" xfId="0" applyNumberFormat="1" applyFont="1" applyAlignment="1">
      <alignment vertical="center" wrapText="1"/>
    </xf>
    <xf numFmtId="1" fontId="18" fillId="0" borderId="0" xfId="0" applyNumberFormat="1" applyFont="1" applyAlignment="1">
      <alignment horizontal="left" vertical="center"/>
    </xf>
    <xf numFmtId="1" fontId="18" fillId="0" borderId="0" xfId="0" applyNumberFormat="1" applyFont="1" applyAlignment="1">
      <alignment horizontal="center" vertical="center"/>
    </xf>
    <xf numFmtId="0" fontId="18" fillId="0" borderId="0" xfId="0" applyFont="1" applyAlignment="1">
      <alignment horizontal="center" vertical="center" wrapText="1"/>
    </xf>
    <xf numFmtId="1" fontId="51" fillId="18" borderId="8" xfId="0" applyNumberFormat="1" applyFont="1" applyFill="1" applyBorder="1" applyAlignment="1">
      <alignment horizontal="left" vertical="top"/>
    </xf>
    <xf numFmtId="1" fontId="51" fillId="18" borderId="8" xfId="0" applyNumberFormat="1" applyFont="1" applyFill="1" applyBorder="1" applyAlignment="1">
      <alignment horizontal="center" vertical="top"/>
    </xf>
    <xf numFmtId="0" fontId="51" fillId="18" borderId="8" xfId="0" applyFont="1" applyFill="1" applyBorder="1" applyAlignment="1">
      <alignment vertical="top" wrapText="1"/>
    </xf>
    <xf numFmtId="0" fontId="51" fillId="18" borderId="0" xfId="0" applyFont="1" applyFill="1" applyAlignment="1">
      <alignment horizontal="center" vertical="top" wrapText="1"/>
    </xf>
    <xf numFmtId="0" fontId="51" fillId="18" borderId="1" xfId="0" applyFont="1" applyFill="1" applyBorder="1" applyAlignment="1">
      <alignment vertical="top" wrapText="1"/>
    </xf>
    <xf numFmtId="165" fontId="51" fillId="18" borderId="8" xfId="0" applyNumberFormat="1" applyFont="1" applyFill="1" applyBorder="1" applyAlignment="1">
      <alignment vertical="top" wrapText="1"/>
    </xf>
    <xf numFmtId="0" fontId="23" fillId="15" borderId="1" xfId="0" applyFont="1" applyFill="1" applyBorder="1" applyAlignment="1">
      <alignment horizontal="left" vertical="center" textRotation="45" wrapText="1"/>
    </xf>
    <xf numFmtId="0" fontId="53" fillId="6" borderId="0" xfId="0" applyFont="1" applyFill="1"/>
    <xf numFmtId="0" fontId="54" fillId="6" borderId="1" xfId="0" applyFont="1" applyFill="1" applyBorder="1" applyAlignment="1">
      <alignment horizontal="center" vertical="center" wrapText="1"/>
    </xf>
    <xf numFmtId="0" fontId="39" fillId="8" borderId="17" xfId="0" applyFont="1" applyFill="1" applyBorder="1" applyAlignment="1">
      <alignment horizontal="center" vertical="center"/>
    </xf>
    <xf numFmtId="0" fontId="54" fillId="17" borderId="1" xfId="0" applyFont="1" applyFill="1" applyBorder="1" applyAlignment="1">
      <alignment horizontal="center" vertical="center" wrapText="1"/>
    </xf>
    <xf numFmtId="0" fontId="54" fillId="8" borderId="3" xfId="0" applyFont="1" applyFill="1" applyBorder="1" applyAlignment="1">
      <alignment horizontal="center" vertical="center"/>
    </xf>
    <xf numFmtId="0" fontId="29" fillId="6" borderId="3" xfId="0" applyFont="1" applyFill="1" applyBorder="1" applyAlignment="1">
      <alignment vertical="top" wrapText="1"/>
    </xf>
    <xf numFmtId="0" fontId="54" fillId="8" borderId="3" xfId="0" applyFont="1" applyFill="1" applyBorder="1" applyAlignment="1">
      <alignment horizontal="center" vertical="center" wrapText="1"/>
    </xf>
    <xf numFmtId="0" fontId="29" fillId="6" borderId="3" xfId="0" applyFont="1" applyFill="1" applyBorder="1" applyAlignment="1">
      <alignment horizontal="left" vertical="top" wrapText="1"/>
    </xf>
    <xf numFmtId="0" fontId="54" fillId="8" borderId="1" xfId="0" applyFont="1" applyFill="1" applyBorder="1" applyAlignment="1">
      <alignment horizontal="center" vertical="center"/>
    </xf>
    <xf numFmtId="0" fontId="29" fillId="6" borderId="1" xfId="0" applyFont="1" applyFill="1" applyBorder="1" applyAlignment="1">
      <alignment horizontal="left" vertical="top" wrapText="1"/>
    </xf>
    <xf numFmtId="0" fontId="54" fillId="8" borderId="1" xfId="0" applyFont="1" applyFill="1" applyBorder="1" applyAlignment="1">
      <alignment horizontal="center" vertical="center" wrapText="1"/>
    </xf>
    <xf numFmtId="0" fontId="54" fillId="6" borderId="0" xfId="0" applyFont="1" applyFill="1" applyAlignment="1">
      <alignment horizontal="center" vertical="center"/>
    </xf>
    <xf numFmtId="0" fontId="29" fillId="6" borderId="1" xfId="0" applyFont="1" applyFill="1" applyBorder="1" applyAlignment="1">
      <alignment horizontal="left" vertical="top"/>
    </xf>
    <xf numFmtId="0" fontId="39" fillId="8" borderId="1" xfId="0" applyFont="1" applyFill="1" applyBorder="1" applyAlignment="1">
      <alignment horizontal="center" vertical="center" wrapText="1"/>
    </xf>
    <xf numFmtId="0" fontId="54" fillId="6" borderId="1" xfId="0" applyFont="1" applyFill="1" applyBorder="1" applyAlignment="1">
      <alignment horizontal="center" vertical="center"/>
    </xf>
    <xf numFmtId="0" fontId="39" fillId="6" borderId="0" xfId="0" applyFont="1" applyFill="1" applyAlignment="1">
      <alignment horizontal="right" textRotation="90"/>
    </xf>
    <xf numFmtId="0" fontId="24" fillId="6" borderId="0" xfId="0" applyFont="1" applyFill="1"/>
    <xf numFmtId="0" fontId="55" fillId="6" borderId="1" xfId="0" applyFont="1" applyFill="1" applyBorder="1" applyAlignment="1">
      <alignment horizontal="left" vertical="top" wrapText="1"/>
    </xf>
    <xf numFmtId="0" fontId="56" fillId="6" borderId="0" xfId="0" applyFont="1" applyFill="1"/>
    <xf numFmtId="0" fontId="51" fillId="18" borderId="0" xfId="0" applyFont="1" applyFill="1" applyAlignment="1">
      <alignment horizontal="left" vertical="top" wrapText="1"/>
    </xf>
    <xf numFmtId="0" fontId="33" fillId="18" borderId="13" xfId="0" applyFont="1" applyFill="1" applyBorder="1" applyAlignment="1">
      <alignment vertical="center"/>
    </xf>
    <xf numFmtId="0" fontId="34" fillId="18" borderId="14" xfId="0" applyFont="1" applyFill="1" applyBorder="1" applyAlignment="1">
      <alignment vertical="center"/>
    </xf>
    <xf numFmtId="0" fontId="34" fillId="18" borderId="15" xfId="0" applyFont="1" applyFill="1" applyBorder="1" applyAlignment="1">
      <alignment vertical="center"/>
    </xf>
    <xf numFmtId="0" fontId="30" fillId="18" borderId="12" xfId="0" applyFont="1" applyFill="1" applyBorder="1"/>
    <xf numFmtId="0" fontId="43" fillId="15" borderId="8" xfId="0" applyFont="1" applyFill="1" applyBorder="1" applyAlignment="1">
      <alignment wrapText="1"/>
    </xf>
    <xf numFmtId="0" fontId="43" fillId="15" borderId="34" xfId="0" applyFont="1" applyFill="1" applyBorder="1"/>
    <xf numFmtId="0" fontId="43" fillId="15" borderId="35" xfId="0" applyFont="1" applyFill="1" applyBorder="1" applyAlignment="1">
      <alignment horizontal="center" wrapText="1"/>
    </xf>
    <xf numFmtId="49" fontId="43" fillId="15" borderId="35" xfId="0" applyNumberFormat="1" applyFont="1" applyFill="1" applyBorder="1" applyAlignment="1">
      <alignment wrapText="1"/>
    </xf>
    <xf numFmtId="0" fontId="45" fillId="15" borderId="8" xfId="0" applyFont="1" applyFill="1" applyBorder="1" applyAlignment="1">
      <alignment horizontal="left" wrapText="1"/>
    </xf>
    <xf numFmtId="0" fontId="43" fillId="15" borderId="31" xfId="0" applyFont="1" applyFill="1" applyBorder="1" applyAlignment="1">
      <alignment vertical="center" wrapText="1"/>
    </xf>
    <xf numFmtId="0" fontId="43" fillId="15" borderId="38" xfId="0" applyFont="1" applyFill="1" applyBorder="1" applyAlignment="1">
      <alignment horizontal="center" vertical="center" wrapText="1"/>
    </xf>
    <xf numFmtId="49" fontId="43" fillId="15" borderId="31" xfId="0" applyNumberFormat="1" applyFont="1" applyFill="1" applyBorder="1" applyAlignment="1">
      <alignment horizontal="center" vertical="center" wrapText="1"/>
    </xf>
    <xf numFmtId="0" fontId="43" fillId="15" borderId="31" xfId="0" applyFont="1" applyFill="1" applyBorder="1" applyAlignment="1">
      <alignment horizontal="left" vertical="center" wrapText="1" indent="1"/>
    </xf>
    <xf numFmtId="0" fontId="43" fillId="15" borderId="31" xfId="0" applyFont="1" applyFill="1" applyBorder="1" applyAlignment="1">
      <alignment horizontal="center" vertical="center" wrapText="1"/>
    </xf>
    <xf numFmtId="0" fontId="29" fillId="19" borderId="3" xfId="0" applyFont="1" applyFill="1" applyBorder="1" applyAlignment="1" applyProtection="1">
      <alignment horizontal="left" vertical="center" wrapText="1"/>
      <protection locked="0"/>
    </xf>
    <xf numFmtId="0" fontId="29" fillId="19" borderId="43" xfId="0" applyFont="1" applyFill="1" applyBorder="1" applyAlignment="1" applyProtection="1">
      <alignment horizontal="left" vertical="top" wrapText="1"/>
      <protection locked="0"/>
    </xf>
    <xf numFmtId="0" fontId="29" fillId="19" borderId="22" xfId="0" applyFont="1" applyFill="1" applyBorder="1" applyAlignment="1">
      <alignment horizontal="center" vertical="center" wrapText="1"/>
    </xf>
    <xf numFmtId="0" fontId="29" fillId="19" borderId="22" xfId="0" applyFont="1" applyFill="1" applyBorder="1" applyAlignment="1" applyProtection="1">
      <alignment vertical="center" wrapText="1"/>
      <protection locked="0"/>
    </xf>
    <xf numFmtId="0" fontId="29" fillId="19" borderId="22" xfId="0" applyFont="1" applyFill="1" applyBorder="1" applyAlignment="1" applyProtection="1">
      <alignment horizontal="center" vertical="center" wrapText="1"/>
      <protection locked="0"/>
    </xf>
    <xf numFmtId="0" fontId="29" fillId="19" borderId="3" xfId="0" applyFont="1" applyFill="1" applyBorder="1" applyAlignment="1" applyProtection="1">
      <alignment horizontal="center" vertical="center" wrapText="1"/>
      <protection locked="0"/>
    </xf>
    <xf numFmtId="14" fontId="29" fillId="19" borderId="3" xfId="0" applyNumberFormat="1" applyFont="1" applyFill="1" applyBorder="1" applyAlignment="1" applyProtection="1">
      <alignment horizontal="center" vertical="center" wrapText="1"/>
      <protection locked="0"/>
    </xf>
    <xf numFmtId="0" fontId="29" fillId="19" borderId="1" xfId="0" applyFont="1" applyFill="1" applyBorder="1" applyAlignment="1" applyProtection="1">
      <alignment horizontal="left" vertical="center" wrapText="1"/>
      <protection locked="0"/>
    </xf>
    <xf numFmtId="0" fontId="29" fillId="19" borderId="36" xfId="0" quotePrefix="1" applyFont="1" applyFill="1" applyBorder="1" applyAlignment="1" applyProtection="1">
      <alignment horizontal="left" vertical="top" wrapText="1"/>
      <protection locked="0"/>
    </xf>
    <xf numFmtId="0" fontId="29" fillId="19" borderId="1" xfId="0" applyFont="1" applyFill="1" applyBorder="1" applyAlignment="1">
      <alignment horizontal="center" vertical="center" wrapText="1"/>
    </xf>
    <xf numFmtId="0" fontId="29" fillId="19" borderId="1" xfId="0" applyFont="1" applyFill="1" applyBorder="1" applyAlignment="1" applyProtection="1">
      <alignment vertical="center" wrapText="1"/>
      <protection locked="0"/>
    </xf>
    <xf numFmtId="0" fontId="29" fillId="19" borderId="1" xfId="0" applyFont="1" applyFill="1" applyBorder="1" applyAlignment="1" applyProtection="1">
      <alignment horizontal="center" vertical="center" wrapText="1"/>
      <protection locked="0"/>
    </xf>
    <xf numFmtId="0" fontId="29" fillId="19" borderId="17" xfId="0" applyFont="1" applyFill="1" applyBorder="1" applyAlignment="1" applyProtection="1">
      <alignment horizontal="left" vertical="center" wrapText="1"/>
      <protection locked="0"/>
    </xf>
    <xf numFmtId="0" fontId="29" fillId="19" borderId="45" xfId="0" quotePrefix="1" applyFont="1" applyFill="1" applyBorder="1" applyAlignment="1" applyProtection="1">
      <alignment horizontal="left" vertical="top" wrapText="1"/>
      <protection locked="0"/>
    </xf>
    <xf numFmtId="0" fontId="29" fillId="19" borderId="17" xfId="0" applyFont="1" applyFill="1" applyBorder="1" applyAlignment="1">
      <alignment horizontal="center" vertical="center" wrapText="1"/>
    </xf>
    <xf numFmtId="0" fontId="29" fillId="19" borderId="17" xfId="0" applyFont="1" applyFill="1" applyBorder="1" applyAlignment="1" applyProtection="1">
      <alignment vertical="center" wrapText="1"/>
      <protection locked="0"/>
    </xf>
    <xf numFmtId="0" fontId="29" fillId="19" borderId="17" xfId="0" applyFont="1" applyFill="1" applyBorder="1" applyAlignment="1" applyProtection="1">
      <alignment horizontal="center" vertical="center" wrapText="1"/>
      <protection locked="0"/>
    </xf>
    <xf numFmtId="14" fontId="29" fillId="19" borderId="17" xfId="0" applyNumberFormat="1" applyFont="1" applyFill="1" applyBorder="1" applyAlignment="1" applyProtection="1">
      <alignment horizontal="center" vertical="center" wrapText="1"/>
      <protection locked="0"/>
    </xf>
    <xf numFmtId="0" fontId="33" fillId="18" borderId="39" xfId="0" applyFont="1" applyFill="1" applyBorder="1" applyAlignment="1">
      <alignment horizontal="left" vertical="center"/>
    </xf>
    <xf numFmtId="0" fontId="33" fillId="18" borderId="40" xfId="0" applyFont="1" applyFill="1" applyBorder="1" applyAlignment="1">
      <alignment horizontal="left" vertical="center"/>
    </xf>
    <xf numFmtId="0" fontId="33" fillId="18" borderId="41" xfId="0" applyFont="1" applyFill="1" applyBorder="1" applyAlignment="1">
      <alignment horizontal="left" vertical="center"/>
    </xf>
    <xf numFmtId="0" fontId="37" fillId="8" borderId="2" xfId="0" applyFont="1" applyFill="1" applyBorder="1" applyAlignment="1">
      <alignment horizontal="center" vertical="center" wrapText="1"/>
    </xf>
    <xf numFmtId="0" fontId="37" fillId="8" borderId="36" xfId="0" applyFont="1" applyFill="1" applyBorder="1" applyAlignment="1">
      <alignment horizontal="center" vertical="center" wrapText="1"/>
    </xf>
    <xf numFmtId="0" fontId="37" fillId="8" borderId="11" xfId="0" applyFont="1" applyFill="1" applyBorder="1" applyAlignment="1">
      <alignment horizontal="center" vertical="center" wrapText="1"/>
    </xf>
    <xf numFmtId="0" fontId="37" fillId="8" borderId="42" xfId="0" applyFont="1" applyFill="1" applyBorder="1" applyAlignment="1">
      <alignment horizontal="center" vertical="center" wrapText="1"/>
    </xf>
    <xf numFmtId="0" fontId="18" fillId="0" borderId="1" xfId="0" applyFont="1" applyBorder="1" applyAlignment="1" applyProtection="1">
      <alignment horizontal="center" vertical="center"/>
      <protection locked="0"/>
    </xf>
    <xf numFmtId="0" fontId="18" fillId="0" borderId="8" xfId="0" applyFont="1" applyBorder="1" applyAlignment="1" applyProtection="1">
      <alignment horizontal="center" vertical="center" wrapText="1"/>
      <protection locked="0"/>
    </xf>
    <xf numFmtId="0" fontId="18" fillId="0" borderId="3" xfId="0" applyFont="1" applyBorder="1" applyAlignment="1" applyProtection="1">
      <alignment horizontal="center" vertical="center" wrapText="1"/>
      <protection locked="0"/>
    </xf>
    <xf numFmtId="0" fontId="23" fillId="15" borderId="31" xfId="0" applyFont="1" applyFill="1" applyBorder="1" applyAlignment="1">
      <alignment horizontal="center" vertical="center"/>
    </xf>
    <xf numFmtId="0" fontId="23" fillId="15" borderId="3" xfId="0" applyFont="1" applyFill="1" applyBorder="1" applyAlignment="1">
      <alignment horizontal="center" vertical="center"/>
    </xf>
    <xf numFmtId="0" fontId="26" fillId="15" borderId="1" xfId="0" applyFont="1" applyFill="1" applyBorder="1" applyAlignment="1">
      <alignment horizontal="center" vertical="center" wrapText="1"/>
    </xf>
    <xf numFmtId="0" fontId="28" fillId="16" borderId="8" xfId="0" applyFont="1" applyFill="1" applyBorder="1" applyAlignment="1">
      <alignment horizontal="center" vertical="center" wrapText="1"/>
    </xf>
    <xf numFmtId="0" fontId="28" fillId="16" borderId="3" xfId="0" applyFont="1" applyFill="1" applyBorder="1" applyAlignment="1">
      <alignment horizontal="center" vertical="center" wrapText="1"/>
    </xf>
    <xf numFmtId="0" fontId="23" fillId="15" borderId="8" xfId="0" applyFont="1" applyFill="1" applyBorder="1" applyAlignment="1">
      <alignment horizontal="center" vertical="center" wrapText="1"/>
    </xf>
    <xf numFmtId="0" fontId="23" fillId="15" borderId="3" xfId="0" applyFont="1" applyFill="1" applyBorder="1" applyAlignment="1">
      <alignment horizontal="center" vertical="center" wrapText="1"/>
    </xf>
    <xf numFmtId="0" fontId="28" fillId="15" borderId="1" xfId="0" applyFont="1" applyFill="1" applyBorder="1" applyAlignment="1">
      <alignment horizontal="center" vertical="center" wrapText="1"/>
    </xf>
    <xf numFmtId="0" fontId="7" fillId="9" borderId="2" xfId="0" applyFont="1" applyFill="1" applyBorder="1" applyAlignment="1">
      <alignment horizontal="center" vertical="center" wrapText="1"/>
    </xf>
    <xf numFmtId="0" fontId="7" fillId="9" borderId="11" xfId="0" applyFont="1" applyFill="1" applyBorder="1" applyAlignment="1">
      <alignment horizontal="center" vertical="center" wrapText="1"/>
    </xf>
    <xf numFmtId="0" fontId="29" fillId="19" borderId="46" xfId="0" applyFont="1" applyFill="1" applyBorder="1" applyAlignment="1" applyProtection="1">
      <alignment horizontal="center" vertical="center" wrapText="1"/>
      <protection locked="0"/>
    </xf>
    <xf numFmtId="0" fontId="29" fillId="19" borderId="31" xfId="0" applyFont="1" applyFill="1" applyBorder="1" applyAlignment="1" applyProtection="1">
      <alignment horizontal="center" vertical="center" wrapText="1"/>
      <protection locked="0"/>
    </xf>
    <xf numFmtId="0" fontId="29" fillId="19" borderId="30" xfId="0" applyFont="1" applyFill="1" applyBorder="1" applyAlignment="1" applyProtection="1">
      <alignment horizontal="center" vertical="center" wrapText="1"/>
      <protection locked="0"/>
    </xf>
    <xf numFmtId="0" fontId="29" fillId="19" borderId="46" xfId="0" applyFont="1" applyFill="1" applyBorder="1" applyAlignment="1" applyProtection="1">
      <alignment horizontal="left" vertical="center" wrapText="1"/>
      <protection locked="0"/>
    </xf>
    <xf numFmtId="0" fontId="29" fillId="19" borderId="31" xfId="0" applyFont="1" applyFill="1" applyBorder="1" applyAlignment="1" applyProtection="1">
      <alignment horizontal="left" vertical="center" wrapText="1"/>
      <protection locked="0"/>
    </xf>
    <xf numFmtId="0" fontId="29" fillId="19" borderId="30" xfId="0" applyFont="1" applyFill="1" applyBorder="1" applyAlignment="1" applyProtection="1">
      <alignment horizontal="left" vertical="center" wrapText="1"/>
      <protection locked="0"/>
    </xf>
    <xf numFmtId="0" fontId="29" fillId="19" borderId="46" xfId="0" applyFont="1" applyFill="1" applyBorder="1" applyAlignment="1">
      <alignment horizontal="center" vertical="center" wrapText="1"/>
    </xf>
    <xf numFmtId="0" fontId="29" fillId="19" borderId="31" xfId="0" applyFont="1" applyFill="1" applyBorder="1" applyAlignment="1">
      <alignment horizontal="center" vertical="center" wrapText="1"/>
    </xf>
    <xf numFmtId="0" fontId="29" fillId="19" borderId="30" xfId="0" applyFont="1" applyFill="1" applyBorder="1" applyAlignment="1">
      <alignment horizontal="center" vertical="center" wrapText="1"/>
    </xf>
    <xf numFmtId="0" fontId="29" fillId="19" borderId="49" xfId="0" applyFont="1" applyFill="1" applyBorder="1" applyAlignment="1">
      <alignment horizontal="center" vertical="center" wrapText="1"/>
    </xf>
    <xf numFmtId="0" fontId="29" fillId="19" borderId="50" xfId="0" applyFont="1" applyFill="1" applyBorder="1" applyAlignment="1">
      <alignment horizontal="center" vertical="center" wrapText="1"/>
    </xf>
    <xf numFmtId="0" fontId="29" fillId="19" borderId="51" xfId="0" applyFont="1" applyFill="1" applyBorder="1" applyAlignment="1">
      <alignment horizontal="center" vertical="center" wrapText="1"/>
    </xf>
    <xf numFmtId="49" fontId="29" fillId="19" borderId="46" xfId="0" applyNumberFormat="1" applyFont="1" applyFill="1" applyBorder="1" applyAlignment="1" applyProtection="1">
      <alignment horizontal="center" vertical="center" wrapText="1"/>
      <protection locked="0"/>
    </xf>
    <xf numFmtId="49" fontId="29" fillId="19" borderId="31" xfId="0" applyNumberFormat="1" applyFont="1" applyFill="1" applyBorder="1" applyAlignment="1" applyProtection="1">
      <alignment horizontal="center" vertical="center" wrapText="1"/>
      <protection locked="0"/>
    </xf>
    <xf numFmtId="49" fontId="29" fillId="19" borderId="30" xfId="0" applyNumberFormat="1" applyFont="1" applyFill="1" applyBorder="1" applyAlignment="1" applyProtection="1">
      <alignment horizontal="center" vertical="center" wrapText="1"/>
      <protection locked="0"/>
    </xf>
    <xf numFmtId="49" fontId="29" fillId="6" borderId="46" xfId="0" applyNumberFormat="1" applyFont="1" applyFill="1" applyBorder="1" applyAlignment="1" applyProtection="1">
      <alignment horizontal="center" vertical="center" wrapText="1"/>
      <protection locked="0"/>
    </xf>
    <xf numFmtId="49" fontId="29" fillId="6" borderId="31" xfId="0" applyNumberFormat="1" applyFont="1" applyFill="1" applyBorder="1" applyAlignment="1" applyProtection="1">
      <alignment horizontal="center" vertical="center" wrapText="1"/>
      <protection locked="0"/>
    </xf>
    <xf numFmtId="49" fontId="29" fillId="6" borderId="30" xfId="0" applyNumberFormat="1" applyFont="1" applyFill="1" applyBorder="1" applyAlignment="1" applyProtection="1">
      <alignment horizontal="center" vertical="center" wrapText="1"/>
      <protection locked="0"/>
    </xf>
    <xf numFmtId="0" fontId="29" fillId="6" borderId="46" xfId="0" applyFont="1" applyFill="1" applyBorder="1" applyAlignment="1" applyProtection="1">
      <alignment horizontal="center" vertical="center" wrapText="1"/>
      <protection locked="0"/>
    </xf>
    <xf numFmtId="0" fontId="29" fillId="6" borderId="31" xfId="0" applyFont="1" applyFill="1" applyBorder="1" applyAlignment="1" applyProtection="1">
      <alignment horizontal="center" vertical="center" wrapText="1"/>
      <protection locked="0"/>
    </xf>
    <xf numFmtId="0" fontId="29" fillId="6" borderId="30" xfId="0" applyFont="1" applyFill="1" applyBorder="1" applyAlignment="1" applyProtection="1">
      <alignment horizontal="center" vertical="center" wrapText="1"/>
      <protection locked="0"/>
    </xf>
    <xf numFmtId="0" fontId="29" fillId="6" borderId="46" xfId="0" applyFont="1" applyFill="1" applyBorder="1" applyAlignment="1" applyProtection="1">
      <alignment horizontal="left" vertical="center" wrapText="1"/>
      <protection locked="0"/>
    </xf>
    <xf numFmtId="0" fontId="29" fillId="6" borderId="31" xfId="0" applyFont="1" applyFill="1" applyBorder="1" applyAlignment="1" applyProtection="1">
      <alignment horizontal="left" vertical="center" wrapText="1"/>
      <protection locked="0"/>
    </xf>
    <xf numFmtId="0" fontId="29" fillId="6" borderId="30" xfId="0" applyFont="1" applyFill="1" applyBorder="1" applyAlignment="1" applyProtection="1">
      <alignment horizontal="left" vertical="center" wrapText="1"/>
      <protection locked="0"/>
    </xf>
    <xf numFmtId="0" fontId="29" fillId="6" borderId="46" xfId="0" applyFont="1" applyFill="1" applyBorder="1" applyAlignment="1">
      <alignment horizontal="center" vertical="center" wrapText="1"/>
    </xf>
    <xf numFmtId="0" fontId="29" fillId="6" borderId="31" xfId="0" applyFont="1" applyFill="1" applyBorder="1" applyAlignment="1">
      <alignment horizontal="center" vertical="center" wrapText="1"/>
    </xf>
    <xf numFmtId="0" fontId="29" fillId="6" borderId="30" xfId="0" applyFont="1" applyFill="1" applyBorder="1" applyAlignment="1">
      <alignment horizontal="center" vertical="center" wrapText="1"/>
    </xf>
    <xf numFmtId="0" fontId="29" fillId="6" borderId="49" xfId="0" applyFont="1" applyFill="1" applyBorder="1" applyAlignment="1">
      <alignment horizontal="center" vertical="center" wrapText="1"/>
    </xf>
    <xf numFmtId="0" fontId="29" fillId="6" borderId="50" xfId="0" applyFont="1" applyFill="1" applyBorder="1" applyAlignment="1">
      <alignment horizontal="center" vertical="center" wrapText="1"/>
    </xf>
    <xf numFmtId="0" fontId="29" fillId="6" borderId="51" xfId="0" applyFont="1" applyFill="1" applyBorder="1" applyAlignment="1">
      <alignment horizontal="center" vertical="center" wrapText="1"/>
    </xf>
    <xf numFmtId="0" fontId="29" fillId="19" borderId="52" xfId="0" applyFont="1" applyFill="1" applyBorder="1" applyAlignment="1">
      <alignment horizontal="center" vertical="center"/>
    </xf>
    <xf numFmtId="0" fontId="29" fillId="19" borderId="53" xfId="0" applyFont="1" applyFill="1" applyBorder="1" applyAlignment="1">
      <alignment horizontal="center" vertical="center"/>
    </xf>
    <xf numFmtId="0" fontId="29" fillId="19" borderId="29" xfId="0" applyFont="1" applyFill="1" applyBorder="1" applyAlignment="1">
      <alignment horizontal="center" vertical="center"/>
    </xf>
    <xf numFmtId="0" fontId="29" fillId="19" borderId="28" xfId="0" applyFont="1" applyFill="1" applyBorder="1" applyAlignment="1" applyProtection="1">
      <alignment horizontal="left" vertical="top" wrapText="1"/>
      <protection locked="0"/>
    </xf>
    <xf numFmtId="0" fontId="29" fillId="19" borderId="40" xfId="0" applyFont="1" applyFill="1" applyBorder="1" applyAlignment="1" applyProtection="1">
      <alignment horizontal="left" vertical="top" wrapText="1"/>
      <protection locked="0"/>
    </xf>
    <xf numFmtId="0" fontId="29" fillId="19" borderId="43" xfId="0" applyFont="1" applyFill="1" applyBorder="1" applyAlignment="1" applyProtection="1">
      <alignment horizontal="left" vertical="top" wrapText="1"/>
      <protection locked="0"/>
    </xf>
    <xf numFmtId="0" fontId="29" fillId="19" borderId="2" xfId="0" quotePrefix="1" applyFont="1" applyFill="1" applyBorder="1" applyAlignment="1" applyProtection="1">
      <alignment horizontal="left" vertical="top" wrapText="1"/>
      <protection locked="0"/>
    </xf>
    <xf numFmtId="0" fontId="29" fillId="19" borderId="11" xfId="0" quotePrefix="1" applyFont="1" applyFill="1" applyBorder="1" applyAlignment="1" applyProtection="1">
      <alignment horizontal="left" vertical="top" wrapText="1"/>
      <protection locked="0"/>
    </xf>
    <xf numFmtId="0" fontId="29" fillId="19" borderId="36" xfId="0" quotePrefix="1" applyFont="1" applyFill="1" applyBorder="1" applyAlignment="1" applyProtection="1">
      <alignment horizontal="left" vertical="top" wrapText="1"/>
      <protection locked="0"/>
    </xf>
    <xf numFmtId="0" fontId="29" fillId="19" borderId="27" xfId="0" quotePrefix="1" applyFont="1" applyFill="1" applyBorder="1" applyAlignment="1" applyProtection="1">
      <alignment horizontal="left" vertical="top" wrapText="1"/>
      <protection locked="0"/>
    </xf>
    <xf numFmtId="0" fontId="29" fillId="19" borderId="44" xfId="0" quotePrefix="1" applyFont="1" applyFill="1" applyBorder="1" applyAlignment="1" applyProtection="1">
      <alignment horizontal="left" vertical="top" wrapText="1"/>
      <protection locked="0"/>
    </xf>
    <xf numFmtId="0" fontId="29" fillId="19" borderId="45" xfId="0" quotePrefix="1" applyFont="1" applyFill="1" applyBorder="1" applyAlignment="1" applyProtection="1">
      <alignment horizontal="left" vertical="top" wrapText="1"/>
      <protection locked="0"/>
    </xf>
    <xf numFmtId="0" fontId="29" fillId="6" borderId="28" xfId="0" quotePrefix="1" applyFont="1" applyFill="1" applyBorder="1" applyAlignment="1" applyProtection="1">
      <alignment horizontal="left" vertical="top" wrapText="1"/>
      <protection locked="0"/>
    </xf>
    <xf numFmtId="0" fontId="29" fillId="6" borderId="40" xfId="0" quotePrefix="1" applyFont="1" applyFill="1" applyBorder="1" applyAlignment="1" applyProtection="1">
      <alignment horizontal="left" vertical="top" wrapText="1"/>
      <protection locked="0"/>
    </xf>
    <xf numFmtId="0" fontId="29" fillId="6" borderId="43" xfId="0" quotePrefix="1" applyFont="1" applyFill="1" applyBorder="1" applyAlignment="1" applyProtection="1">
      <alignment horizontal="left" vertical="top" wrapText="1"/>
      <protection locked="0"/>
    </xf>
    <xf numFmtId="0" fontId="29" fillId="6" borderId="2" xfId="0" quotePrefix="1" applyFont="1" applyFill="1" applyBorder="1" applyAlignment="1" applyProtection="1">
      <alignment horizontal="left" vertical="top" wrapText="1"/>
      <protection locked="0"/>
    </xf>
    <xf numFmtId="0" fontId="29" fillId="6" borderId="11" xfId="0" quotePrefix="1" applyFont="1" applyFill="1" applyBorder="1" applyAlignment="1" applyProtection="1">
      <alignment horizontal="left" vertical="top" wrapText="1"/>
      <protection locked="0"/>
    </xf>
    <xf numFmtId="0" fontId="29" fillId="6" borderId="36" xfId="0" quotePrefix="1" applyFont="1" applyFill="1" applyBorder="1" applyAlignment="1" applyProtection="1">
      <alignment horizontal="left" vertical="top" wrapText="1"/>
      <protection locked="0"/>
    </xf>
    <xf numFmtId="0" fontId="29" fillId="6" borderId="27" xfId="0" quotePrefix="1" applyFont="1" applyFill="1" applyBorder="1" applyAlignment="1" applyProtection="1">
      <alignment horizontal="left" vertical="top" wrapText="1"/>
      <protection locked="0"/>
    </xf>
    <xf numFmtId="0" fontId="29" fillId="6" borderId="44" xfId="0" quotePrefix="1" applyFont="1" applyFill="1" applyBorder="1" applyAlignment="1" applyProtection="1">
      <alignment horizontal="left" vertical="top" wrapText="1"/>
      <protection locked="0"/>
    </xf>
    <xf numFmtId="0" fontId="29" fillId="6" borderId="45" xfId="0" quotePrefix="1" applyFont="1" applyFill="1" applyBorder="1" applyAlignment="1" applyProtection="1">
      <alignment horizontal="left" vertical="top" wrapText="1"/>
      <protection locked="0"/>
    </xf>
    <xf numFmtId="0" fontId="29" fillId="6" borderId="52" xfId="0" applyFont="1" applyFill="1" applyBorder="1" applyAlignment="1">
      <alignment horizontal="center" vertical="center"/>
    </xf>
    <xf numFmtId="0" fontId="29" fillId="6" borderId="53" xfId="0" applyFont="1" applyFill="1" applyBorder="1" applyAlignment="1">
      <alignment horizontal="center" vertical="center"/>
    </xf>
    <xf numFmtId="0" fontId="29" fillId="6" borderId="29" xfId="0" applyFont="1" applyFill="1" applyBorder="1" applyAlignment="1">
      <alignment horizontal="center" vertical="center"/>
    </xf>
    <xf numFmtId="0" fontId="29" fillId="6" borderId="46" xfId="0" applyFont="1" applyFill="1" applyBorder="1" applyAlignment="1">
      <alignment horizontal="center" vertical="center"/>
    </xf>
    <xf numFmtId="0" fontId="29" fillId="6" borderId="31" xfId="0" applyFont="1" applyFill="1" applyBorder="1" applyAlignment="1">
      <alignment horizontal="center" vertical="center"/>
    </xf>
    <xf numFmtId="0" fontId="29" fillId="6" borderId="30" xfId="0" applyFont="1" applyFill="1" applyBorder="1" applyAlignment="1">
      <alignment horizontal="center" vertical="center"/>
    </xf>
    <xf numFmtId="0" fontId="44" fillId="15" borderId="8" xfId="0" applyFont="1" applyFill="1" applyBorder="1" applyAlignment="1">
      <alignment horizontal="left" textRotation="75" wrapText="1"/>
    </xf>
    <xf numFmtId="0" fontId="44" fillId="15" borderId="30" xfId="0" applyFont="1" applyFill="1" applyBorder="1" applyAlignment="1">
      <alignment horizontal="left" textRotation="75" wrapText="1"/>
    </xf>
    <xf numFmtId="0" fontId="43" fillId="15" borderId="2" xfId="0" applyFont="1" applyFill="1" applyBorder="1" applyAlignment="1">
      <alignment horizontal="left" vertical="center" wrapText="1" indent="1"/>
    </xf>
    <xf numFmtId="0" fontId="43" fillId="15" borderId="11" xfId="0" applyFont="1" applyFill="1" applyBorder="1" applyAlignment="1">
      <alignment horizontal="left" vertical="center" wrapText="1" indent="1"/>
    </xf>
    <xf numFmtId="0" fontId="43" fillId="15" borderId="36" xfId="0" applyFont="1" applyFill="1" applyBorder="1" applyAlignment="1">
      <alignment horizontal="left" vertical="center" wrapText="1" indent="1"/>
    </xf>
    <xf numFmtId="0" fontId="18" fillId="6" borderId="46" xfId="0" applyFont="1" applyFill="1" applyBorder="1" applyAlignment="1" applyProtection="1">
      <alignment horizontal="center" vertical="center" wrapText="1"/>
      <protection locked="0"/>
    </xf>
    <xf numFmtId="0" fontId="18" fillId="6" borderId="31" xfId="0" applyFont="1" applyFill="1" applyBorder="1" applyAlignment="1" applyProtection="1">
      <alignment horizontal="center" vertical="center" wrapText="1"/>
      <protection locked="0"/>
    </xf>
    <xf numFmtId="0" fontId="18" fillId="6" borderId="30" xfId="0" applyFont="1" applyFill="1" applyBorder="1" applyAlignment="1" applyProtection="1">
      <alignment horizontal="center" vertical="center" wrapText="1"/>
      <protection locked="0"/>
    </xf>
    <xf numFmtId="49" fontId="18" fillId="6" borderId="46" xfId="0" applyNumberFormat="1" applyFont="1" applyFill="1" applyBorder="1" applyAlignment="1" applyProtection="1">
      <alignment horizontal="center" vertical="center" wrapText="1"/>
      <protection locked="0"/>
    </xf>
    <xf numFmtId="49" fontId="18" fillId="6" borderId="31" xfId="0" applyNumberFormat="1" applyFont="1" applyFill="1" applyBorder="1" applyAlignment="1" applyProtection="1">
      <alignment horizontal="center" vertical="center" wrapText="1"/>
      <protection locked="0"/>
    </xf>
    <xf numFmtId="49" fontId="18" fillId="6" borderId="30" xfId="0" applyNumberFormat="1" applyFont="1" applyFill="1" applyBorder="1" applyAlignment="1" applyProtection="1">
      <alignment horizontal="center" vertical="center" wrapText="1"/>
      <protection locked="0"/>
    </xf>
    <xf numFmtId="0" fontId="43" fillId="15" borderId="27" xfId="0" applyFont="1" applyFill="1" applyBorder="1" applyAlignment="1">
      <alignment horizontal="center" vertical="center" wrapText="1"/>
    </xf>
    <xf numFmtId="0" fontId="43" fillId="15" borderId="44"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4" fillId="15" borderId="8" xfId="0" applyFont="1" applyFill="1" applyBorder="1" applyAlignment="1">
      <alignment horizontal="center" textRotation="75" wrapText="1"/>
    </xf>
    <xf numFmtId="0" fontId="44" fillId="15" borderId="30" xfId="0" applyFont="1" applyFill="1" applyBorder="1" applyAlignment="1">
      <alignment horizontal="center" textRotation="75" wrapText="1"/>
    </xf>
    <xf numFmtId="0" fontId="43" fillId="15" borderId="8" xfId="0" applyFont="1" applyFill="1" applyBorder="1" applyAlignment="1">
      <alignment horizontal="center" textRotation="75" wrapText="1"/>
    </xf>
    <xf numFmtId="0" fontId="43" fillId="15" borderId="30" xfId="0" applyFont="1" applyFill="1" applyBorder="1" applyAlignment="1">
      <alignment horizontal="center" textRotation="75" wrapText="1"/>
    </xf>
    <xf numFmtId="0" fontId="49" fillId="15" borderId="8" xfId="0" applyFont="1" applyFill="1" applyBorder="1" applyAlignment="1">
      <alignment horizontal="center" textRotation="75" wrapText="1"/>
    </xf>
    <xf numFmtId="0" fontId="49" fillId="15" borderId="30" xfId="0" applyFont="1" applyFill="1" applyBorder="1" applyAlignment="1">
      <alignment horizontal="center" textRotation="75" wrapText="1"/>
    </xf>
    <xf numFmtId="0" fontId="44" fillId="15" borderId="8" xfId="0" applyFont="1" applyFill="1" applyBorder="1" applyAlignment="1">
      <alignment horizontal="center" textRotation="75"/>
    </xf>
    <xf numFmtId="0" fontId="44" fillId="15" borderId="30" xfId="0" applyFont="1" applyFill="1" applyBorder="1" applyAlignment="1">
      <alignment horizontal="center" textRotation="75"/>
    </xf>
    <xf numFmtId="0" fontId="43" fillId="15" borderId="8" xfId="0" applyFont="1" applyFill="1" applyBorder="1" applyAlignment="1">
      <alignment horizontal="left" textRotation="75" wrapText="1"/>
    </xf>
    <xf numFmtId="0" fontId="43" fillId="15" borderId="30" xfId="0" applyFont="1" applyFill="1" applyBorder="1" applyAlignment="1">
      <alignment horizontal="left" textRotation="75" wrapText="1"/>
    </xf>
    <xf numFmtId="0" fontId="43" fillId="15" borderId="8" xfId="0" applyFont="1" applyFill="1" applyBorder="1" applyAlignment="1">
      <alignment horizontal="center" textRotation="75"/>
    </xf>
    <xf numFmtId="0" fontId="43" fillId="15" borderId="30" xfId="0" applyFont="1" applyFill="1" applyBorder="1" applyAlignment="1">
      <alignment horizontal="center" textRotation="75"/>
    </xf>
    <xf numFmtId="0" fontId="43" fillId="15" borderId="8" xfId="0" applyFont="1" applyFill="1" applyBorder="1" applyAlignment="1">
      <alignment horizontal="center" vertical="center" wrapText="1"/>
    </xf>
    <xf numFmtId="0" fontId="43" fillId="15" borderId="30" xfId="0" applyFont="1" applyFill="1" applyBorder="1" applyAlignment="1">
      <alignment horizontal="center" vertical="center" wrapText="1"/>
    </xf>
    <xf numFmtId="0" fontId="18" fillId="6" borderId="49" xfId="0" applyFont="1" applyFill="1" applyBorder="1" applyAlignment="1">
      <alignment horizontal="center" vertical="center" wrapText="1"/>
    </xf>
    <xf numFmtId="0" fontId="18" fillId="6" borderId="50" xfId="0" applyFont="1" applyFill="1" applyBorder="1" applyAlignment="1">
      <alignment horizontal="center" vertical="center" wrapText="1"/>
    </xf>
    <xf numFmtId="0" fontId="18" fillId="6" borderId="51" xfId="0" applyFont="1" applyFill="1" applyBorder="1" applyAlignment="1">
      <alignment horizontal="center" vertical="center" wrapText="1"/>
    </xf>
    <xf numFmtId="0" fontId="18" fillId="6" borderId="46" xfId="0" applyFont="1" applyFill="1" applyBorder="1" applyAlignment="1">
      <alignment horizontal="center" vertical="center" wrapText="1"/>
    </xf>
    <xf numFmtId="0" fontId="18" fillId="6" borderId="31" xfId="0" applyFont="1" applyFill="1" applyBorder="1" applyAlignment="1">
      <alignment horizontal="center" vertical="center" wrapText="1"/>
    </xf>
    <xf numFmtId="0" fontId="18" fillId="6" borderId="30" xfId="0" applyFont="1" applyFill="1" applyBorder="1" applyAlignment="1">
      <alignment horizontal="center" vertical="center" wrapText="1"/>
    </xf>
    <xf numFmtId="0" fontId="18" fillId="6" borderId="46" xfId="0" applyFont="1" applyFill="1" applyBorder="1" applyAlignment="1" applyProtection="1">
      <alignment horizontal="left" vertical="center" wrapText="1"/>
      <protection locked="0"/>
    </xf>
    <xf numFmtId="0" fontId="18" fillId="6" borderId="31" xfId="0" applyFont="1" applyFill="1" applyBorder="1" applyAlignment="1" applyProtection="1">
      <alignment horizontal="left" vertical="center" wrapText="1"/>
      <protection locked="0"/>
    </xf>
    <xf numFmtId="0" fontId="18" fillId="6" borderId="30" xfId="0" applyFont="1" applyFill="1" applyBorder="1" applyAlignment="1" applyProtection="1">
      <alignment horizontal="left" vertical="center" wrapText="1"/>
      <protection locked="0"/>
    </xf>
    <xf numFmtId="0" fontId="43" fillId="15" borderId="8" xfId="0" applyFont="1" applyFill="1" applyBorder="1" applyAlignment="1">
      <alignment horizontal="center" vertical="center" textRotation="75" wrapText="1"/>
    </xf>
    <xf numFmtId="0" fontId="43" fillId="15" borderId="30" xfId="0" applyFont="1" applyFill="1" applyBorder="1" applyAlignment="1">
      <alignment horizontal="center" vertical="center" textRotation="75" wrapText="1"/>
    </xf>
    <xf numFmtId="0" fontId="18" fillId="6" borderId="2" xfId="0" quotePrefix="1" applyFont="1" applyFill="1" applyBorder="1" applyAlignment="1" applyProtection="1">
      <alignment horizontal="left" vertical="top" wrapText="1"/>
      <protection locked="0"/>
    </xf>
    <xf numFmtId="0" fontId="18" fillId="6" borderId="11" xfId="0" quotePrefix="1" applyFont="1" applyFill="1" applyBorder="1" applyAlignment="1" applyProtection="1">
      <alignment horizontal="left" vertical="top" wrapText="1"/>
      <protection locked="0"/>
    </xf>
    <xf numFmtId="0" fontId="18" fillId="6" borderId="36" xfId="0" quotePrefix="1" applyFont="1" applyFill="1" applyBorder="1" applyAlignment="1" applyProtection="1">
      <alignment horizontal="left" vertical="top" wrapText="1"/>
      <protection locked="0"/>
    </xf>
    <xf numFmtId="0" fontId="18" fillId="6" borderId="27" xfId="0" quotePrefix="1" applyFont="1" applyFill="1" applyBorder="1" applyAlignment="1" applyProtection="1">
      <alignment horizontal="left" vertical="top" wrapText="1"/>
      <protection locked="0"/>
    </xf>
    <xf numFmtId="0" fontId="18" fillId="6" borderId="44" xfId="0" quotePrefix="1" applyFont="1" applyFill="1" applyBorder="1" applyAlignment="1" applyProtection="1">
      <alignment horizontal="left" vertical="top" wrapText="1"/>
      <protection locked="0"/>
    </xf>
    <xf numFmtId="0" fontId="18" fillId="6" borderId="45" xfId="0" quotePrefix="1" applyFont="1" applyFill="1" applyBorder="1" applyAlignment="1" applyProtection="1">
      <alignment horizontal="left" vertical="top" wrapText="1"/>
      <protection locked="0"/>
    </xf>
    <xf numFmtId="0" fontId="18" fillId="6" borderId="52" xfId="0" applyFont="1" applyFill="1" applyBorder="1" applyAlignment="1">
      <alignment horizontal="center" vertical="center"/>
    </xf>
    <xf numFmtId="0" fontId="18" fillId="6" borderId="53" xfId="0" applyFont="1" applyFill="1" applyBorder="1" applyAlignment="1">
      <alignment horizontal="center" vertical="center"/>
    </xf>
    <xf numFmtId="0" fontId="18" fillId="6" borderId="29" xfId="0" applyFont="1" applyFill="1" applyBorder="1" applyAlignment="1">
      <alignment horizontal="center" vertical="center"/>
    </xf>
    <xf numFmtId="0" fontId="18" fillId="6" borderId="28" xfId="0" quotePrefix="1" applyFont="1" applyFill="1" applyBorder="1" applyAlignment="1" applyProtection="1">
      <alignment horizontal="left" vertical="top" wrapText="1"/>
      <protection locked="0"/>
    </xf>
    <xf numFmtId="0" fontId="18" fillId="6" borderId="40" xfId="0" quotePrefix="1" applyFont="1" applyFill="1" applyBorder="1" applyAlignment="1" applyProtection="1">
      <alignment horizontal="left" vertical="top" wrapText="1"/>
      <protection locked="0"/>
    </xf>
    <xf numFmtId="0" fontId="18" fillId="6" borderId="43" xfId="0" quotePrefix="1" applyFont="1" applyFill="1" applyBorder="1" applyAlignment="1" applyProtection="1">
      <alignment horizontal="left" vertical="top" wrapText="1"/>
      <protection locked="0"/>
    </xf>
    <xf numFmtId="0" fontId="43" fillId="15" borderId="38" xfId="0" applyFont="1" applyFill="1" applyBorder="1" applyAlignment="1">
      <alignment horizontal="center" vertical="center"/>
    </xf>
    <xf numFmtId="0" fontId="43" fillId="15" borderId="47" xfId="0" applyFont="1" applyFill="1" applyBorder="1" applyAlignment="1">
      <alignment horizontal="center" vertical="center"/>
    </xf>
    <xf numFmtId="0" fontId="43" fillId="15" borderId="8" xfId="0" applyFont="1" applyFill="1" applyBorder="1" applyAlignment="1">
      <alignment horizontal="center" vertical="center" textRotation="45" wrapText="1"/>
    </xf>
    <xf numFmtId="0" fontId="43" fillId="15" borderId="30" xfId="0" applyFont="1" applyFill="1" applyBorder="1" applyAlignment="1">
      <alignment horizontal="center" vertical="center" textRotation="45" wrapText="1"/>
    </xf>
    <xf numFmtId="14" fontId="43" fillId="15" borderId="8" xfId="0" applyNumberFormat="1" applyFont="1" applyFill="1" applyBorder="1" applyAlignment="1">
      <alignment horizontal="center" vertical="center" wrapText="1"/>
    </xf>
    <xf numFmtId="14" fontId="43" fillId="15" borderId="30" xfId="0" applyNumberFormat="1" applyFont="1" applyFill="1" applyBorder="1" applyAlignment="1">
      <alignment horizontal="center" vertical="center" wrapText="1"/>
    </xf>
    <xf numFmtId="0" fontId="29" fillId="6" borderId="1" xfId="0" applyFont="1" applyFill="1" applyBorder="1" applyAlignment="1">
      <alignment horizontal="left" vertical="top" wrapText="1"/>
    </xf>
    <xf numFmtId="0" fontId="54" fillId="8" borderId="1" xfId="0" applyFont="1" applyFill="1" applyBorder="1" applyAlignment="1">
      <alignment horizontal="center" vertical="center"/>
    </xf>
    <xf numFmtId="0" fontId="54" fillId="8" borderId="1" xfId="0" applyFont="1" applyFill="1" applyBorder="1" applyAlignment="1">
      <alignment horizontal="center" vertical="center" wrapText="1"/>
    </xf>
    <xf numFmtId="0" fontId="0" fillId="0" borderId="7" xfId="0" applyBorder="1" applyAlignment="1">
      <alignment horizontal="center"/>
    </xf>
    <xf numFmtId="0" fontId="5" fillId="2" borderId="1" xfId="0" applyFont="1" applyFill="1" applyBorder="1" applyAlignment="1">
      <alignment horizontal="center"/>
    </xf>
  </cellXfs>
  <cellStyles count="3">
    <cellStyle name="Hyperkobling" xfId="2" builtinId="8"/>
    <cellStyle name="Normal" xfId="0" builtinId="0"/>
    <cellStyle name="Prosent" xfId="1" builtinId="5"/>
  </cellStyles>
  <dxfs count="244">
    <dxf>
      <numFmt numFmtId="164" formatCode="0%;\-0%;"/>
    </dxf>
    <dxf>
      <numFmt numFmtId="164" formatCode="0%;\-0%;"/>
    </dxf>
    <dxf>
      <numFmt numFmtId="164" formatCode="0%;\-0%;"/>
    </dxf>
    <dxf>
      <numFmt numFmtId="164" formatCode="0%;\-0%;"/>
    </dxf>
    <dxf>
      <numFmt numFmtId="164" formatCode="0%;\-0%;"/>
    </dxf>
    <dxf>
      <numFmt numFmtId="164" formatCode="0%;\-0%;"/>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val="0"/>
        <i val="0"/>
        <strike val="0"/>
        <condense val="0"/>
        <extend val="0"/>
        <outline val="0"/>
        <shadow val="0"/>
        <u val="none"/>
        <vertAlign val="baseline"/>
        <sz val="11"/>
        <color theme="1"/>
        <name val="Consolas"/>
        <family val="3"/>
        <scheme val="none"/>
      </font>
      <numFmt numFmtId="164" formatCode="0%;\-0%;"/>
    </dxf>
    <dxf>
      <numFmt numFmtId="164" formatCode="0%;\-0%;"/>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ont>
        <color auto="1"/>
      </font>
      <fill>
        <patternFill>
          <bgColor rgb="FFFFC000"/>
        </patternFill>
      </fill>
    </dxf>
    <dxf>
      <fill>
        <patternFill>
          <bgColor rgb="FFFF0000"/>
        </patternFill>
      </fill>
    </dxf>
    <dxf>
      <fill>
        <patternFill>
          <bgColor rgb="FF00B05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00B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ont>
        <b/>
        <i val="0"/>
        <color auto="1"/>
      </font>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ont>
        <b val="0"/>
        <i val="0"/>
        <color auto="1"/>
      </font>
    </dxf>
    <dxf>
      <fill>
        <patternFill>
          <bgColor theme="6"/>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ont>
        <color auto="1"/>
      </font>
      <fill>
        <patternFill>
          <bgColor rgb="FFFF0000"/>
        </patternFill>
      </fill>
    </dxf>
    <dxf>
      <font>
        <color auto="1"/>
      </font>
      <fill>
        <patternFill>
          <bgColor rgb="FFFFC000"/>
        </patternFill>
      </fill>
    </dxf>
    <dxf>
      <fill>
        <patternFill>
          <bgColor rgb="FFFFFF00"/>
        </patternFill>
      </fill>
    </dxf>
    <dxf>
      <fill>
        <patternFill>
          <bgColor rgb="FF92D050"/>
        </patternFill>
      </fill>
    </dxf>
    <dxf>
      <fill>
        <patternFill>
          <bgColor rgb="FF00B050"/>
        </patternFill>
      </fill>
    </dxf>
    <dxf>
      <font>
        <color auto="1"/>
      </font>
      <fill>
        <patternFill>
          <bgColor rgb="FFFF0000"/>
        </patternFill>
      </fill>
    </dxf>
    <dxf>
      <font>
        <color auto="1"/>
      </font>
      <fill>
        <patternFill>
          <bgColor rgb="FFFFC000"/>
        </patternFill>
      </fill>
    </dxf>
    <dxf>
      <fill>
        <patternFill>
          <bgColor rgb="FFFFFF00"/>
        </patternFill>
      </fill>
    </dxf>
    <dxf>
      <fill>
        <patternFill>
          <bgColor rgb="FF92D05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color auto="1"/>
      </font>
      <fill>
        <patternFill>
          <bgColor rgb="FFFF0000"/>
        </patternFill>
      </fill>
    </dxf>
    <dxf>
      <font>
        <color auto="1"/>
      </font>
      <fill>
        <patternFill>
          <bgColor rgb="FFFFC000"/>
        </patternFill>
      </fill>
    </dxf>
    <dxf>
      <font>
        <color auto="1"/>
      </font>
      <fill>
        <patternFill>
          <bgColor rgb="FFFFFF00"/>
        </patternFill>
      </fill>
    </dxf>
    <dxf>
      <font>
        <color auto="1"/>
      </font>
      <fill>
        <patternFill>
          <bgColor rgb="FF92D050"/>
        </patternFill>
      </fill>
    </dxf>
    <dxf>
      <fill>
        <patternFill>
          <bgColor rgb="FF00B050"/>
        </patternFill>
      </fill>
    </dxf>
    <dxf>
      <fill>
        <patternFill>
          <bgColor rgb="FF2A2859"/>
        </patternFill>
      </fill>
    </dxf>
    <dxf>
      <fill>
        <patternFill>
          <bgColor rgb="FFE2FBFF"/>
        </patternFill>
      </fill>
    </dxf>
    <dxf>
      <fill>
        <patternFill>
          <bgColor rgb="FFC5F6FF"/>
        </patternFill>
      </fill>
    </dxf>
    <dxf>
      <fill>
        <patternFill>
          <bgColor rgb="FF2A2859"/>
        </patternFill>
      </fill>
    </dxf>
  </dxfs>
  <tableStyles count="3" defaultTableStyle="TableStyleMedium2" defaultPivotStyle="PivotStyleLight16">
    <tableStyle name="Risikovurdering" pivot="0" count="3" xr9:uid="{074C5367-E6D1-49FE-874A-E58DFE42F452}">
      <tableStyleElement type="headerRow" dxfId="243"/>
      <tableStyleElement type="firstRowStripe" dxfId="242"/>
      <tableStyleElement type="secondRowStripe" dxfId="241"/>
    </tableStyle>
    <tableStyle name="Tabellstil 1" pivot="0" count="0" xr9:uid="{00000000-0011-0000-FFFF-FFFF00000000}"/>
    <tableStyle name="Tabellstil 2" pivot="0" count="1" xr9:uid="{A74C4813-5A60-45C0-8A35-400EB9FB0548}">
      <tableStyleElement type="headerRow" dxfId="240"/>
    </tableStyle>
  </tableStyles>
  <colors>
    <mruColors>
      <color rgb="FFEDFAFF"/>
      <color rgb="FFFFFAF0"/>
      <color rgb="FFF7F7FF"/>
      <color rgb="FFEBF3FF"/>
      <color rgb="FFF0F0FF"/>
      <color rgb="FFECEBFF"/>
      <color rgb="FF2A2859"/>
      <color rgb="FFE2FBFF"/>
      <color rgb="FFD5FDFA"/>
      <color rgb="FFC5F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Konfidensialitet</a:t>
            </a:r>
          </a:p>
        </c:rich>
      </c:tx>
      <c:layout>
        <c:manualLayout>
          <c:xMode val="edge"/>
          <c:yMode val="edge"/>
          <c:x val="0.67162503942107088"/>
          <c:y val="3.9216535433070868E-2"/>
        </c:manualLayout>
      </c:layout>
      <c:overlay val="0"/>
      <c:spPr>
        <a:noFill/>
        <a:ln>
          <a:noFill/>
        </a:ln>
        <a:effectLst/>
      </c:spPr>
    </c:title>
    <c:autoTitleDeleted val="0"/>
    <c:view3D>
      <c:rotX val="75"/>
      <c:hPercent val="5"/>
      <c:rotY val="0"/>
      <c:depthPercent val="20"/>
      <c:rAngAx val="1"/>
    </c:view3D>
    <c:floor>
      <c:thickness val="0"/>
    </c:floor>
    <c:sideWall>
      <c:thickness val="0"/>
      <c:spPr>
        <a:noFill/>
        <a:ln>
          <a:noFill/>
        </a:ln>
        <a:effectLst/>
      </c:spPr>
    </c:sideWall>
    <c:backWall>
      <c:thickness val="0"/>
      <c:spPr>
        <a:noFill/>
        <a:ln>
          <a:noFill/>
        </a:ln>
        <a:effectLst/>
      </c:spPr>
    </c:backWall>
    <c:plotArea>
      <c:layout>
        <c:manualLayout>
          <c:layoutTarget val="inner"/>
          <c:xMode val="edge"/>
          <c:yMode val="edge"/>
          <c:x val="0.12732980787008183"/>
          <c:y val="0.16843438320209975"/>
          <c:w val="0.46978674781535501"/>
          <c:h val="0.76779199475065618"/>
        </c:manualLayout>
      </c:layout>
      <c:pie3DChart>
        <c:varyColors val="1"/>
        <c:ser>
          <c:idx val="0"/>
          <c:order val="0"/>
          <c:dLbls>
            <c:spPr>
              <a:noFill/>
              <a:ln>
                <a:noFill/>
              </a:ln>
              <a:effectLst/>
            </c:spPr>
            <c:txPr>
              <a:bodyPr rot="0"/>
              <a:lstStyle/>
              <a:p>
                <a:pPr>
                  <a:defRPr/>
                </a:pPr>
                <a:endParaRPr lang="nb-NO"/>
              </a:p>
            </c:txPr>
            <c:dLblPos val="outEnd"/>
            <c:showLegendKey val="1"/>
            <c:showVal val="1"/>
            <c:showCatName val="0"/>
            <c:showSerName val="0"/>
            <c:showPercent val="0"/>
            <c:showBubbleSize val="0"/>
            <c:showLeaderLines val="1"/>
            <c:extLst>
              <c:ext xmlns:c15="http://schemas.microsoft.com/office/drawing/2012/chart" uri="{CE6537A1-D6FC-4f65-9D91-7224C49458BB}"/>
            </c:extLst>
          </c:dLbls>
          <c:cat>
            <c:strRef>
              <c:f>'Datasource 2'!$Q$3:$U$3</c:f>
              <c:strCache>
                <c:ptCount val="5"/>
                <c:pt idx="0">
                  <c:v>Ubetydelig</c:v>
                </c:pt>
                <c:pt idx="1">
                  <c:v>Lav</c:v>
                </c:pt>
                <c:pt idx="2">
                  <c:v>Moderat</c:v>
                </c:pt>
                <c:pt idx="3">
                  <c:v>Alvorlig</c:v>
                </c:pt>
                <c:pt idx="4">
                  <c:v>Svært alvorlig</c:v>
                </c:pt>
              </c:strCache>
            </c:strRef>
          </c:cat>
          <c:val>
            <c:numRef>
              <c:f>'Datasource 2'!$Q$4:$U$4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17-E85A-480E-8714-9A25070C4ED3}"/>
            </c:ext>
          </c:extLst>
        </c:ser>
        <c:dLbls>
          <c:dLblPos val="inEnd"/>
          <c:showLegendKey val="0"/>
          <c:showVal val="0"/>
          <c:showCatName val="0"/>
          <c:showSerName val="0"/>
          <c:showPercent val="1"/>
          <c:showBubbleSize val="0"/>
          <c:showLeaderLines val="1"/>
        </c:dLbls>
      </c:pie3DChart>
    </c:plotArea>
    <c:legend>
      <c:legendPos val="b"/>
      <c:layout>
        <c:manualLayout>
          <c:xMode val="edge"/>
          <c:yMode val="edge"/>
          <c:x val="0.69515833801762139"/>
          <c:y val="0.15828926086701692"/>
          <c:w val="0.28159548516359589"/>
          <c:h val="0.81982685267512923"/>
        </c:manualLayout>
      </c:layout>
      <c:overlay val="0"/>
      <c:spPr>
        <a:noFill/>
        <a:ln>
          <a:noFill/>
        </a:ln>
        <a:effectLst/>
      </c:spPr>
      <c:txPr>
        <a:bodyPr rot="0" vert="horz"/>
        <a:lstStyle/>
        <a:p>
          <a:pPr>
            <a:defRPr/>
          </a:pPr>
          <a:endParaRPr lang="nb-NO"/>
        </a:p>
      </c:txPr>
    </c:legend>
    <c:plotVisOnly val="1"/>
    <c:dispBlanksAs val="gap"/>
    <c:showDLblsOverMax val="0"/>
    <c:extLst/>
  </c:chart>
  <c:spPr>
    <a:effectLst>
      <a:outerShdw blurRad="50800" dist="50800" dir="4200000" algn="ctr" rotWithShape="0">
        <a:srgbClr val="000000">
          <a:alpha val="39000"/>
        </a:srgbClr>
      </a:outerShdw>
    </a:effectLst>
  </c:spPr>
  <c:txPr>
    <a:bodyPr/>
    <a:lstStyle/>
    <a:p>
      <a:pPr>
        <a:defRPr>
          <a:latin typeface="Oslo Sans Office" panose="02000000000000000000" pitchFamily="2" charset="0"/>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Integritet</a:t>
            </a:r>
          </a:p>
        </c:rich>
      </c:tx>
      <c:layout>
        <c:manualLayout>
          <c:xMode val="edge"/>
          <c:yMode val="edge"/>
          <c:x val="0.76443756949536168"/>
          <c:y val="4.6435735457022245E-2"/>
        </c:manualLayout>
      </c:layout>
      <c:overlay val="0"/>
      <c:spPr>
        <a:noFill/>
        <a:ln>
          <a:noFill/>
        </a:ln>
        <a:effectLst/>
      </c:spPr>
    </c:title>
    <c:autoTitleDeleted val="0"/>
    <c:view3D>
      <c:rotX val="75"/>
      <c:hPercent val="5"/>
      <c:rotY val="0"/>
      <c:depthPercent val="20"/>
      <c:rAngAx val="0"/>
    </c:view3D>
    <c:floor>
      <c:thickness val="0"/>
    </c:floor>
    <c:sideWall>
      <c:thickness val="0"/>
      <c:spPr>
        <a:noFill/>
        <a:ln>
          <a:noFill/>
        </a:ln>
        <a:effectLst/>
      </c:spPr>
    </c:sideWall>
    <c:backWall>
      <c:thickness val="0"/>
      <c:spPr>
        <a:noFill/>
        <a:ln>
          <a:noFill/>
        </a:ln>
        <a:effectLst/>
      </c:spPr>
    </c:backWall>
    <c:plotArea>
      <c:layout>
        <c:manualLayout>
          <c:layoutTarget val="inner"/>
          <c:xMode val="edge"/>
          <c:yMode val="edge"/>
          <c:x val="0.12732980787008183"/>
          <c:y val="0.16843438320209975"/>
          <c:w val="0.46978674781535501"/>
          <c:h val="0.76779199475065618"/>
        </c:manualLayout>
      </c:layout>
      <c:pie3DChart>
        <c:varyColors val="1"/>
        <c:ser>
          <c:idx val="0"/>
          <c:order val="0"/>
          <c:dLbls>
            <c:spPr>
              <a:noFill/>
              <a:ln>
                <a:noFill/>
              </a:ln>
              <a:effectLst/>
            </c:spPr>
            <c:dLblPos val="outEnd"/>
            <c:showLegendKey val="1"/>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ext>
            </c:extLst>
          </c:dLbls>
          <c:cat>
            <c:strRef>
              <c:f>'Datasource 2'!$Q$7:$U$7</c:f>
              <c:strCache>
                <c:ptCount val="5"/>
                <c:pt idx="0">
                  <c:v>Ubetydelig</c:v>
                </c:pt>
                <c:pt idx="1">
                  <c:v>Lav</c:v>
                </c:pt>
                <c:pt idx="2">
                  <c:v>Moderat</c:v>
                </c:pt>
                <c:pt idx="3">
                  <c:v>Alvorlig</c:v>
                </c:pt>
                <c:pt idx="4">
                  <c:v>Svært alvorlig</c:v>
                </c:pt>
              </c:strCache>
            </c:strRef>
          </c:cat>
          <c:val>
            <c:numRef>
              <c:f>'Datasource 2'!$Q$8:$U$8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B0A6-4D33-B2B9-02186CD5883C}"/>
            </c:ext>
          </c:extLst>
        </c:ser>
        <c:dLbls>
          <c:dLblPos val="inEnd"/>
          <c:showLegendKey val="0"/>
          <c:showVal val="0"/>
          <c:showCatName val="0"/>
          <c:showSerName val="0"/>
          <c:showPercent val="1"/>
          <c:showBubbleSize val="0"/>
          <c:showLeaderLines val="0"/>
        </c:dLbls>
      </c:pie3DChart>
    </c:plotArea>
    <c:legend>
      <c:legendPos val="b"/>
      <c:layout>
        <c:manualLayout>
          <c:xMode val="edge"/>
          <c:yMode val="edge"/>
          <c:x val="0.6887032210665176"/>
          <c:y val="0.18997144130747912"/>
          <c:w val="0.30838981803557403"/>
          <c:h val="0.79370336550136555"/>
        </c:manualLayout>
      </c:layout>
      <c:overlay val="0"/>
      <c:spPr>
        <a:noFill/>
        <a:ln>
          <a:noFill/>
        </a:ln>
        <a:effectLst/>
      </c:spPr>
      <c:txPr>
        <a:bodyPr rot="0" vert="horz"/>
        <a:lstStyle/>
        <a:p>
          <a:pPr>
            <a:defRPr/>
          </a:pPr>
          <a:endParaRPr lang="nb-NO"/>
        </a:p>
      </c:txPr>
    </c:legend>
    <c:plotVisOnly val="1"/>
    <c:dispBlanksAs val="gap"/>
    <c:showDLblsOverMax val="0"/>
    <c:extLst/>
  </c:chart>
  <c:txPr>
    <a:bodyPr/>
    <a:lstStyle/>
    <a:p>
      <a:pPr>
        <a:defRPr>
          <a:latin typeface="Oslo Sans Office" panose="02000000000000000000" pitchFamily="2" charset="0"/>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Tilgjengelighet</a:t>
            </a:r>
          </a:p>
        </c:rich>
      </c:tx>
      <c:layout>
        <c:manualLayout>
          <c:xMode val="edge"/>
          <c:yMode val="edge"/>
          <c:x val="0.67162503942107088"/>
          <c:y val="3.9216535433070868E-2"/>
        </c:manualLayout>
      </c:layout>
      <c:overlay val="0"/>
      <c:spPr>
        <a:noFill/>
        <a:ln>
          <a:noFill/>
        </a:ln>
        <a:effectLst/>
      </c:spPr>
    </c:title>
    <c:autoTitleDeleted val="0"/>
    <c:plotArea>
      <c:layout>
        <c:manualLayout>
          <c:layoutTarget val="inner"/>
          <c:xMode val="edge"/>
          <c:yMode val="edge"/>
          <c:x val="0.12732980787008183"/>
          <c:y val="0.16843438320209975"/>
          <c:w val="0.46978674781535501"/>
          <c:h val="0.76779199475065618"/>
        </c:manualLayout>
      </c:layout>
      <c:pieChart>
        <c:varyColors val="1"/>
        <c:ser>
          <c:idx val="0"/>
          <c:order val="0"/>
          <c:dLbls>
            <c:spPr>
              <a:noFill/>
              <a:ln>
                <a:noFill/>
              </a:ln>
              <a:effectLst/>
            </c:spPr>
            <c:dLblPos val="outEnd"/>
            <c:showLegendKey val="1"/>
            <c:showVal val="1"/>
            <c:showCatName val="0"/>
            <c:showSerName val="0"/>
            <c:showPercent val="0"/>
            <c:showBubbleSize val="0"/>
            <c:showLeaderLines val="0"/>
            <c:extLst>
              <c:ext xmlns:c15="http://schemas.microsoft.com/office/drawing/2012/chart" uri="{CE6537A1-D6FC-4f65-9D91-7224C49458BB}"/>
            </c:extLst>
          </c:dLbls>
          <c:cat>
            <c:strRef>
              <c:f>'Datasource 2'!$Q$11:$U$11</c:f>
              <c:strCache>
                <c:ptCount val="5"/>
                <c:pt idx="0">
                  <c:v>Ubetydelig</c:v>
                </c:pt>
                <c:pt idx="1">
                  <c:v>Lav</c:v>
                </c:pt>
                <c:pt idx="2">
                  <c:v>Moderat</c:v>
                </c:pt>
                <c:pt idx="3">
                  <c:v>Alvorlig</c:v>
                </c:pt>
                <c:pt idx="4">
                  <c:v>Svært alvorlig</c:v>
                </c:pt>
              </c:strCache>
            </c:strRef>
          </c:cat>
          <c:val>
            <c:numRef>
              <c:f>'Datasource 2'!$Q$12:$U$12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C231-464E-B371-EB07EDEC38EB}"/>
            </c:ext>
          </c:extLst>
        </c:ser>
        <c:dLbls>
          <c:dLblPos val="inEnd"/>
          <c:showLegendKey val="0"/>
          <c:showVal val="0"/>
          <c:showCatName val="0"/>
          <c:showSerName val="0"/>
          <c:showPercent val="1"/>
          <c:showBubbleSize val="0"/>
          <c:showLeaderLines val="0"/>
        </c:dLbls>
        <c:firstSliceAng val="0"/>
      </c:pieChart>
      <c:spPr>
        <a:noFill/>
        <a:ln>
          <a:noFill/>
        </a:ln>
        <a:effectLst/>
      </c:spPr>
    </c:plotArea>
    <c:legend>
      <c:legendPos val="b"/>
      <c:layout>
        <c:manualLayout>
          <c:xMode val="edge"/>
          <c:yMode val="edge"/>
          <c:x val="0.67275702854257902"/>
          <c:y val="0.16884765592513865"/>
          <c:w val="0.30120257846220688"/>
          <c:h val="0.82059045138369124"/>
        </c:manualLayout>
      </c:layout>
      <c:overlay val="0"/>
      <c:spPr>
        <a:noFill/>
        <a:ln>
          <a:noFill/>
        </a:ln>
        <a:effectLst/>
      </c:spPr>
      <c:txPr>
        <a:bodyPr rot="0" vert="horz"/>
        <a:lstStyle/>
        <a:p>
          <a:pPr rtl="0">
            <a:defRPr/>
          </a:pPr>
          <a:endParaRPr lang="nb-NO"/>
        </a:p>
      </c:txPr>
    </c:legend>
    <c:plotVisOnly val="1"/>
    <c:dispBlanksAs val="gap"/>
    <c:showDLblsOverMax val="0"/>
    <c:extLst/>
  </c:chart>
  <c:txPr>
    <a:bodyPr/>
    <a:lstStyle/>
    <a:p>
      <a:pPr>
        <a:defRPr>
          <a:latin typeface="Oslo Sans Office" panose="02000000000000000000" pitchFamily="2" charset="0"/>
        </a:defRPr>
      </a:pPr>
      <a:endParaRPr lang="nb-NO"/>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xdr:colOff>
          <xdr:row>0</xdr:row>
          <xdr:rowOff>0</xdr:rowOff>
        </xdr:from>
        <xdr:to>
          <xdr:col>19</xdr:col>
          <xdr:colOff>9525</xdr:colOff>
          <xdr:row>2</xdr:row>
          <xdr:rowOff>66675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Kopier forside til utklippstavle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1642533</xdr:colOff>
      <xdr:row>17</xdr:row>
      <xdr:rowOff>237066</xdr:rowOff>
    </xdr:from>
    <xdr:to>
      <xdr:col>1</xdr:col>
      <xdr:colOff>6375400</xdr:colOff>
      <xdr:row>23</xdr:row>
      <xdr:rowOff>76200</xdr:rowOff>
    </xdr:to>
    <xdr:sp macro="" textlink="">
      <xdr:nvSpPr>
        <xdr:cNvPr id="3" name="TekstSylinder 2">
          <a:extLst>
            <a:ext uri="{FF2B5EF4-FFF2-40B4-BE49-F238E27FC236}">
              <a16:creationId xmlns:a16="http://schemas.microsoft.com/office/drawing/2014/main" id="{00000000-0008-0000-0100-000003000000}"/>
            </a:ext>
          </a:extLst>
        </xdr:cNvPr>
        <xdr:cNvSpPr txBox="1"/>
      </xdr:nvSpPr>
      <xdr:spPr>
        <a:xfrm>
          <a:off x="1761066" y="4707466"/>
          <a:ext cx="4732867" cy="10583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100"/>
            <a:t>Låste celler kan låses opp ved å gå til "Se igjennom/Review" i verktøylinjen, og trykke "Opphev arkbeskyttelse / Protect Workbook"</a:t>
          </a:r>
        </a:p>
      </xdr:txBody>
    </xdr:sp>
    <xdr:clientData/>
  </xdr:twoCellAnchor>
  <xdr:twoCellAnchor editAs="oneCell">
    <xdr:from>
      <xdr:col>1</xdr:col>
      <xdr:colOff>0</xdr:colOff>
      <xdr:row>25</xdr:row>
      <xdr:rowOff>0</xdr:rowOff>
    </xdr:from>
    <xdr:to>
      <xdr:col>1</xdr:col>
      <xdr:colOff>6285715</xdr:colOff>
      <xdr:row>30</xdr:row>
      <xdr:rowOff>60179</xdr:rowOff>
    </xdr:to>
    <xdr:pic>
      <xdr:nvPicPr>
        <xdr:cNvPr id="4" name="Bild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23825" y="6343650"/>
          <a:ext cx="6285715" cy="1117454"/>
        </a:xfrm>
        <a:prstGeom prst="rect">
          <a:avLst/>
        </a:prstGeom>
      </xdr:spPr>
    </xdr:pic>
    <xdr:clientData/>
  </xdr:twoCellAnchor>
  <xdr:twoCellAnchor>
    <xdr:from>
      <xdr:col>1</xdr:col>
      <xdr:colOff>5395382</xdr:colOff>
      <xdr:row>27</xdr:row>
      <xdr:rowOff>65616</xdr:rowOff>
    </xdr:from>
    <xdr:to>
      <xdr:col>1</xdr:col>
      <xdr:colOff>6068483</xdr:colOff>
      <xdr:row>28</xdr:row>
      <xdr:rowOff>160866</xdr:rowOff>
    </xdr:to>
    <xdr:sp macro="" textlink="">
      <xdr:nvSpPr>
        <xdr:cNvPr id="5" name="Ellipse 4">
          <a:extLst>
            <a:ext uri="{FF2B5EF4-FFF2-40B4-BE49-F238E27FC236}">
              <a16:creationId xmlns:a16="http://schemas.microsoft.com/office/drawing/2014/main" id="{00000000-0008-0000-0100-000005000000}"/>
            </a:ext>
          </a:extLst>
        </xdr:cNvPr>
        <xdr:cNvSpPr/>
      </xdr:nvSpPr>
      <xdr:spPr>
        <a:xfrm>
          <a:off x="5513915" y="6872816"/>
          <a:ext cx="673101" cy="281517"/>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b-NO" sz="1100"/>
        </a:p>
      </xdr:txBody>
    </xdr:sp>
    <xdr:clientData/>
  </xdr:twoCellAnchor>
  <xdr:twoCellAnchor>
    <xdr:from>
      <xdr:col>1</xdr:col>
      <xdr:colOff>6542618</xdr:colOff>
      <xdr:row>25</xdr:row>
      <xdr:rowOff>127000</xdr:rowOff>
    </xdr:from>
    <xdr:to>
      <xdr:col>5</xdr:col>
      <xdr:colOff>433917</xdr:colOff>
      <xdr:row>33</xdr:row>
      <xdr:rowOff>8466</xdr:rowOff>
    </xdr:to>
    <xdr:sp macro="" textlink="">
      <xdr:nvSpPr>
        <xdr:cNvPr id="6" name="TekstSylinder 5">
          <a:extLst>
            <a:ext uri="{FF2B5EF4-FFF2-40B4-BE49-F238E27FC236}">
              <a16:creationId xmlns:a16="http://schemas.microsoft.com/office/drawing/2014/main" id="{00000000-0008-0000-0100-000006000000}"/>
            </a:ext>
          </a:extLst>
        </xdr:cNvPr>
        <xdr:cNvSpPr txBox="1"/>
      </xdr:nvSpPr>
      <xdr:spPr>
        <a:xfrm>
          <a:off x="6661151" y="6561667"/>
          <a:ext cx="3069166" cy="1371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b-NO" sz="1100">
              <a:latin typeface="Oslo Sans Office" panose="02000000000000000000" pitchFamily="2" charset="0"/>
            </a:rPr>
            <a:t>Midlertidig</a:t>
          </a:r>
          <a:r>
            <a:rPr lang="nb-NO" sz="1100" baseline="0">
              <a:latin typeface="Oslo Sans Office" panose="02000000000000000000" pitchFamily="2" charset="0"/>
            </a:rPr>
            <a:t> s</a:t>
          </a:r>
          <a:r>
            <a:rPr lang="nb-NO" sz="1100">
              <a:latin typeface="Oslo Sans Office" panose="02000000000000000000" pitchFamily="2" charset="0"/>
            </a:rPr>
            <a:t>kjuling</a:t>
          </a:r>
          <a:r>
            <a:rPr lang="nb-NO" sz="1100" baseline="0">
              <a:latin typeface="Oslo Sans Office" panose="02000000000000000000" pitchFamily="2" charset="0"/>
            </a:rPr>
            <a:t> av kolonner som man ikke benytter, kan gjøre det enklere å jobbe med risikoanalysearket. Overskriftene til kolonnene må vises for å kunne henholdsvis skjule og vise dem. </a:t>
          </a:r>
        </a:p>
        <a:p>
          <a:pPr marL="0" marR="0" indent="0" defTabSz="914400" eaLnBrk="1" fontAlgn="auto" latinLnBrk="0" hangingPunct="1">
            <a:lnSpc>
              <a:spcPct val="100000"/>
            </a:lnSpc>
            <a:spcBef>
              <a:spcPts val="0"/>
            </a:spcBef>
            <a:spcAft>
              <a:spcPts val="0"/>
            </a:spcAft>
            <a:buClrTx/>
            <a:buSzTx/>
            <a:buFontTx/>
            <a:buNone/>
            <a:tabLst/>
            <a:defRPr/>
          </a:pPr>
          <a:r>
            <a:rPr lang="nb-NO" sz="1100" baseline="0">
              <a:solidFill>
                <a:schemeClr val="dk1"/>
              </a:solidFill>
              <a:effectLst/>
              <a:latin typeface="Oslo Sans Office" panose="02000000000000000000" pitchFamily="2" charset="0"/>
              <a:ea typeface="+mn-ea"/>
              <a:cs typeface="+mn-cs"/>
            </a:rPr>
            <a:t>G</a:t>
          </a:r>
          <a:r>
            <a:rPr lang="nb-NO" sz="1100">
              <a:solidFill>
                <a:schemeClr val="dk1"/>
              </a:solidFill>
              <a:effectLst/>
              <a:latin typeface="Oslo Sans Office" panose="02000000000000000000" pitchFamily="2" charset="0"/>
              <a:ea typeface="+mn-ea"/>
              <a:cs typeface="+mn-cs"/>
            </a:rPr>
            <a:t>å til "Sideoppsett" i verktøylinjen, og huk</a:t>
          </a:r>
          <a:r>
            <a:rPr lang="nb-NO" sz="1100" baseline="0">
              <a:solidFill>
                <a:schemeClr val="dk1"/>
              </a:solidFill>
              <a:effectLst/>
              <a:latin typeface="Oslo Sans Office" panose="02000000000000000000" pitchFamily="2" charset="0"/>
              <a:ea typeface="+mn-ea"/>
              <a:cs typeface="+mn-cs"/>
            </a:rPr>
            <a:t> av</a:t>
          </a:r>
          <a:r>
            <a:rPr lang="nb-NO" sz="1100">
              <a:solidFill>
                <a:schemeClr val="dk1"/>
              </a:solidFill>
              <a:effectLst/>
              <a:latin typeface="Oslo Sans Office" panose="02000000000000000000" pitchFamily="2" charset="0"/>
              <a:ea typeface="+mn-ea"/>
              <a:cs typeface="+mn-cs"/>
            </a:rPr>
            <a:t> "Vis" overskrifter.</a:t>
          </a:r>
          <a:endParaRPr lang="nb-NO">
            <a:effectLst/>
            <a:latin typeface="Oslo Sans Office" panose="02000000000000000000" pitchFamily="2" charset="0"/>
          </a:endParaRPr>
        </a:p>
        <a:p>
          <a:endParaRPr lang="nb-NO" sz="1100">
            <a:latin typeface="Oslo Sans Office" panose="02000000000000000000" pitchFamily="2" charset="0"/>
          </a:endParaRPr>
        </a:p>
      </xdr:txBody>
    </xdr:sp>
    <xdr:clientData/>
  </xdr:twoCellAnchor>
  <xdr:twoCellAnchor editAs="oneCell">
    <xdr:from>
      <xdr:col>1</xdr:col>
      <xdr:colOff>0</xdr:colOff>
      <xdr:row>18</xdr:row>
      <xdr:rowOff>0</xdr:rowOff>
    </xdr:from>
    <xdr:to>
      <xdr:col>1</xdr:col>
      <xdr:colOff>1388534</xdr:colOff>
      <xdr:row>22</xdr:row>
      <xdr:rowOff>182751</xdr:rowOff>
    </xdr:to>
    <xdr:pic>
      <xdr:nvPicPr>
        <xdr:cNvPr id="8" name="Bild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118533" y="4758267"/>
          <a:ext cx="1388534" cy="10505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293915</xdr:colOff>
      <xdr:row>34</xdr:row>
      <xdr:rowOff>244473</xdr:rowOff>
    </xdr:from>
    <xdr:to>
      <xdr:col>1</xdr:col>
      <xdr:colOff>76203</xdr:colOff>
      <xdr:row>35</xdr:row>
      <xdr:rowOff>654048</xdr:rowOff>
    </xdr:to>
    <xdr:sp macro="" textlink="">
      <xdr:nvSpPr>
        <xdr:cNvPr id="2" name="TekstSylinder 1">
          <a:extLst>
            <a:ext uri="{FF2B5EF4-FFF2-40B4-BE49-F238E27FC236}">
              <a16:creationId xmlns:a16="http://schemas.microsoft.com/office/drawing/2014/main" id="{00000000-0008-0000-0200-000002000000}"/>
            </a:ext>
          </a:extLst>
        </xdr:cNvPr>
        <xdr:cNvSpPr txBox="1"/>
      </xdr:nvSpPr>
      <xdr:spPr>
        <a:xfrm rot="16200000">
          <a:off x="-226558" y="6392860"/>
          <a:ext cx="1345747" cy="3048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400" b="1"/>
            <a:t>Sannsynlighet</a:t>
          </a:r>
        </a:p>
      </xdr:txBody>
    </xdr:sp>
    <xdr:clientData/>
  </xdr:twoCellAnchor>
  <xdr:twoCellAnchor>
    <xdr:from>
      <xdr:col>4</xdr:col>
      <xdr:colOff>267758</xdr:colOff>
      <xdr:row>38</xdr:row>
      <xdr:rowOff>49741</xdr:rowOff>
    </xdr:from>
    <xdr:to>
      <xdr:col>5</xdr:col>
      <xdr:colOff>677333</xdr:colOff>
      <xdr:row>39</xdr:row>
      <xdr:rowOff>133350</xdr:rowOff>
    </xdr:to>
    <xdr:sp macro="" textlink="">
      <xdr:nvSpPr>
        <xdr:cNvPr id="3" name="TekstSylinder 2">
          <a:extLst>
            <a:ext uri="{FF2B5EF4-FFF2-40B4-BE49-F238E27FC236}">
              <a16:creationId xmlns:a16="http://schemas.microsoft.com/office/drawing/2014/main" id="{00000000-0008-0000-0200-000003000000}"/>
            </a:ext>
          </a:extLst>
        </xdr:cNvPr>
        <xdr:cNvSpPr txBox="1"/>
      </xdr:nvSpPr>
      <xdr:spPr>
        <a:xfrm>
          <a:off x="3201458" y="4412191"/>
          <a:ext cx="1381125" cy="2645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b-NO" sz="1400" b="1"/>
            <a:t>Konsekvens</a:t>
          </a:r>
        </a:p>
      </xdr:txBody>
    </xdr:sp>
    <xdr:clientData/>
  </xdr:twoCellAnchor>
  <xdr:twoCellAnchor>
    <xdr:from>
      <xdr:col>8</xdr:col>
      <xdr:colOff>677184</xdr:colOff>
      <xdr:row>3</xdr:row>
      <xdr:rowOff>132443</xdr:rowOff>
    </xdr:from>
    <xdr:to>
      <xdr:col>8</xdr:col>
      <xdr:colOff>1497240</xdr:colOff>
      <xdr:row>6</xdr:row>
      <xdr:rowOff>31296</xdr:rowOff>
    </xdr:to>
    <xdr:sp macro="" textlink="">
      <xdr:nvSpPr>
        <xdr:cNvPr id="15" name="Vinkeltegn 14">
          <a:extLst>
            <a:ext uri="{FF2B5EF4-FFF2-40B4-BE49-F238E27FC236}">
              <a16:creationId xmlns:a16="http://schemas.microsoft.com/office/drawing/2014/main" id="{00000000-0008-0000-0200-00000F000000}"/>
            </a:ext>
          </a:extLst>
        </xdr:cNvPr>
        <xdr:cNvSpPr/>
      </xdr:nvSpPr>
      <xdr:spPr>
        <a:xfrm rot="10800000">
          <a:off x="9392559" y="2199368"/>
          <a:ext cx="820056" cy="441778"/>
        </a:xfrm>
        <a:prstGeom prst="chevr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nb-NO" sz="1100">
            <a:solidFill>
              <a:schemeClr val="tx1"/>
            </a:solidFill>
          </a:endParaRPr>
        </a:p>
      </xdr:txBody>
    </xdr:sp>
    <xdr:clientData/>
  </xdr:twoCellAnchor>
  <xdr:twoCellAnchor>
    <xdr:from>
      <xdr:col>10</xdr:col>
      <xdr:colOff>293870</xdr:colOff>
      <xdr:row>13</xdr:row>
      <xdr:rowOff>499230</xdr:rowOff>
    </xdr:from>
    <xdr:to>
      <xdr:col>11</xdr:col>
      <xdr:colOff>317454</xdr:colOff>
      <xdr:row>14</xdr:row>
      <xdr:rowOff>286504</xdr:rowOff>
    </xdr:to>
    <xdr:sp macro="" textlink="">
      <xdr:nvSpPr>
        <xdr:cNvPr id="17" name="Vinkeltegn 16">
          <a:extLst>
            <a:ext uri="{FF2B5EF4-FFF2-40B4-BE49-F238E27FC236}">
              <a16:creationId xmlns:a16="http://schemas.microsoft.com/office/drawing/2014/main" id="{00000000-0008-0000-0200-000011000000}"/>
            </a:ext>
          </a:extLst>
        </xdr:cNvPr>
        <xdr:cNvSpPr/>
      </xdr:nvSpPr>
      <xdr:spPr>
        <a:xfrm rot="10800000">
          <a:off x="10518847" y="3635835"/>
          <a:ext cx="812165" cy="593576"/>
        </a:xfrm>
        <a:prstGeom prst="chevr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nb-NO" sz="1100">
            <a:solidFill>
              <a:schemeClr val="tx1"/>
            </a:solidFill>
          </a:endParaRPr>
        </a:p>
      </xdr:txBody>
    </xdr:sp>
    <xdr:clientData/>
  </xdr:twoCellAnchor>
  <xdr:twoCellAnchor>
    <xdr:from>
      <xdr:col>8</xdr:col>
      <xdr:colOff>572408</xdr:colOff>
      <xdr:row>34</xdr:row>
      <xdr:rowOff>219983</xdr:rowOff>
    </xdr:from>
    <xdr:to>
      <xdr:col>8</xdr:col>
      <xdr:colOff>1400175</xdr:colOff>
      <xdr:row>34</xdr:row>
      <xdr:rowOff>677182</xdr:rowOff>
    </xdr:to>
    <xdr:sp macro="" textlink="">
      <xdr:nvSpPr>
        <xdr:cNvPr id="19" name="Vinkeltegn 18">
          <a:extLst>
            <a:ext uri="{FF2B5EF4-FFF2-40B4-BE49-F238E27FC236}">
              <a16:creationId xmlns:a16="http://schemas.microsoft.com/office/drawing/2014/main" id="{00000000-0008-0000-0200-000013000000}"/>
            </a:ext>
          </a:extLst>
        </xdr:cNvPr>
        <xdr:cNvSpPr/>
      </xdr:nvSpPr>
      <xdr:spPr>
        <a:xfrm rot="10800000">
          <a:off x="9287783" y="14955158"/>
          <a:ext cx="827767" cy="457199"/>
        </a:xfrm>
        <a:prstGeom prst="chevr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nb-NO" sz="1100">
            <a:solidFill>
              <a:schemeClr val="tx1"/>
            </a:solidFill>
          </a:endParaRPr>
        </a:p>
      </xdr:txBody>
    </xdr:sp>
    <xdr:clientData/>
  </xdr:twoCellAnchor>
  <xdr:twoCellAnchor>
    <xdr:from>
      <xdr:col>11</xdr:col>
      <xdr:colOff>683831</xdr:colOff>
      <xdr:row>13</xdr:row>
      <xdr:rowOff>372175</xdr:rowOff>
    </xdr:from>
    <xdr:to>
      <xdr:col>13</xdr:col>
      <xdr:colOff>26582</xdr:colOff>
      <xdr:row>20</xdr:row>
      <xdr:rowOff>128320</xdr:rowOff>
    </xdr:to>
    <xdr:sp macro="" textlink="">
      <xdr:nvSpPr>
        <xdr:cNvPr id="14" name="TekstSylinder 13">
          <a:extLst>
            <a:ext uri="{FF2B5EF4-FFF2-40B4-BE49-F238E27FC236}">
              <a16:creationId xmlns:a16="http://schemas.microsoft.com/office/drawing/2014/main" id="{00000000-0008-0000-0200-00000E000000}"/>
            </a:ext>
          </a:extLst>
        </xdr:cNvPr>
        <xdr:cNvSpPr txBox="1"/>
      </xdr:nvSpPr>
      <xdr:spPr>
        <a:xfrm>
          <a:off x="11697389" y="3508780"/>
          <a:ext cx="2948960" cy="29902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400" baseline="0">
              <a:latin typeface="Oslo Sans Office" panose="02000000000000000000" pitchFamily="2" charset="0"/>
            </a:rPr>
            <a:t>Kriterier for hver kategori for konsekvens og sannsynlighet er definert her i</a:t>
          </a:r>
        </a:p>
        <a:p>
          <a:r>
            <a:rPr lang="nb-NO" sz="1400" baseline="0">
              <a:latin typeface="Oslo Sans Office" panose="02000000000000000000" pitchFamily="2" charset="0"/>
            </a:rPr>
            <a:t>- konsekvensmatrisen</a:t>
          </a:r>
        </a:p>
        <a:p>
          <a:r>
            <a:rPr lang="nb-NO" sz="1400" baseline="0">
              <a:latin typeface="Oslo Sans Office" panose="02000000000000000000" pitchFamily="2" charset="0"/>
            </a:rPr>
            <a:t>- sannsynlighetsmatrisen (nedenfor) </a:t>
          </a:r>
        </a:p>
        <a:p>
          <a:endParaRPr lang="nb-NO" sz="1600" baseline="0">
            <a:latin typeface="Oslo Sans Office" panose="02000000000000000000" pitchFamily="2" charset="0"/>
          </a:endParaRPr>
        </a:p>
      </xdr:txBody>
    </xdr:sp>
    <xdr:clientData/>
  </xdr:twoCellAnchor>
  <xdr:twoCellAnchor>
    <xdr:from>
      <xdr:col>10</xdr:col>
      <xdr:colOff>276226</xdr:colOff>
      <xdr:row>3</xdr:row>
      <xdr:rowOff>38100</xdr:rowOff>
    </xdr:from>
    <xdr:to>
      <xdr:col>11</xdr:col>
      <xdr:colOff>2735669</xdr:colOff>
      <xdr:row>7</xdr:row>
      <xdr:rowOff>27827</xdr:rowOff>
    </xdr:to>
    <xdr:sp macro="" textlink="">
      <xdr:nvSpPr>
        <xdr:cNvPr id="22" name="TekstSylinder 21">
          <a:extLst>
            <a:ext uri="{FF2B5EF4-FFF2-40B4-BE49-F238E27FC236}">
              <a16:creationId xmlns:a16="http://schemas.microsoft.com/office/drawing/2014/main" id="{00000000-0008-0000-0200-000016000000}"/>
            </a:ext>
          </a:extLst>
        </xdr:cNvPr>
        <xdr:cNvSpPr txBox="1"/>
      </xdr:nvSpPr>
      <xdr:spPr>
        <a:xfrm>
          <a:off x="10233174" y="625106"/>
          <a:ext cx="3223658" cy="7428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400">
              <a:latin typeface="Oslo Sans Office" panose="02000000000000000000" pitchFamily="2" charset="0"/>
            </a:rPr>
            <a:t>De ulike nivåene for sannsynlighet, konsekvens og risiko.</a:t>
          </a:r>
          <a:r>
            <a:rPr lang="nb-NO" sz="1400" baseline="0">
              <a:latin typeface="Oslo Sans Office" panose="02000000000000000000" pitchFamily="2" charset="0"/>
            </a:rPr>
            <a:t> </a:t>
          </a:r>
          <a:endParaRPr lang="nb-NO" sz="1400">
            <a:latin typeface="Oslo Sans Office" panose="02000000000000000000" pitchFamily="2" charset="0"/>
          </a:endParaRPr>
        </a:p>
      </xdr:txBody>
    </xdr:sp>
    <xdr:clientData/>
  </xdr:twoCellAnchor>
  <xdr:twoCellAnchor>
    <xdr:from>
      <xdr:col>9</xdr:col>
      <xdr:colOff>151341</xdr:colOff>
      <xdr:row>33</xdr:row>
      <xdr:rowOff>732367</xdr:rowOff>
    </xdr:from>
    <xdr:to>
      <xdr:col>12</xdr:col>
      <xdr:colOff>276286</xdr:colOff>
      <xdr:row>36</xdr:row>
      <xdr:rowOff>145179</xdr:rowOff>
    </xdr:to>
    <xdr:sp macro="" textlink="">
      <xdr:nvSpPr>
        <xdr:cNvPr id="23" name="TekstSylinder 22">
          <a:extLst>
            <a:ext uri="{FF2B5EF4-FFF2-40B4-BE49-F238E27FC236}">
              <a16:creationId xmlns:a16="http://schemas.microsoft.com/office/drawing/2014/main" id="{00000000-0008-0000-0200-000017000000}"/>
            </a:ext>
          </a:extLst>
        </xdr:cNvPr>
        <xdr:cNvSpPr txBox="1"/>
      </xdr:nvSpPr>
      <xdr:spPr>
        <a:xfrm>
          <a:off x="10175874" y="14126634"/>
          <a:ext cx="3943412" cy="22322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nb-NO" sz="1600">
            <a:solidFill>
              <a:schemeClr val="dk1"/>
            </a:solidFill>
            <a:latin typeface="Oslo Sans Office" panose="02000000000000000000" pitchFamily="2" charset="0"/>
            <a:ea typeface="+mn-ea"/>
            <a:cs typeface="+mn-cs"/>
          </a:endParaRPr>
        </a:p>
        <a:p>
          <a:r>
            <a:rPr lang="nb-NO" sz="1600">
              <a:solidFill>
                <a:schemeClr val="dk1"/>
              </a:solidFill>
              <a:latin typeface="Oslo Sans Office" panose="02000000000000000000" pitchFamily="2" charset="0"/>
              <a:ea typeface="+mn-ea"/>
              <a:cs typeface="+mn-cs"/>
            </a:rPr>
            <a:t>I regnearket ligger en standard matrise med 3 nivåer; rød, gul og grønn.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1179634</xdr:rowOff>
    </xdr:from>
    <xdr:to>
      <xdr:col>16</xdr:col>
      <xdr:colOff>105079</xdr:colOff>
      <xdr:row>13</xdr:row>
      <xdr:rowOff>118799</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13</xdr:row>
      <xdr:rowOff>114300</xdr:rowOff>
    </xdr:from>
    <xdr:to>
      <xdr:col>16</xdr:col>
      <xdr:colOff>103556</xdr:colOff>
      <xdr:row>26</xdr:row>
      <xdr:rowOff>42672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26</xdr:row>
      <xdr:rowOff>45427</xdr:rowOff>
    </xdr:from>
    <xdr:to>
      <xdr:col>16</xdr:col>
      <xdr:colOff>97400</xdr:colOff>
      <xdr:row>38</xdr:row>
      <xdr:rowOff>164299</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19050</xdr:colOff>
      <xdr:row>0</xdr:row>
      <xdr:rowOff>28575</xdr:rowOff>
    </xdr:from>
    <xdr:to>
      <xdr:col>14</xdr:col>
      <xdr:colOff>495300</xdr:colOff>
      <xdr:row>8</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0220325" y="28575"/>
          <a:ext cx="5353050" cy="14954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FF0000"/>
              </a:solidFill>
            </a:rPr>
            <a:t>Denne siden er forbeholdt</a:t>
          </a:r>
          <a:r>
            <a:rPr lang="en-US" sz="1800" b="1" baseline="0">
              <a:solidFill>
                <a:srgbClr val="FF0000"/>
              </a:solidFill>
            </a:rPr>
            <a:t> tiltaksliste-data. All endring av denne siden vil med stor sannsynlighet resultere i at tiltaksliste-makroen slutter å fungere.</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85725</xdr:colOff>
          <xdr:row>0</xdr:row>
          <xdr:rowOff>47625</xdr:rowOff>
        </xdr:from>
        <xdr:to>
          <xdr:col>7</xdr:col>
          <xdr:colOff>619125</xdr:colOff>
          <xdr:row>1</xdr:row>
          <xdr:rowOff>85725</xdr:rowOff>
        </xdr:to>
        <xdr:sp macro="" textlink="">
          <xdr:nvSpPr>
            <xdr:cNvPr id="17409" name="Button 1" descr="Update action list"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Oppdater listen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695325</xdr:colOff>
          <xdr:row>0</xdr:row>
          <xdr:rowOff>47625</xdr:rowOff>
        </xdr:from>
        <xdr:to>
          <xdr:col>9</xdr:col>
          <xdr:colOff>428625</xdr:colOff>
          <xdr:row>1</xdr:row>
          <xdr:rowOff>85725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A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Lag en kopi av listen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904878</xdr:colOff>
      <xdr:row>15</xdr:row>
      <xdr:rowOff>215712</xdr:rowOff>
    </xdr:from>
    <xdr:to>
      <xdr:col>0</xdr:col>
      <xdr:colOff>1329393</xdr:colOff>
      <xdr:row>17</xdr:row>
      <xdr:rowOff>650878</xdr:rowOff>
    </xdr:to>
    <xdr:sp macro="" textlink="" fLocksText="0">
      <xdr:nvSpPr>
        <xdr:cNvPr id="4" name="TekstSylinder 3">
          <a:extLst>
            <a:ext uri="{FF2B5EF4-FFF2-40B4-BE49-F238E27FC236}">
              <a16:creationId xmlns:a16="http://schemas.microsoft.com/office/drawing/2014/main" id="{00000000-0008-0000-0B00-000004000000}"/>
            </a:ext>
          </a:extLst>
        </xdr:cNvPr>
        <xdr:cNvSpPr txBox="1"/>
      </xdr:nvSpPr>
      <xdr:spPr>
        <a:xfrm rot="16200000">
          <a:off x="58178" y="7491787"/>
          <a:ext cx="2117916" cy="42451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800" b="1">
              <a:latin typeface="Oslo Sans Office" panose="02000000000000000000" pitchFamily="2" charset="0"/>
            </a:rPr>
            <a:t>Sannsynlighet</a:t>
          </a:r>
          <a:endParaRPr lang="nb-NO" sz="1400" b="1">
            <a:latin typeface="Oslo Sans Office" panose="02000000000000000000" pitchFamily="2" charset="0"/>
          </a:endParaRPr>
        </a:p>
      </xdr:txBody>
    </xdr:sp>
    <xdr:clientData/>
  </xdr:twoCellAnchor>
  <mc:AlternateContent xmlns:mc="http://schemas.openxmlformats.org/markup-compatibility/2006">
    <mc:Choice xmlns:a14="http://schemas.microsoft.com/office/drawing/2010/main" Requires="a14">
      <xdr:twoCellAnchor editAs="absolute">
        <xdr:from>
          <xdr:col>1</xdr:col>
          <xdr:colOff>228600</xdr:colOff>
          <xdr:row>23</xdr:row>
          <xdr:rowOff>581025</xdr:rowOff>
        </xdr:from>
        <xdr:to>
          <xdr:col>5</xdr:col>
          <xdr:colOff>466725</xdr:colOff>
          <xdr:row>25</xdr:row>
          <xdr:rowOff>342900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B00-000002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600" b="0" i="0" u="none" strike="noStrike" baseline="0">
                  <a:solidFill>
                    <a:srgbClr val="000000"/>
                  </a:solidFill>
                  <a:latin typeface="Calibri"/>
                  <a:cs typeface="Calibri"/>
                </a:rPr>
                <a:t>Kopiere risikomatrise til utklippstavle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742950</xdr:colOff>
          <xdr:row>23</xdr:row>
          <xdr:rowOff>600075</xdr:rowOff>
        </xdr:from>
        <xdr:to>
          <xdr:col>7</xdr:col>
          <xdr:colOff>1381125</xdr:colOff>
          <xdr:row>25</xdr:row>
          <xdr:rowOff>361950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B00-000003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b-NO" sz="1600" b="0" i="0" u="none" strike="noStrike" baseline="0">
                  <a:solidFill>
                    <a:srgbClr val="000000"/>
                  </a:solidFill>
                  <a:latin typeface="Calibri"/>
                  <a:cs typeface="Calibri"/>
                </a:rPr>
                <a:t>Kopiere tabell til utklippstavle</a:t>
              </a:r>
            </a:p>
          </xdr:txBody>
        </xdr:sp>
        <xdr:clientData fPrintsWithSheet="0"/>
      </xdr:twoCellAnchor>
    </mc:Choice>
    <mc:Fallback/>
  </mc:AlternateContent>
  <xdr:twoCellAnchor>
    <xdr:from>
      <xdr:col>0</xdr:col>
      <xdr:colOff>857250</xdr:colOff>
      <xdr:row>3</xdr:row>
      <xdr:rowOff>825500</xdr:rowOff>
    </xdr:from>
    <xdr:to>
      <xdr:col>0</xdr:col>
      <xdr:colOff>1281765</xdr:colOff>
      <xdr:row>6</xdr:row>
      <xdr:rowOff>419291</xdr:rowOff>
    </xdr:to>
    <xdr:sp macro="" textlink="" fLocksText="0">
      <xdr:nvSpPr>
        <xdr:cNvPr id="3" name="TekstSylinder 2">
          <a:extLst>
            <a:ext uri="{FF2B5EF4-FFF2-40B4-BE49-F238E27FC236}">
              <a16:creationId xmlns:a16="http://schemas.microsoft.com/office/drawing/2014/main" id="{00000000-0008-0000-0B00-000003000000}"/>
            </a:ext>
          </a:extLst>
        </xdr:cNvPr>
        <xdr:cNvSpPr txBox="1"/>
      </xdr:nvSpPr>
      <xdr:spPr>
        <a:xfrm rot="16200000">
          <a:off x="10550" y="2227825"/>
          <a:ext cx="2117916" cy="42451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800" b="1">
              <a:latin typeface="Oslo Sans Office" panose="02000000000000000000" pitchFamily="2" charset="0"/>
            </a:rPr>
            <a:t>Sannsynlighet</a:t>
          </a:r>
          <a:endParaRPr lang="nb-NO" sz="1400" b="1">
            <a:latin typeface="Oslo Sans Office" panose="02000000000000000000" pitchFamily="2"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1790700</xdr:colOff>
          <xdr:row>0</xdr:row>
          <xdr:rowOff>47625</xdr:rowOff>
        </xdr:from>
        <xdr:to>
          <xdr:col>7</xdr:col>
          <xdr:colOff>342900</xdr:colOff>
          <xdr:row>1</xdr:row>
          <xdr:rowOff>133350</xdr:rowOff>
        </xdr:to>
        <xdr:sp macro="" textlink="">
          <xdr:nvSpPr>
            <xdr:cNvPr id="31754" name="Button 10" descr="Update action list" hidden="1">
              <a:extLst>
                <a:ext uri="{63B3BB69-23CF-44E3-9099-C40C66FF867C}">
                  <a14:compatExt spid="_x0000_s31754"/>
                </a:ext>
                <a:ext uri="{FF2B5EF4-FFF2-40B4-BE49-F238E27FC236}">
                  <a16:creationId xmlns:a16="http://schemas.microsoft.com/office/drawing/2014/main" id="{00000000-0008-0000-0C00-00000A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Oppdater listen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133350</xdr:colOff>
      <xdr:row>4</xdr:row>
      <xdr:rowOff>333375</xdr:rowOff>
    </xdr:from>
    <xdr:to>
      <xdr:col>16</xdr:col>
      <xdr:colOff>180975</xdr:colOff>
      <xdr:row>7</xdr:row>
      <xdr:rowOff>581025</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11582400" y="1095375"/>
          <a:ext cx="5534025" cy="25336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400" b="1">
              <a:solidFill>
                <a:srgbClr val="FF0000"/>
              </a:solidFill>
              <a:effectLst/>
              <a:latin typeface="+mn-lt"/>
              <a:ea typeface="+mn-ea"/>
              <a:cs typeface="+mn-cs"/>
            </a:rPr>
            <a:t>Denne siden er forbeholdt</a:t>
          </a:r>
          <a:r>
            <a:rPr lang="en-US" sz="2400" b="1" baseline="0">
              <a:solidFill>
                <a:srgbClr val="FF0000"/>
              </a:solidFill>
              <a:effectLst/>
              <a:latin typeface="+mn-lt"/>
              <a:ea typeface="+mn-ea"/>
              <a:cs typeface="+mn-cs"/>
            </a:rPr>
            <a:t> Risikomatrisetabell. All endring av denne siden vil med stor sannsynlighet resultere i at Utklipps-makroen slutter å fungere.</a:t>
          </a:r>
          <a:endParaRPr lang="en-US" sz="2400">
            <a:solidFill>
              <a:srgbClr val="FF0000"/>
            </a:solidFill>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581025</xdr:colOff>
      <xdr:row>6</xdr:row>
      <xdr:rowOff>76200</xdr:rowOff>
    </xdr:from>
    <xdr:to>
      <xdr:col>7</xdr:col>
      <xdr:colOff>19567</xdr:colOff>
      <xdr:row>10</xdr:row>
      <xdr:rowOff>181096</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581025" y="1219200"/>
          <a:ext cx="3705742" cy="86689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teria.sharepoint.com/sites/Sykehjemsetaten-risikovurderingavJoin/Shared%20Documents/General/Risikovurdering%20join.nhn.no%2024.02.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iledning"/>
      <sheetName val="Akseptkriterier"/>
      <sheetName val="Verdivurdering"/>
      <sheetName val="Konsekvens av nedetid"/>
      <sheetName val="Trusselvurdering"/>
      <sheetName val="Sårbarheter"/>
      <sheetName val="Risikoanalyse"/>
      <sheetName val="Risikovurdering_data"/>
      <sheetName val="datakilder2"/>
      <sheetName val="Tiltaksliste"/>
      <sheetName val="matrise"/>
      <sheetName val="Endringslogg SYE"/>
      <sheetName val="Endringslog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9CE603-CB98-49D7-A0FC-E02EE773C147}" name="Table1" displayName="Table1" ref="A15:A20" totalsRowShown="0">
  <autoFilter ref="A15:A20" xr:uid="{439CE603-CB98-49D7-A0FC-E02EE773C147}"/>
  <tableColumns count="1">
    <tableColumn id="1" xr3:uid="{B017D734-3747-4DAE-8678-8F64D1F2270B}" name="Nedtrekksfel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212252-F928-4C4D-94B0-5195FC0B4C5E}" name="Table2" displayName="Table2" ref="G14:G20" totalsRowShown="0">
  <autoFilter ref="G14:G20" xr:uid="{5F212252-F928-4C4D-94B0-5195FC0B4C5E}"/>
  <tableColumns count="1">
    <tableColumn id="1" xr3:uid="{EFC6BEF1-9E62-407F-B87C-0AEF9F509A20}" name="Risik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E6AF71-68D8-452D-8123-DCAFA148CA40}" name="Table3" displayName="Table3" ref="R3:U4" totalsRowShown="0" dataDxfId="19">
  <autoFilter ref="R3:U4" xr:uid="{97E6AF71-68D8-452D-8123-DCAFA148CA40}"/>
  <tableColumns count="4">
    <tableColumn id="1" xr3:uid="{FE6E55F7-284C-423F-86A8-C99AAA026E87}" name="Lav" dataDxfId="18">
      <calculatedColumnFormula>COUNTIF(Verdivurdering!D2:D1000,"Lav")/R20</calculatedColumnFormula>
    </tableColumn>
    <tableColumn id="2" xr3:uid="{A774DB02-B100-47B8-B7BA-CD252FB52453}" name="Moderat" dataDxfId="17">
      <calculatedColumnFormula>COUNTIF(Verdivurdering!D2:D1000,"Moderat")/R20</calculatedColumnFormula>
    </tableColumn>
    <tableColumn id="3" xr3:uid="{E9FA7D56-7BDD-4E2B-938F-D56D6391A024}" name="Alvorlig" dataDxfId="16">
      <calculatedColumnFormula>COUNTIF(Verdivurdering!D2:D1000,"Alvorlig")/R20</calculatedColumnFormula>
    </tableColumn>
    <tableColumn id="4" xr3:uid="{72E03990-28D3-470E-93A7-E86E64F1AA2E}" name="Svært alvorlig" dataDxfId="15">
      <calculatedColumnFormula>COUNTIF(Verdivurdering!D2:D1000,"Svært alvorlig")/R20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7D552F-7099-4F35-A921-82550AC6545E}" name="Table4" displayName="Table4" ref="R7:U8" totalsRowShown="0" dataDxfId="14">
  <autoFilter ref="R7:U8" xr:uid="{EE7D552F-7099-4F35-A921-82550AC6545E}"/>
  <tableColumns count="4">
    <tableColumn id="1" xr3:uid="{9826214D-233F-4296-B1BA-45C1C28447C4}" name="Lav" dataDxfId="13">
      <calculatedColumnFormula>COUNTIF(Verdivurdering!E2:E1000,"Lav")/R21</calculatedColumnFormula>
    </tableColumn>
    <tableColumn id="2" xr3:uid="{B28B3734-4F7C-42B6-A320-2277AD863392}" name="Moderat" dataDxfId="12">
      <calculatedColumnFormula>COUNTIF(Verdivurdering!E2:E1000,"Moderat")/R21</calculatedColumnFormula>
    </tableColumn>
    <tableColumn id="3" xr3:uid="{E8357D3B-F48F-4367-8B41-F75EBFCC48E5}" name="Alvorlig" dataDxfId="11">
      <calculatedColumnFormula>COUNTIF(Verdivurdering!E2:E1000,"Alvorlig")/R21</calculatedColumnFormula>
    </tableColumn>
    <tableColumn id="4" xr3:uid="{F9086DCC-8767-4E1C-95CA-2EEBBF370637}" name="Svært alvorlig" dataDxfId="10">
      <calculatedColumnFormula>COUNTIF(Verdivurdering!E2:E1000,"Svært alvorlig")/R21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87CDE96-BE52-44CF-B140-87ACD0C710C4}" name="Table5" displayName="Table5" ref="R11:U13" totalsRowShown="0">
  <autoFilter ref="R11:U13" xr:uid="{387CDE96-BE52-44CF-B140-87ACD0C710C4}"/>
  <tableColumns count="4">
    <tableColumn id="1" xr3:uid="{C6C7F416-5456-4CBC-9F91-7D7F69F11868}" name="Lav" dataDxfId="9">
      <calculatedColumnFormula>COUNTIF(Verdivurdering!F2:F1000,"Lav")/R22</calculatedColumnFormula>
    </tableColumn>
    <tableColumn id="2" xr3:uid="{6BFF2065-2B8A-45FB-B3A2-B09A8F623A11}" name="Moderat" dataDxfId="8">
      <calculatedColumnFormula>COUNTIF(Verdivurdering!F2:F1000,"Moderat")/R22</calculatedColumnFormula>
    </tableColumn>
    <tableColumn id="3" xr3:uid="{A91F9E6C-92B1-437F-B775-3ED6F455BD32}" name="Alvorlig" dataDxfId="7">
      <calculatedColumnFormula>COUNTIF(Verdivurdering!F2:F1000,"Alvorlig")/R22</calculatedColumnFormula>
    </tableColumn>
    <tableColumn id="4" xr3:uid="{866F5970-B394-4AF6-A2A0-A50A9957E6FC}" name="Svært alvorlig" dataDxfId="6">
      <calculatedColumnFormula>COUNTIF(Verdivurdering!F2:F1000,"Svært alvorlig")/R22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FC2D57F-F13C-416E-B852-6E8EE6EB19C0}" name="Table6" displayName="Table6" ref="B8:B14" totalsRowShown="0">
  <autoFilter ref="B8:B14" xr:uid="{0FC2D57F-F13C-416E-B852-6E8EE6EB19C0}"/>
  <tableColumns count="1">
    <tableColumn id="1" xr3:uid="{84E2C1ED-9159-4880-94DE-AB4698389BE9}" name="Sårbarhetsnivå"/>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3DFEFD-E7FE-4814-BFDC-3C5E283410D8}" name="Table7" displayName="Table7" ref="Q3:Q4" totalsRowShown="0" dataDxfId="5">
  <autoFilter ref="Q3:Q4" xr:uid="{703DFEFD-E7FE-4814-BFDC-3C5E283410D8}"/>
  <tableColumns count="1">
    <tableColumn id="1" xr3:uid="{EC45F505-34AE-4019-972E-5BD77A241D5E}" name="Ubetydelig" dataDxfId="4">
      <calculatedColumnFormula>COUNTIF(Verdivurdering!D2:D1000,"Ubetydelig")/R20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833245-5855-45CD-9C25-F8E0265877C4}" name="Table9" displayName="Table9" ref="Q7:Q8" totalsRowShown="0" dataDxfId="3">
  <autoFilter ref="Q7:Q8" xr:uid="{C2833245-5855-45CD-9C25-F8E0265877C4}"/>
  <tableColumns count="1">
    <tableColumn id="1" xr3:uid="{ADD5AFE4-710E-4E69-A8AE-C434D4E033F9}" name="Ubetydelig" dataDxfId="2">
      <calculatedColumnFormula>COUNTIF(Verdivurdering!E2:E1000,"Ubetydelig")/R21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73035F-7A98-4A08-83F4-AD6252F720DE}" name="Table10" displayName="Table10" ref="Q11:Q12" totalsRowShown="0" dataDxfId="1">
  <autoFilter ref="Q11:Q12" xr:uid="{9D73035F-7A98-4A08-83F4-AD6252F720DE}"/>
  <tableColumns count="1">
    <tableColumn id="1" xr3:uid="{A6388879-8003-46CC-BD3D-7A2B01400D6A}" name="Ubetydelig" dataDxfId="0">
      <calculatedColumnFormula>COUNTIF(Verdivurdering!F2:F1000,"Ubetydelig")/R22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1">
      <a:dk1>
        <a:sysClr val="windowText" lastClr="000000"/>
      </a:dk1>
      <a:lt1>
        <a:sysClr val="window" lastClr="FFFFFF"/>
      </a:lt1>
      <a:dk2>
        <a:srgbClr val="1F497D"/>
      </a:dk2>
      <a:lt2>
        <a:srgbClr val="EEECE1"/>
      </a:lt2>
      <a:accent1>
        <a:srgbClr val="00B050"/>
      </a:accent1>
      <a:accent2>
        <a:srgbClr val="92D050"/>
      </a:accent2>
      <a:accent3>
        <a:srgbClr val="FFFF00"/>
      </a:accent3>
      <a:accent4>
        <a:srgbClr val="FFC000"/>
      </a:accent4>
      <a:accent5>
        <a:srgbClr val="FF0000"/>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elles.intranett.oslo.kommune.no/informasjonssikkerhet-og-personvern/informasjonssikkerhet/risikostyrin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6.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A196B-BD39-48B5-849D-77D946A2515A}">
  <sheetPr codeName="Sheet3">
    <tabColor rgb="FFFF8274"/>
    <pageSetUpPr fitToPage="1"/>
  </sheetPr>
  <dimension ref="A1:U60"/>
  <sheetViews>
    <sheetView showRowColHeaders="0" tabSelected="1" zoomScale="90" zoomScaleNormal="90" workbookViewId="0"/>
  </sheetViews>
  <sheetFormatPr baseColWidth="10" defaultColWidth="9.140625" defaultRowHeight="15" x14ac:dyDescent="0.25"/>
  <cols>
    <col min="1" max="1" width="2.85546875" style="54" customWidth="1"/>
    <col min="2" max="12" width="9.140625" style="54"/>
    <col min="13" max="13" width="12" style="54" bestFit="1" customWidth="1"/>
    <col min="14" max="15" width="9.140625" style="54"/>
    <col min="16" max="16" width="11.5703125" style="54" bestFit="1" customWidth="1"/>
    <col min="17" max="17" width="0.28515625" style="54" customWidth="1"/>
    <col min="18" max="16384" width="9.140625" style="54"/>
  </cols>
  <sheetData>
    <row r="1" spans="1:21" ht="17.25" x14ac:dyDescent="0.35">
      <c r="A1" s="65"/>
      <c r="B1" s="65" t="s">
        <v>369</v>
      </c>
      <c r="C1" s="65"/>
      <c r="D1" s="65"/>
      <c r="E1" s="65"/>
      <c r="F1" s="65"/>
      <c r="G1" s="65"/>
      <c r="H1" s="65"/>
      <c r="I1" s="65"/>
      <c r="J1" s="65"/>
      <c r="K1" s="65"/>
      <c r="L1" s="65"/>
      <c r="M1" s="65"/>
      <c r="N1" s="65"/>
      <c r="O1" s="65"/>
      <c r="P1" s="66"/>
      <c r="Q1" s="67"/>
      <c r="R1" s="68"/>
      <c r="S1" s="69"/>
      <c r="T1" s="69"/>
      <c r="U1" s="69"/>
    </row>
    <row r="2" spans="1:21" ht="17.25" x14ac:dyDescent="0.35">
      <c r="A2" s="65"/>
      <c r="B2" s="65"/>
      <c r="C2" s="65"/>
      <c r="D2" s="65"/>
      <c r="E2" s="65"/>
      <c r="F2" s="65"/>
      <c r="G2" s="65"/>
      <c r="H2" s="65"/>
      <c r="I2" s="65"/>
      <c r="J2" s="65"/>
      <c r="K2" s="65"/>
      <c r="L2" s="65"/>
      <c r="M2" s="65"/>
      <c r="N2" s="65"/>
      <c r="O2" s="65"/>
      <c r="P2" s="66"/>
      <c r="Q2" s="67"/>
      <c r="R2" s="68"/>
      <c r="S2" s="69"/>
      <c r="T2" s="69"/>
      <c r="U2" s="69"/>
    </row>
    <row r="3" spans="1:21" ht="30.6" customHeight="1" x14ac:dyDescent="0.35">
      <c r="A3" s="65"/>
      <c r="B3" s="70" t="s">
        <v>338</v>
      </c>
      <c r="C3" s="65"/>
      <c r="D3" s="65"/>
      <c r="E3" s="65"/>
      <c r="F3" s="65"/>
      <c r="G3" s="65"/>
      <c r="H3" s="65"/>
      <c r="I3" s="65"/>
      <c r="J3" s="65"/>
      <c r="K3" s="65"/>
      <c r="L3" s="65"/>
      <c r="M3" s="65"/>
      <c r="N3" s="65"/>
      <c r="O3" s="65"/>
      <c r="P3" s="66"/>
      <c r="Q3" s="67">
        <v>1321321</v>
      </c>
      <c r="R3" s="68"/>
      <c r="S3" s="69"/>
      <c r="T3" s="69"/>
      <c r="U3" s="69"/>
    </row>
    <row r="4" spans="1:21" ht="17.25" x14ac:dyDescent="0.35">
      <c r="A4" s="65"/>
      <c r="B4" s="68" t="s">
        <v>324</v>
      </c>
      <c r="C4" s="65"/>
      <c r="D4" s="65"/>
      <c r="E4" s="65"/>
      <c r="F4" s="65"/>
      <c r="G4" s="65"/>
      <c r="H4" s="65"/>
      <c r="I4" s="65"/>
      <c r="J4" s="65"/>
      <c r="K4" s="65"/>
      <c r="L4" s="65"/>
      <c r="M4" s="65"/>
      <c r="N4" s="65"/>
      <c r="O4" s="65"/>
      <c r="P4" s="66"/>
      <c r="Q4" s="67"/>
      <c r="R4" s="68"/>
      <c r="S4" s="69"/>
      <c r="T4" s="69"/>
      <c r="U4" s="69"/>
    </row>
    <row r="5" spans="1:21" ht="17.25" x14ac:dyDescent="0.35">
      <c r="A5" s="65"/>
      <c r="B5" s="68" t="s">
        <v>325</v>
      </c>
      <c r="C5" s="65"/>
      <c r="D5" s="65"/>
      <c r="E5" s="65"/>
      <c r="F5" s="65"/>
      <c r="G5" s="65"/>
      <c r="H5" s="65"/>
      <c r="I5" s="65"/>
      <c r="J5" s="65"/>
      <c r="K5" s="65"/>
      <c r="L5" s="65"/>
      <c r="M5" s="65"/>
      <c r="N5" s="65"/>
      <c r="O5" s="65"/>
      <c r="P5" s="66"/>
      <c r="Q5" s="67"/>
      <c r="R5" s="68"/>
      <c r="S5" s="69"/>
      <c r="T5" s="69"/>
      <c r="U5" s="69"/>
    </row>
    <row r="6" spans="1:21" ht="17.25" x14ac:dyDescent="0.35">
      <c r="A6" s="65"/>
      <c r="B6" s="68"/>
      <c r="C6" s="65"/>
      <c r="D6" s="65"/>
      <c r="E6" s="65"/>
      <c r="F6" s="65"/>
      <c r="G6" s="65"/>
      <c r="H6" s="65"/>
      <c r="I6" s="65"/>
      <c r="J6" s="65"/>
      <c r="K6" s="65"/>
      <c r="L6" s="65"/>
      <c r="M6" s="65"/>
      <c r="N6" s="65"/>
      <c r="O6" s="65"/>
      <c r="P6" s="66"/>
      <c r="Q6" s="67"/>
      <c r="R6" s="68"/>
      <c r="S6" s="69"/>
      <c r="T6" s="69"/>
      <c r="U6" s="69"/>
    </row>
    <row r="7" spans="1:21" ht="17.25" x14ac:dyDescent="0.35">
      <c r="A7" s="65"/>
      <c r="B7" s="69" t="s">
        <v>337</v>
      </c>
      <c r="C7" s="65"/>
      <c r="D7" s="65"/>
      <c r="E7" s="65"/>
      <c r="F7" s="65"/>
      <c r="G7" s="65"/>
      <c r="H7" s="69"/>
      <c r="I7" s="65"/>
      <c r="J7" s="65"/>
      <c r="K7" s="65"/>
      <c r="L7" s="65"/>
      <c r="M7" s="65"/>
      <c r="N7" s="65"/>
      <c r="O7" s="65"/>
      <c r="P7" s="66"/>
      <c r="Q7" s="67"/>
      <c r="R7" s="68"/>
      <c r="S7" s="69"/>
      <c r="T7" s="69"/>
      <c r="U7" s="69"/>
    </row>
    <row r="8" spans="1:21" ht="17.25" x14ac:dyDescent="0.35">
      <c r="A8" s="65"/>
      <c r="B8" s="69"/>
      <c r="C8" s="65"/>
      <c r="D8" s="65"/>
      <c r="E8" s="65"/>
      <c r="F8" s="65"/>
      <c r="G8" s="65"/>
      <c r="H8" s="69"/>
      <c r="I8" s="65"/>
      <c r="J8" s="65"/>
      <c r="K8" s="65"/>
      <c r="L8" s="65"/>
      <c r="M8" s="65"/>
      <c r="N8" s="65"/>
      <c r="O8" s="65"/>
      <c r="P8" s="66"/>
      <c r="Q8" s="67"/>
      <c r="R8" s="68"/>
      <c r="S8" s="69"/>
      <c r="T8" s="69"/>
      <c r="U8" s="69"/>
    </row>
    <row r="9" spans="1:21" ht="17.25" x14ac:dyDescent="0.35">
      <c r="A9" s="65"/>
      <c r="B9" s="71" t="s">
        <v>326</v>
      </c>
      <c r="C9" s="65"/>
      <c r="D9" s="65"/>
      <c r="E9" s="65"/>
      <c r="F9" s="65"/>
      <c r="G9" s="65"/>
      <c r="H9" s="69"/>
      <c r="I9" s="65"/>
      <c r="J9" s="65"/>
      <c r="K9" s="65"/>
      <c r="L9" s="65"/>
      <c r="M9" s="65"/>
      <c r="N9" s="65"/>
      <c r="O9" s="65"/>
      <c r="P9" s="66"/>
      <c r="Q9" s="67"/>
      <c r="R9" s="68"/>
      <c r="S9" s="69"/>
      <c r="T9" s="69"/>
      <c r="U9" s="69"/>
    </row>
    <row r="10" spans="1:21" ht="17.25" x14ac:dyDescent="0.35">
      <c r="A10" s="65"/>
      <c r="B10" s="68"/>
      <c r="C10" s="65"/>
      <c r="D10" s="65"/>
      <c r="E10" s="65"/>
      <c r="F10" s="65"/>
      <c r="G10" s="65"/>
      <c r="H10" s="69"/>
      <c r="I10" s="65"/>
      <c r="J10" s="65"/>
      <c r="K10" s="65"/>
      <c r="L10" s="65"/>
      <c r="M10" s="65"/>
      <c r="N10" s="65"/>
      <c r="O10" s="65"/>
      <c r="P10" s="66"/>
      <c r="Q10" s="67"/>
      <c r="R10" s="68"/>
      <c r="S10" s="69"/>
      <c r="T10" s="69"/>
      <c r="U10" s="69"/>
    </row>
    <row r="11" spans="1:21" ht="17.25" x14ac:dyDescent="0.35">
      <c r="A11" s="65"/>
      <c r="B11" s="68"/>
      <c r="C11" s="65"/>
      <c r="D11" s="65"/>
      <c r="E11" s="65"/>
      <c r="F11" s="65"/>
      <c r="G11" s="65"/>
      <c r="H11" s="69"/>
      <c r="I11" s="65"/>
      <c r="J11" s="65"/>
      <c r="K11" s="65"/>
      <c r="L11" s="65"/>
      <c r="M11" s="65"/>
      <c r="N11" s="65"/>
      <c r="O11" s="65"/>
      <c r="P11" s="66"/>
      <c r="Q11" s="67"/>
      <c r="R11" s="68"/>
      <c r="S11" s="69"/>
      <c r="T11" s="69"/>
      <c r="U11" s="69"/>
    </row>
    <row r="12" spans="1:21" ht="17.25" x14ac:dyDescent="0.35">
      <c r="A12" s="71"/>
      <c r="B12" s="68"/>
      <c r="C12" s="71"/>
      <c r="D12" s="71"/>
      <c r="E12" s="65"/>
      <c r="F12" s="65"/>
      <c r="G12" s="65"/>
      <c r="H12" s="69"/>
      <c r="I12" s="65"/>
      <c r="J12" s="65"/>
      <c r="K12" s="65"/>
      <c r="L12" s="65"/>
      <c r="M12" s="65"/>
      <c r="N12" s="65"/>
      <c r="O12" s="65"/>
      <c r="P12" s="66"/>
      <c r="Q12" s="67"/>
      <c r="R12" s="68"/>
      <c r="S12" s="69"/>
      <c r="T12" s="69"/>
      <c r="U12" s="69"/>
    </row>
    <row r="13" spans="1:21" ht="17.25" x14ac:dyDescent="0.35">
      <c r="A13" s="65"/>
      <c r="B13" s="68"/>
      <c r="C13" s="65"/>
      <c r="D13" s="65"/>
      <c r="E13" s="65"/>
      <c r="F13" s="65"/>
      <c r="G13" s="65"/>
      <c r="H13" s="69"/>
      <c r="I13" s="65"/>
      <c r="J13" s="65"/>
      <c r="K13" s="65"/>
      <c r="L13" s="65"/>
      <c r="M13" s="65"/>
      <c r="N13" s="65"/>
      <c r="O13" s="65"/>
      <c r="P13" s="66"/>
      <c r="Q13" s="67"/>
      <c r="R13" s="68"/>
      <c r="S13" s="69"/>
      <c r="T13" s="69"/>
      <c r="U13" s="69"/>
    </row>
    <row r="14" spans="1:21" ht="17.25" x14ac:dyDescent="0.35">
      <c r="A14" s="65"/>
      <c r="B14" s="71" t="s">
        <v>330</v>
      </c>
      <c r="C14" s="65"/>
      <c r="D14" s="65"/>
      <c r="E14" s="65"/>
      <c r="F14" s="65"/>
      <c r="G14" s="65"/>
      <c r="H14" s="69"/>
      <c r="I14" s="65"/>
      <c r="J14" s="65"/>
      <c r="K14" s="65"/>
      <c r="L14" s="65"/>
      <c r="M14" s="65"/>
      <c r="N14" s="65"/>
      <c r="O14" s="65"/>
      <c r="P14" s="66"/>
      <c r="Q14" s="67"/>
      <c r="R14" s="68"/>
      <c r="S14" s="69"/>
      <c r="T14" s="69"/>
      <c r="U14" s="69"/>
    </row>
    <row r="15" spans="1:21" ht="17.25" x14ac:dyDescent="0.35">
      <c r="A15" s="65"/>
      <c r="B15" s="68"/>
      <c r="C15" s="65"/>
      <c r="D15" s="65"/>
      <c r="E15" s="65"/>
      <c r="F15" s="65"/>
      <c r="G15" s="65"/>
      <c r="H15" s="69"/>
      <c r="I15" s="65"/>
      <c r="J15" s="65"/>
      <c r="K15" s="65"/>
      <c r="L15" s="65"/>
      <c r="M15" s="65"/>
      <c r="N15" s="65"/>
      <c r="O15" s="65"/>
      <c r="P15" s="66"/>
      <c r="Q15" s="67"/>
      <c r="R15" s="68"/>
      <c r="S15" s="69"/>
      <c r="T15" s="69"/>
      <c r="U15" s="69"/>
    </row>
    <row r="16" spans="1:21" ht="17.25" x14ac:dyDescent="0.35">
      <c r="A16" s="65"/>
      <c r="B16" s="71" t="s">
        <v>327</v>
      </c>
      <c r="C16" s="65"/>
      <c r="D16" s="65"/>
      <c r="E16" s="65"/>
      <c r="F16" s="65"/>
      <c r="G16" s="65"/>
      <c r="H16" s="69"/>
      <c r="I16" s="65"/>
      <c r="J16" s="65"/>
      <c r="K16" s="65"/>
      <c r="L16" s="65"/>
      <c r="M16" s="65"/>
      <c r="N16" s="65"/>
      <c r="O16" s="65"/>
      <c r="P16" s="66"/>
      <c r="Q16" s="67"/>
      <c r="R16" s="68"/>
      <c r="S16" s="69"/>
      <c r="T16" s="69"/>
      <c r="U16" s="69"/>
    </row>
    <row r="17" spans="1:21" ht="17.25" x14ac:dyDescent="0.35">
      <c r="A17" s="65"/>
      <c r="B17" s="68"/>
      <c r="C17" s="65"/>
      <c r="D17" s="65"/>
      <c r="E17" s="65"/>
      <c r="F17" s="65"/>
      <c r="G17" s="65"/>
      <c r="H17" s="69"/>
      <c r="I17" s="65"/>
      <c r="J17" s="65"/>
      <c r="K17" s="65"/>
      <c r="L17" s="65"/>
      <c r="M17" s="65"/>
      <c r="N17" s="65"/>
      <c r="O17" s="65"/>
      <c r="P17" s="66"/>
      <c r="Q17" s="67"/>
      <c r="R17" s="68"/>
      <c r="S17" s="69"/>
      <c r="T17" s="69"/>
      <c r="U17" s="69"/>
    </row>
    <row r="18" spans="1:21" ht="17.25" x14ac:dyDescent="0.35">
      <c r="A18" s="65"/>
      <c r="B18" s="71" t="s">
        <v>328</v>
      </c>
      <c r="C18" s="65"/>
      <c r="D18" s="65"/>
      <c r="E18" s="65"/>
      <c r="F18" s="65"/>
      <c r="G18" s="65"/>
      <c r="H18" s="69"/>
      <c r="I18" s="65"/>
      <c r="J18" s="65"/>
      <c r="K18" s="65"/>
      <c r="L18" s="65"/>
      <c r="M18" s="65"/>
      <c r="N18" s="65"/>
      <c r="O18" s="65"/>
      <c r="P18" s="66"/>
      <c r="Q18" s="67"/>
      <c r="R18" s="68"/>
      <c r="S18" s="69"/>
      <c r="T18" s="69"/>
      <c r="U18" s="69"/>
    </row>
    <row r="19" spans="1:21" ht="17.25" x14ac:dyDescent="0.35">
      <c r="A19" s="65"/>
      <c r="B19" s="68"/>
      <c r="C19" s="65"/>
      <c r="D19" s="65"/>
      <c r="E19" s="65"/>
      <c r="F19" s="65"/>
      <c r="G19" s="65"/>
      <c r="H19" s="65"/>
      <c r="I19" s="65"/>
      <c r="J19" s="65"/>
      <c r="K19" s="65"/>
      <c r="L19" s="65"/>
      <c r="M19" s="65"/>
      <c r="N19" s="65"/>
      <c r="O19" s="65"/>
      <c r="P19" s="66"/>
      <c r="Q19" s="67"/>
      <c r="R19" s="68"/>
      <c r="S19" s="69"/>
      <c r="T19" s="69"/>
      <c r="U19" s="69"/>
    </row>
    <row r="20" spans="1:21" ht="17.25" x14ac:dyDescent="0.35">
      <c r="A20" s="65"/>
      <c r="B20" s="71" t="s">
        <v>329</v>
      </c>
      <c r="C20" s="65"/>
      <c r="D20" s="65"/>
      <c r="E20" s="65"/>
      <c r="F20" s="65"/>
      <c r="G20" s="65"/>
      <c r="H20" s="65"/>
      <c r="I20" s="65"/>
      <c r="J20" s="65"/>
      <c r="K20" s="65"/>
      <c r="L20" s="65"/>
      <c r="M20" s="65"/>
      <c r="N20" s="65"/>
      <c r="O20" s="65"/>
      <c r="P20" s="66"/>
      <c r="Q20" s="67"/>
      <c r="R20" s="68"/>
      <c r="S20" s="69"/>
      <c r="T20" s="69"/>
      <c r="U20" s="69"/>
    </row>
    <row r="21" spans="1:21" ht="17.25" x14ac:dyDescent="0.35">
      <c r="A21" s="65"/>
      <c r="B21" s="65"/>
      <c r="C21" s="65"/>
      <c r="D21" s="65"/>
      <c r="E21" s="65"/>
      <c r="F21" s="65"/>
      <c r="G21" s="65"/>
      <c r="H21" s="65"/>
      <c r="I21" s="65"/>
      <c r="J21" s="65"/>
      <c r="K21" s="65"/>
      <c r="L21" s="65"/>
      <c r="M21" s="65"/>
      <c r="N21" s="65"/>
      <c r="O21" s="65"/>
      <c r="P21" s="66"/>
      <c r="Q21" s="67"/>
      <c r="R21" s="68"/>
      <c r="S21" s="69"/>
      <c r="T21" s="69"/>
      <c r="U21" s="69"/>
    </row>
    <row r="22" spans="1:21" ht="17.25" x14ac:dyDescent="0.35">
      <c r="A22" s="65"/>
      <c r="B22" s="65"/>
      <c r="C22" s="65"/>
      <c r="D22" s="65"/>
      <c r="E22" s="65"/>
      <c r="F22" s="65"/>
      <c r="G22" s="65"/>
      <c r="H22" s="65"/>
      <c r="I22" s="65"/>
      <c r="J22" s="65"/>
      <c r="K22" s="65"/>
      <c r="L22" s="65"/>
      <c r="M22" s="65"/>
      <c r="N22" s="65"/>
      <c r="O22" s="65"/>
      <c r="P22" s="66"/>
      <c r="Q22" s="67"/>
      <c r="R22" s="68"/>
      <c r="S22" s="69"/>
      <c r="T22" s="69"/>
      <c r="U22" s="69"/>
    </row>
    <row r="23" spans="1:21" ht="17.25" x14ac:dyDescent="0.35">
      <c r="A23" s="65"/>
      <c r="B23" s="65"/>
      <c r="C23" s="65"/>
      <c r="D23" s="65"/>
      <c r="E23" s="65"/>
      <c r="F23" s="65"/>
      <c r="G23" s="65"/>
      <c r="H23" s="65"/>
      <c r="I23" s="65"/>
      <c r="J23" s="65"/>
      <c r="K23" s="65"/>
      <c r="L23" s="65"/>
      <c r="M23" s="65"/>
      <c r="N23" s="65"/>
      <c r="O23" s="65"/>
      <c r="P23" s="66"/>
      <c r="Q23" s="67"/>
      <c r="R23" s="68"/>
      <c r="S23" s="69"/>
      <c r="T23" s="69"/>
      <c r="U23" s="69"/>
    </row>
    <row r="24" spans="1:21" ht="17.25" x14ac:dyDescent="0.35">
      <c r="A24" s="65"/>
      <c r="B24" s="65"/>
      <c r="C24" s="65"/>
      <c r="D24" s="65"/>
      <c r="E24" s="65"/>
      <c r="F24" s="65"/>
      <c r="G24" s="65"/>
      <c r="H24" s="65"/>
      <c r="I24" s="65"/>
      <c r="J24" s="65"/>
      <c r="K24" s="65"/>
      <c r="L24" s="65"/>
      <c r="M24" s="65"/>
      <c r="N24" s="65"/>
      <c r="O24" s="65"/>
      <c r="P24" s="66"/>
      <c r="Q24" s="67"/>
      <c r="R24" s="68"/>
      <c r="S24" s="69"/>
      <c r="T24" s="69"/>
      <c r="U24" s="69"/>
    </row>
    <row r="25" spans="1:21" ht="17.25" x14ac:dyDescent="0.35">
      <c r="A25" s="65"/>
      <c r="B25" s="65"/>
      <c r="C25" s="65"/>
      <c r="D25" s="65"/>
      <c r="E25" s="65"/>
      <c r="F25" s="65"/>
      <c r="G25" s="65"/>
      <c r="H25" s="65"/>
      <c r="I25" s="65"/>
      <c r="J25" s="65"/>
      <c r="K25" s="65"/>
      <c r="L25" s="65"/>
      <c r="M25" s="65"/>
      <c r="N25" s="65"/>
      <c r="O25" s="65"/>
      <c r="P25" s="66"/>
      <c r="Q25" s="67"/>
      <c r="R25" s="68"/>
      <c r="S25" s="69"/>
      <c r="T25" s="69"/>
      <c r="U25" s="69"/>
    </row>
    <row r="26" spans="1:21" ht="17.25" x14ac:dyDescent="0.35">
      <c r="A26" s="65"/>
      <c r="B26" s="65"/>
      <c r="C26" s="65"/>
      <c r="D26" s="65"/>
      <c r="E26" s="65"/>
      <c r="F26" s="65"/>
      <c r="G26" s="65"/>
      <c r="H26" s="65"/>
      <c r="I26" s="65"/>
      <c r="J26" s="65"/>
      <c r="K26" s="65"/>
      <c r="L26" s="65"/>
      <c r="M26" s="65"/>
      <c r="N26" s="65"/>
      <c r="O26" s="65"/>
      <c r="P26" s="66"/>
      <c r="Q26" s="67"/>
      <c r="R26" s="68"/>
      <c r="S26" s="69"/>
      <c r="T26" s="69"/>
      <c r="U26" s="69"/>
    </row>
    <row r="27" spans="1:21" ht="17.25" x14ac:dyDescent="0.35">
      <c r="A27" s="65"/>
      <c r="B27" s="65"/>
      <c r="C27" s="65"/>
      <c r="D27" s="65"/>
      <c r="E27" s="65"/>
      <c r="F27" s="65"/>
      <c r="G27" s="65"/>
      <c r="H27" s="65"/>
      <c r="I27" s="65"/>
      <c r="J27" s="65"/>
      <c r="K27" s="65"/>
      <c r="L27" s="65"/>
      <c r="M27" s="65"/>
      <c r="N27" s="65"/>
      <c r="O27" s="65"/>
      <c r="P27" s="66"/>
      <c r="Q27" s="67"/>
      <c r="R27" s="68"/>
      <c r="S27" s="69"/>
      <c r="T27" s="69"/>
      <c r="U27" s="69"/>
    </row>
    <row r="28" spans="1:21" ht="17.25" x14ac:dyDescent="0.35">
      <c r="A28" s="65"/>
      <c r="B28" s="65"/>
      <c r="C28" s="65"/>
      <c r="D28" s="65"/>
      <c r="E28" s="65"/>
      <c r="F28" s="65"/>
      <c r="G28" s="65"/>
      <c r="H28" s="65"/>
      <c r="I28" s="65"/>
      <c r="J28" s="65"/>
      <c r="K28" s="65"/>
      <c r="L28" s="65"/>
      <c r="M28" s="65"/>
      <c r="N28" s="65"/>
      <c r="O28" s="65"/>
      <c r="P28" s="66"/>
      <c r="Q28" s="67"/>
      <c r="R28" s="68"/>
      <c r="S28" s="69"/>
      <c r="T28" s="69"/>
      <c r="U28" s="69"/>
    </row>
    <row r="29" spans="1:21" ht="17.25" x14ac:dyDescent="0.35">
      <c r="A29" s="65"/>
      <c r="B29" s="65"/>
      <c r="C29" s="65"/>
      <c r="D29" s="65"/>
      <c r="E29" s="65"/>
      <c r="F29" s="65"/>
      <c r="G29" s="65"/>
      <c r="H29" s="65"/>
      <c r="I29" s="65"/>
      <c r="J29" s="65"/>
      <c r="K29" s="65"/>
      <c r="L29" s="65"/>
      <c r="M29" s="65"/>
      <c r="N29" s="65"/>
      <c r="O29" s="65"/>
      <c r="P29" s="66"/>
      <c r="Q29" s="67"/>
      <c r="R29" s="68"/>
      <c r="S29" s="69"/>
      <c r="T29" s="69"/>
      <c r="U29" s="69"/>
    </row>
    <row r="30" spans="1:21" ht="17.25" x14ac:dyDescent="0.35">
      <c r="A30" s="65"/>
      <c r="B30" s="65"/>
      <c r="C30" s="65"/>
      <c r="D30" s="72"/>
      <c r="E30" s="65"/>
      <c r="F30" s="65"/>
      <c r="G30" s="65"/>
      <c r="H30" s="65"/>
      <c r="I30" s="65"/>
      <c r="J30" s="65"/>
      <c r="K30" s="65"/>
      <c r="L30" s="65"/>
      <c r="M30" s="65"/>
      <c r="N30" s="65"/>
      <c r="O30" s="65"/>
      <c r="P30" s="66"/>
      <c r="Q30" s="67"/>
      <c r="R30" s="68"/>
      <c r="S30" s="69"/>
      <c r="T30" s="69"/>
      <c r="U30" s="69"/>
    </row>
    <row r="31" spans="1:21" ht="17.25" x14ac:dyDescent="0.35">
      <c r="A31" s="65"/>
      <c r="B31" s="65"/>
      <c r="C31" s="65"/>
      <c r="D31" s="65"/>
      <c r="E31" s="65"/>
      <c r="F31" s="65"/>
      <c r="G31" s="65"/>
      <c r="H31" s="65"/>
      <c r="I31" s="65"/>
      <c r="J31" s="65"/>
      <c r="K31" s="65"/>
      <c r="L31" s="65"/>
      <c r="M31" s="65"/>
      <c r="N31" s="65"/>
      <c r="O31" s="65"/>
      <c r="P31" s="66"/>
      <c r="Q31" s="67"/>
      <c r="R31" s="68"/>
      <c r="S31" s="69"/>
      <c r="T31" s="69"/>
      <c r="U31" s="69"/>
    </row>
    <row r="32" spans="1:21" ht="17.25" x14ac:dyDescent="0.35">
      <c r="A32" s="65"/>
      <c r="B32" s="65"/>
      <c r="C32" s="65"/>
      <c r="D32" s="65"/>
      <c r="E32" s="65"/>
      <c r="F32" s="65"/>
      <c r="G32" s="65"/>
      <c r="H32" s="65"/>
      <c r="I32" s="65"/>
      <c r="J32" s="65"/>
      <c r="K32" s="65"/>
      <c r="L32" s="65"/>
      <c r="M32" s="65"/>
      <c r="N32" s="65"/>
      <c r="O32" s="65"/>
      <c r="P32" s="66"/>
      <c r="Q32" s="67"/>
      <c r="R32" s="68"/>
      <c r="S32" s="69"/>
      <c r="T32" s="69"/>
      <c r="U32" s="69"/>
    </row>
    <row r="33" spans="1:21" ht="17.25" x14ac:dyDescent="0.35">
      <c r="A33" s="65"/>
      <c r="B33" s="65"/>
      <c r="C33" s="65"/>
      <c r="D33" s="65"/>
      <c r="E33" s="65"/>
      <c r="F33" s="65"/>
      <c r="G33" s="65"/>
      <c r="H33" s="65"/>
      <c r="I33" s="65"/>
      <c r="J33" s="65"/>
      <c r="K33" s="65"/>
      <c r="L33" s="65"/>
      <c r="M33" s="65"/>
      <c r="N33" s="65"/>
      <c r="O33" s="65"/>
      <c r="P33" s="66"/>
      <c r="Q33" s="67"/>
      <c r="R33" s="68"/>
      <c r="S33" s="69"/>
      <c r="T33" s="69"/>
      <c r="U33" s="69"/>
    </row>
    <row r="34" spans="1:21" ht="17.25" x14ac:dyDescent="0.35">
      <c r="A34" s="65"/>
      <c r="B34" s="65"/>
      <c r="C34" s="65"/>
      <c r="D34" s="65"/>
      <c r="E34" s="65"/>
      <c r="F34" s="65"/>
      <c r="G34" s="65"/>
      <c r="H34" s="65"/>
      <c r="I34" s="65"/>
      <c r="J34" s="65"/>
      <c r="K34" s="65"/>
      <c r="L34" s="65"/>
      <c r="M34" s="65"/>
      <c r="N34" s="65"/>
      <c r="O34" s="65"/>
      <c r="P34" s="66"/>
      <c r="Q34" s="67"/>
      <c r="R34" s="68"/>
      <c r="S34" s="69"/>
      <c r="T34" s="69"/>
      <c r="U34" s="69"/>
    </row>
    <row r="35" spans="1:21" ht="17.25" x14ac:dyDescent="0.35">
      <c r="A35" s="65"/>
      <c r="B35" s="65"/>
      <c r="C35" s="65"/>
      <c r="D35" s="65"/>
      <c r="E35" s="65"/>
      <c r="F35" s="65"/>
      <c r="G35" s="65"/>
      <c r="H35" s="65"/>
      <c r="I35" s="65"/>
      <c r="J35" s="65"/>
      <c r="K35" s="65"/>
      <c r="L35" s="65"/>
      <c r="M35" s="65"/>
      <c r="N35" s="65"/>
      <c r="O35" s="65"/>
      <c r="P35" s="66"/>
      <c r="Q35" s="67"/>
      <c r="R35" s="68"/>
      <c r="S35" s="69"/>
      <c r="T35" s="69"/>
      <c r="U35" s="69"/>
    </row>
    <row r="36" spans="1:21" ht="17.25" x14ac:dyDescent="0.35">
      <c r="A36" s="65"/>
      <c r="B36" s="65"/>
      <c r="C36" s="65"/>
      <c r="D36" s="65"/>
      <c r="E36" s="65"/>
      <c r="F36" s="65"/>
      <c r="G36" s="65"/>
      <c r="H36" s="65"/>
      <c r="I36" s="65"/>
      <c r="J36" s="65"/>
      <c r="K36" s="65"/>
      <c r="L36" s="65"/>
      <c r="M36" s="65"/>
      <c r="N36" s="65"/>
      <c r="O36" s="65"/>
      <c r="P36" s="66"/>
      <c r="Q36" s="67"/>
      <c r="R36" s="68"/>
      <c r="S36" s="69"/>
      <c r="T36" s="69"/>
      <c r="U36" s="69"/>
    </row>
    <row r="37" spans="1:21" ht="17.25" x14ac:dyDescent="0.35">
      <c r="A37" s="65"/>
      <c r="B37" s="65"/>
      <c r="C37" s="65"/>
      <c r="D37" s="65"/>
      <c r="E37" s="65"/>
      <c r="F37" s="65"/>
      <c r="G37" s="65"/>
      <c r="H37" s="65"/>
      <c r="I37" s="65"/>
      <c r="J37" s="65"/>
      <c r="K37" s="65"/>
      <c r="L37" s="65"/>
      <c r="M37" s="65"/>
      <c r="N37" s="65"/>
      <c r="O37" s="65"/>
      <c r="P37" s="66"/>
      <c r="Q37" s="67"/>
      <c r="R37" s="68"/>
      <c r="S37" s="69"/>
      <c r="T37" s="69"/>
      <c r="U37" s="69"/>
    </row>
    <row r="38" spans="1:21" ht="17.25" x14ac:dyDescent="0.35">
      <c r="A38" s="65"/>
      <c r="B38" s="65"/>
      <c r="C38" s="65"/>
      <c r="D38" s="65"/>
      <c r="E38" s="65"/>
      <c r="F38" s="65"/>
      <c r="G38" s="65"/>
      <c r="H38" s="65"/>
      <c r="I38" s="65"/>
      <c r="J38" s="65"/>
      <c r="K38" s="65"/>
      <c r="L38" s="65"/>
      <c r="M38" s="65"/>
      <c r="N38" s="65"/>
      <c r="O38" s="65"/>
      <c r="P38" s="66"/>
      <c r="Q38" s="67"/>
      <c r="R38" s="68"/>
      <c r="S38" s="69"/>
      <c r="T38" s="69"/>
      <c r="U38" s="69"/>
    </row>
    <row r="39" spans="1:21" ht="17.25" x14ac:dyDescent="0.35">
      <c r="A39" s="65"/>
      <c r="B39" s="65"/>
      <c r="C39" s="65"/>
      <c r="D39" s="65"/>
      <c r="E39" s="65"/>
      <c r="F39" s="65"/>
      <c r="G39" s="65"/>
      <c r="H39" s="65"/>
      <c r="I39" s="65"/>
      <c r="J39" s="65"/>
      <c r="K39" s="65"/>
      <c r="L39" s="65"/>
      <c r="M39" s="65"/>
      <c r="N39" s="65"/>
      <c r="O39" s="65"/>
      <c r="P39" s="66"/>
      <c r="Q39" s="67"/>
      <c r="R39" s="68"/>
      <c r="S39" s="69"/>
      <c r="T39" s="69"/>
      <c r="U39" s="69"/>
    </row>
    <row r="40" spans="1:21" ht="17.25" x14ac:dyDescent="0.35">
      <c r="A40" s="65"/>
      <c r="B40" s="65"/>
      <c r="C40" s="65"/>
      <c r="D40" s="65"/>
      <c r="E40" s="65"/>
      <c r="F40" s="65"/>
      <c r="G40" s="65"/>
      <c r="H40" s="65"/>
      <c r="I40" s="65"/>
      <c r="J40" s="65"/>
      <c r="K40" s="65"/>
      <c r="L40" s="65"/>
      <c r="M40" s="65"/>
      <c r="N40" s="65"/>
      <c r="O40" s="65"/>
      <c r="P40" s="66"/>
      <c r="Q40" s="67"/>
      <c r="R40" s="68"/>
      <c r="S40" s="69"/>
      <c r="T40" s="69"/>
      <c r="U40" s="69"/>
    </row>
    <row r="41" spans="1:21" ht="17.25" x14ac:dyDescent="0.35">
      <c r="A41" s="65"/>
      <c r="B41" s="65"/>
      <c r="C41" s="65"/>
      <c r="D41" s="65"/>
      <c r="E41" s="65"/>
      <c r="F41" s="65"/>
      <c r="G41" s="65"/>
      <c r="H41" s="65"/>
      <c r="I41" s="65"/>
      <c r="J41" s="65"/>
      <c r="K41" s="65"/>
      <c r="L41" s="65"/>
      <c r="M41" s="65"/>
      <c r="N41" s="65"/>
      <c r="O41" s="65"/>
      <c r="P41" s="66"/>
      <c r="Q41" s="67"/>
      <c r="R41" s="68"/>
      <c r="S41" s="69"/>
      <c r="T41" s="69"/>
      <c r="U41" s="69"/>
    </row>
    <row r="42" spans="1:21" ht="17.25" x14ac:dyDescent="0.35">
      <c r="A42" s="65"/>
      <c r="B42" s="65"/>
      <c r="C42" s="65"/>
      <c r="D42" s="65"/>
      <c r="E42" s="65"/>
      <c r="F42" s="65"/>
      <c r="G42" s="65"/>
      <c r="H42" s="65"/>
      <c r="I42" s="65"/>
      <c r="J42" s="65"/>
      <c r="K42" s="65"/>
      <c r="L42" s="65"/>
      <c r="M42" s="65"/>
      <c r="N42" s="65"/>
      <c r="O42" s="65"/>
      <c r="P42" s="66"/>
      <c r="Q42" s="67"/>
      <c r="R42" s="68"/>
      <c r="S42" s="69"/>
      <c r="T42" s="69"/>
      <c r="U42" s="69"/>
    </row>
    <row r="43" spans="1:21" ht="17.25" x14ac:dyDescent="0.35">
      <c r="A43" s="65"/>
      <c r="B43" s="65"/>
      <c r="C43" s="65"/>
      <c r="D43" s="65"/>
      <c r="E43" s="65"/>
      <c r="F43" s="65"/>
      <c r="G43" s="65"/>
      <c r="H43" s="65"/>
      <c r="I43" s="65"/>
      <c r="J43" s="65"/>
      <c r="K43" s="65"/>
      <c r="L43" s="65"/>
      <c r="M43" s="65"/>
      <c r="N43" s="65"/>
      <c r="O43" s="65"/>
      <c r="P43" s="66"/>
      <c r="Q43" s="67"/>
      <c r="R43" s="68"/>
      <c r="S43" s="69"/>
      <c r="T43" s="69"/>
      <c r="U43" s="69"/>
    </row>
    <row r="44" spans="1:21" ht="17.25" x14ac:dyDescent="0.35">
      <c r="A44" s="65"/>
      <c r="B44" s="65"/>
      <c r="C44" s="65"/>
      <c r="D44" s="65"/>
      <c r="E44" s="65"/>
      <c r="F44" s="65"/>
      <c r="G44" s="65"/>
      <c r="H44" s="65"/>
      <c r="I44" s="65"/>
      <c r="J44" s="65"/>
      <c r="K44" s="65"/>
      <c r="L44" s="65"/>
      <c r="M44" s="65"/>
      <c r="N44" s="65"/>
      <c r="O44" s="65"/>
      <c r="P44" s="66"/>
      <c r="Q44" s="67"/>
      <c r="R44" s="68"/>
      <c r="S44" s="69"/>
      <c r="T44" s="69"/>
      <c r="U44" s="69"/>
    </row>
    <row r="45" spans="1:21" ht="17.25" x14ac:dyDescent="0.35">
      <c r="A45" s="65"/>
      <c r="B45" s="65"/>
      <c r="C45" s="65"/>
      <c r="D45" s="65"/>
      <c r="E45" s="65"/>
      <c r="F45" s="65"/>
      <c r="G45" s="65"/>
      <c r="H45" s="65"/>
      <c r="I45" s="65"/>
      <c r="J45" s="65"/>
      <c r="K45" s="65"/>
      <c r="L45" s="65"/>
      <c r="M45" s="65"/>
      <c r="N45" s="65"/>
      <c r="O45" s="65"/>
      <c r="P45" s="66"/>
      <c r="Q45" s="67"/>
      <c r="R45" s="68"/>
      <c r="S45" s="69"/>
      <c r="T45" s="69"/>
      <c r="U45" s="69"/>
    </row>
    <row r="46" spans="1:21" ht="17.25" x14ac:dyDescent="0.35">
      <c r="A46" s="65"/>
      <c r="B46" s="65"/>
      <c r="C46" s="65"/>
      <c r="D46" s="65"/>
      <c r="E46" s="65"/>
      <c r="F46" s="65"/>
      <c r="G46" s="65"/>
      <c r="H46" s="65"/>
      <c r="I46" s="65"/>
      <c r="J46" s="65"/>
      <c r="K46" s="65"/>
      <c r="L46" s="65"/>
      <c r="M46" s="65"/>
      <c r="N46" s="65"/>
      <c r="O46" s="65"/>
      <c r="P46" s="66"/>
      <c r="Q46" s="67"/>
      <c r="R46" s="68"/>
      <c r="S46" s="69"/>
      <c r="T46" s="69"/>
      <c r="U46" s="69"/>
    </row>
    <row r="47" spans="1:21" ht="17.25" x14ac:dyDescent="0.35">
      <c r="A47" s="65"/>
      <c r="B47" s="65"/>
      <c r="C47" s="65"/>
      <c r="D47" s="65"/>
      <c r="E47" s="65"/>
      <c r="F47" s="65"/>
      <c r="G47" s="65"/>
      <c r="H47" s="65"/>
      <c r="I47" s="65"/>
      <c r="J47" s="65"/>
      <c r="K47" s="65"/>
      <c r="L47" s="65"/>
      <c r="M47" s="65"/>
      <c r="N47" s="65"/>
      <c r="O47" s="65"/>
      <c r="P47" s="66"/>
      <c r="Q47" s="67"/>
      <c r="R47" s="68"/>
      <c r="S47" s="69"/>
      <c r="T47" s="69"/>
      <c r="U47" s="69"/>
    </row>
    <row r="48" spans="1:21" ht="17.25" x14ac:dyDescent="0.35">
      <c r="A48" s="65"/>
      <c r="B48" s="65"/>
      <c r="C48" s="65"/>
      <c r="D48" s="65"/>
      <c r="E48" s="65"/>
      <c r="F48" s="65"/>
      <c r="G48" s="65"/>
      <c r="H48" s="65"/>
      <c r="I48" s="65"/>
      <c r="J48" s="65"/>
      <c r="K48" s="65"/>
      <c r="L48" s="65"/>
      <c r="M48" s="65"/>
      <c r="N48" s="65"/>
      <c r="O48" s="65"/>
      <c r="P48" s="66"/>
      <c r="Q48" s="67"/>
      <c r="R48" s="68"/>
      <c r="S48" s="69"/>
      <c r="T48" s="69"/>
      <c r="U48" s="69"/>
    </row>
    <row r="49" spans="1:21" ht="17.25" x14ac:dyDescent="0.35">
      <c r="A49" s="65"/>
      <c r="B49" s="65"/>
      <c r="C49" s="65"/>
      <c r="D49" s="65"/>
      <c r="E49" s="65"/>
      <c r="F49" s="65"/>
      <c r="G49" s="65"/>
      <c r="H49" s="65"/>
      <c r="I49" s="65"/>
      <c r="J49" s="65"/>
      <c r="K49" s="65"/>
      <c r="L49" s="65"/>
      <c r="M49" s="65"/>
      <c r="N49" s="65"/>
      <c r="O49" s="65"/>
      <c r="P49" s="66"/>
      <c r="Q49" s="67"/>
      <c r="R49" s="68"/>
      <c r="S49" s="69"/>
      <c r="T49" s="69"/>
      <c r="U49" s="69"/>
    </row>
    <row r="50" spans="1:21" ht="17.25" x14ac:dyDescent="0.35">
      <c r="A50" s="65"/>
      <c r="B50" s="65"/>
      <c r="C50" s="65"/>
      <c r="D50" s="65"/>
      <c r="E50" s="65"/>
      <c r="F50" s="65"/>
      <c r="G50" s="65"/>
      <c r="H50" s="65"/>
      <c r="I50" s="65"/>
      <c r="J50" s="65"/>
      <c r="K50" s="65"/>
      <c r="L50" s="65"/>
      <c r="M50" s="65"/>
      <c r="N50" s="65"/>
      <c r="O50" s="65"/>
      <c r="P50" s="66"/>
      <c r="Q50" s="67"/>
      <c r="R50" s="68"/>
      <c r="S50" s="69"/>
      <c r="T50" s="69"/>
      <c r="U50" s="69"/>
    </row>
    <row r="51" spans="1:21" ht="0.95" customHeight="1" x14ac:dyDescent="0.35">
      <c r="A51" s="73"/>
      <c r="B51" s="73"/>
      <c r="C51" s="73"/>
      <c r="D51" s="73"/>
      <c r="E51" s="73"/>
      <c r="F51" s="73"/>
      <c r="G51" s="73"/>
      <c r="H51" s="73"/>
      <c r="I51" s="73"/>
      <c r="J51" s="73"/>
      <c r="K51" s="73"/>
      <c r="L51" s="73"/>
      <c r="M51" s="73"/>
      <c r="N51" s="73"/>
      <c r="O51" s="73"/>
      <c r="P51" s="73"/>
      <c r="Q51" s="74"/>
      <c r="R51" s="68"/>
      <c r="S51" s="69"/>
      <c r="T51" s="69"/>
      <c r="U51" s="69"/>
    </row>
    <row r="52" spans="1:21" ht="17.25" x14ac:dyDescent="0.35">
      <c r="A52" s="68"/>
      <c r="B52" s="68"/>
      <c r="C52" s="68"/>
      <c r="D52" s="68"/>
      <c r="E52" s="68"/>
      <c r="F52" s="68"/>
      <c r="G52" s="68"/>
      <c r="H52" s="68"/>
      <c r="I52" s="68"/>
      <c r="J52" s="68"/>
      <c r="K52" s="68"/>
      <c r="L52" s="68"/>
      <c r="M52" s="68"/>
      <c r="N52" s="68"/>
      <c r="O52" s="68"/>
      <c r="P52" s="68"/>
      <c r="Q52" s="68"/>
      <c r="R52" s="68"/>
      <c r="S52" s="69"/>
      <c r="T52" s="69"/>
      <c r="U52" s="69"/>
    </row>
    <row r="53" spans="1:21" ht="17.25" x14ac:dyDescent="0.35">
      <c r="A53" s="68"/>
      <c r="B53" s="68"/>
      <c r="C53" s="68"/>
      <c r="D53" s="68"/>
      <c r="E53" s="68"/>
      <c r="F53" s="68"/>
      <c r="G53" s="68"/>
      <c r="H53" s="68"/>
      <c r="I53" s="68"/>
      <c r="J53" s="68"/>
      <c r="K53" s="68"/>
      <c r="L53" s="68"/>
      <c r="M53" s="68"/>
      <c r="N53" s="68"/>
      <c r="O53" s="68"/>
      <c r="P53" s="68"/>
      <c r="Q53" s="68"/>
      <c r="R53" s="68"/>
      <c r="S53" s="69"/>
      <c r="T53" s="69"/>
      <c r="U53" s="69"/>
    </row>
    <row r="54" spans="1:21" ht="17.25" x14ac:dyDescent="0.35">
      <c r="A54" s="69"/>
      <c r="B54" s="69"/>
      <c r="C54" s="69"/>
      <c r="D54" s="69"/>
      <c r="E54" s="69"/>
      <c r="F54" s="69"/>
      <c r="G54" s="69"/>
      <c r="H54" s="69"/>
      <c r="I54" s="69"/>
      <c r="J54" s="69"/>
      <c r="K54" s="69"/>
      <c r="L54" s="69"/>
      <c r="M54" s="69"/>
      <c r="N54" s="69"/>
      <c r="O54" s="69"/>
      <c r="P54" s="69"/>
      <c r="Q54" s="69"/>
      <c r="R54" s="69"/>
      <c r="S54" s="69"/>
      <c r="T54" s="69"/>
      <c r="U54" s="69"/>
    </row>
    <row r="55" spans="1:21" ht="17.25" x14ac:dyDescent="0.35">
      <c r="A55" s="69"/>
      <c r="B55" s="69"/>
      <c r="C55" s="69"/>
      <c r="D55" s="69"/>
      <c r="E55" s="69"/>
      <c r="F55" s="69"/>
      <c r="G55" s="69"/>
      <c r="H55" s="69"/>
      <c r="I55" s="69"/>
      <c r="J55" s="69"/>
      <c r="K55" s="69"/>
      <c r="L55" s="69"/>
      <c r="M55" s="69"/>
      <c r="N55" s="69"/>
      <c r="O55" s="69"/>
      <c r="P55" s="69"/>
      <c r="Q55" s="69"/>
      <c r="R55" s="69"/>
      <c r="S55" s="69"/>
      <c r="T55" s="69"/>
      <c r="U55" s="69"/>
    </row>
    <row r="56" spans="1:21" ht="17.25" x14ac:dyDescent="0.35">
      <c r="A56" s="69"/>
      <c r="B56" s="69"/>
      <c r="C56" s="69"/>
      <c r="D56" s="69"/>
      <c r="E56" s="69"/>
      <c r="F56" s="69"/>
      <c r="G56" s="69"/>
      <c r="H56" s="69"/>
      <c r="I56" s="69"/>
      <c r="J56" s="69"/>
      <c r="K56" s="69"/>
      <c r="L56" s="69"/>
      <c r="M56" s="69"/>
      <c r="N56" s="69"/>
      <c r="O56" s="69"/>
      <c r="P56" s="69"/>
      <c r="Q56" s="69"/>
      <c r="R56" s="69"/>
      <c r="S56" s="69"/>
      <c r="T56" s="69"/>
      <c r="U56" s="69"/>
    </row>
    <row r="57" spans="1:21" ht="17.25" x14ac:dyDescent="0.35">
      <c r="A57" s="69"/>
      <c r="B57" s="69"/>
      <c r="C57" s="69"/>
      <c r="D57" s="69"/>
      <c r="E57" s="69"/>
      <c r="F57" s="69"/>
      <c r="G57" s="69"/>
      <c r="H57" s="69"/>
      <c r="I57" s="69"/>
      <c r="J57" s="69"/>
      <c r="K57" s="69"/>
      <c r="L57" s="69"/>
      <c r="M57" s="69"/>
      <c r="N57" s="69"/>
      <c r="O57" s="69"/>
      <c r="P57" s="69"/>
      <c r="Q57" s="69"/>
      <c r="R57" s="69"/>
      <c r="S57" s="69"/>
      <c r="T57" s="69"/>
      <c r="U57" s="69"/>
    </row>
    <row r="58" spans="1:21" ht="17.25" x14ac:dyDescent="0.35">
      <c r="A58" s="69"/>
      <c r="B58" s="69"/>
      <c r="C58" s="69"/>
      <c r="D58" s="69"/>
      <c r="E58" s="69"/>
      <c r="F58" s="69"/>
      <c r="G58" s="69"/>
      <c r="H58" s="69"/>
      <c r="I58" s="69"/>
      <c r="J58" s="69"/>
      <c r="K58" s="69"/>
      <c r="L58" s="69"/>
      <c r="M58" s="69"/>
      <c r="N58" s="69"/>
      <c r="O58" s="69"/>
      <c r="P58" s="69"/>
      <c r="Q58" s="69"/>
      <c r="R58" s="69"/>
      <c r="S58" s="69"/>
      <c r="T58" s="69"/>
      <c r="U58" s="69"/>
    </row>
    <row r="59" spans="1:21" ht="17.25" x14ac:dyDescent="0.35">
      <c r="A59" s="69"/>
      <c r="B59" s="69"/>
      <c r="C59" s="69"/>
      <c r="D59" s="69"/>
      <c r="E59" s="69"/>
      <c r="F59" s="69"/>
      <c r="G59" s="69"/>
      <c r="H59" s="69"/>
      <c r="I59" s="69"/>
      <c r="J59" s="69"/>
      <c r="K59" s="69"/>
      <c r="L59" s="69"/>
      <c r="M59" s="69"/>
      <c r="N59" s="69"/>
      <c r="O59" s="69"/>
      <c r="P59" s="69"/>
      <c r="Q59" s="69"/>
      <c r="R59" s="69"/>
      <c r="S59" s="69"/>
      <c r="T59" s="69"/>
      <c r="U59" s="69"/>
    </row>
    <row r="60" spans="1:21" ht="17.25" x14ac:dyDescent="0.35">
      <c r="A60" s="69"/>
      <c r="B60" s="69"/>
      <c r="C60" s="69"/>
      <c r="D60" s="69"/>
      <c r="E60" s="69"/>
      <c r="F60" s="69"/>
      <c r="G60" s="69"/>
      <c r="H60" s="69"/>
      <c r="I60" s="69"/>
      <c r="J60" s="69"/>
      <c r="K60" s="69"/>
      <c r="L60" s="69"/>
      <c r="M60" s="69"/>
      <c r="N60" s="69"/>
      <c r="O60" s="69"/>
      <c r="P60" s="69"/>
      <c r="Q60" s="69"/>
      <c r="R60" s="69"/>
      <c r="S60" s="69"/>
      <c r="T60" s="69"/>
      <c r="U60" s="69"/>
    </row>
  </sheetData>
  <pageMargins left="0.7" right="0.7" top="0.75" bottom="0.75" header="0.3" footer="0.3"/>
  <pageSetup paperSize="9" scale="56"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KopierForside">
                <anchor moveWithCells="1">
                  <from>
                    <xdr:col>17</xdr:col>
                    <xdr:colOff>9525</xdr:colOff>
                    <xdr:row>0</xdr:row>
                    <xdr:rowOff>0</xdr:rowOff>
                  </from>
                  <to>
                    <xdr:col>19</xdr:col>
                    <xdr:colOff>9525</xdr:colOff>
                    <xdr:row>2</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29296-066F-43B8-86A8-10F52FFACBA3}">
  <sheetPr codeName="Ark5">
    <tabColor rgb="FFFDE9C4"/>
  </sheetPr>
  <dimension ref="A1:L55"/>
  <sheetViews>
    <sheetView showGridLines="0" showRowColHeaders="0" zoomScale="90" zoomScaleNormal="90" workbookViewId="0">
      <selection activeCell="B1" sqref="B1"/>
    </sheetView>
  </sheetViews>
  <sheetFormatPr baseColWidth="10" defaultColWidth="12" defaultRowHeight="15" x14ac:dyDescent="0.25"/>
  <cols>
    <col min="1" max="1" width="5.85546875" style="1" customWidth="1"/>
    <col min="2" max="2" width="97.85546875" style="1" customWidth="1"/>
    <col min="3" max="16384" width="12" style="1"/>
  </cols>
  <sheetData>
    <row r="1" spans="1:12" ht="17.25" x14ac:dyDescent="0.35">
      <c r="A1" s="68"/>
      <c r="B1" s="68"/>
      <c r="C1" s="68"/>
      <c r="D1" s="68"/>
      <c r="E1" s="68"/>
      <c r="F1" s="68"/>
      <c r="G1" s="68"/>
      <c r="H1" s="68"/>
      <c r="I1" s="68"/>
      <c r="J1" s="68"/>
      <c r="K1" s="68"/>
      <c r="L1" s="68"/>
    </row>
    <row r="2" spans="1:12" ht="17.25" x14ac:dyDescent="0.35">
      <c r="A2" s="68"/>
      <c r="B2" s="68"/>
      <c r="C2" s="68"/>
      <c r="D2" s="68"/>
      <c r="E2" s="68"/>
      <c r="F2" s="68"/>
      <c r="G2" s="68"/>
      <c r="H2" s="68"/>
      <c r="I2" s="68"/>
      <c r="J2" s="68"/>
      <c r="K2" s="68"/>
      <c r="L2" s="68"/>
    </row>
    <row r="3" spans="1:12" ht="31.5" x14ac:dyDescent="0.35">
      <c r="A3" s="68"/>
      <c r="B3" s="70" t="s">
        <v>0</v>
      </c>
      <c r="C3" s="68"/>
      <c r="D3" s="68"/>
      <c r="E3" s="68"/>
      <c r="F3" s="68"/>
      <c r="G3" s="68"/>
      <c r="H3" s="68"/>
      <c r="I3" s="68"/>
      <c r="J3" s="68"/>
      <c r="K3" s="68"/>
      <c r="L3" s="68"/>
    </row>
    <row r="4" spans="1:12" ht="17.25" x14ac:dyDescent="0.35">
      <c r="A4" s="68"/>
      <c r="B4" s="75" t="s">
        <v>333</v>
      </c>
      <c r="C4" s="68"/>
      <c r="D4" s="68" t="s">
        <v>335</v>
      </c>
      <c r="E4" s="68"/>
      <c r="F4" s="68"/>
      <c r="G4" s="68"/>
      <c r="H4" s="68"/>
      <c r="I4" s="68"/>
      <c r="J4" s="68"/>
      <c r="K4" s="68"/>
      <c r="L4" s="68"/>
    </row>
    <row r="5" spans="1:12" ht="17.25" x14ac:dyDescent="0.35">
      <c r="A5" s="68"/>
      <c r="B5" s="76" t="s">
        <v>334</v>
      </c>
      <c r="C5" s="68"/>
      <c r="D5" s="68"/>
      <c r="E5" s="68"/>
      <c r="F5" s="68"/>
      <c r="G5" s="68"/>
      <c r="H5" s="68"/>
      <c r="I5" s="68"/>
      <c r="J5" s="68"/>
      <c r="K5" s="68"/>
      <c r="L5" s="68"/>
    </row>
    <row r="6" spans="1:12" ht="17.25" x14ac:dyDescent="0.35">
      <c r="A6" s="68"/>
      <c r="B6" s="75" t="s">
        <v>340</v>
      </c>
      <c r="C6" s="68"/>
      <c r="D6" s="68"/>
      <c r="E6" s="68"/>
      <c r="F6" s="68"/>
      <c r="G6" s="68"/>
      <c r="H6" s="68"/>
      <c r="I6" s="68"/>
      <c r="J6" s="68"/>
      <c r="K6" s="68"/>
      <c r="L6" s="68"/>
    </row>
    <row r="7" spans="1:12" ht="17.25" x14ac:dyDescent="0.35">
      <c r="A7" s="68"/>
      <c r="B7" s="77"/>
      <c r="C7" s="68"/>
      <c r="D7" s="68"/>
      <c r="E7" s="68"/>
      <c r="F7" s="68"/>
      <c r="G7" s="68"/>
      <c r="H7" s="68"/>
      <c r="I7" s="68"/>
      <c r="J7" s="68"/>
      <c r="K7" s="68"/>
      <c r="L7" s="68"/>
    </row>
    <row r="8" spans="1:12" ht="13.9" customHeight="1" x14ac:dyDescent="0.35">
      <c r="A8" s="68"/>
      <c r="B8" s="78"/>
      <c r="C8" s="68"/>
      <c r="D8" s="68"/>
      <c r="E8" s="68"/>
      <c r="F8" s="68"/>
      <c r="G8" s="68"/>
      <c r="H8" s="68"/>
      <c r="I8" s="68"/>
      <c r="J8" s="68"/>
      <c r="K8" s="68"/>
      <c r="L8" s="68"/>
    </row>
    <row r="9" spans="1:12" ht="13.9" customHeight="1" x14ac:dyDescent="0.35">
      <c r="A9" s="68"/>
      <c r="B9" s="79" t="s">
        <v>1</v>
      </c>
      <c r="C9" s="68"/>
      <c r="D9" s="68"/>
      <c r="E9" s="68"/>
      <c r="F9" s="68"/>
      <c r="G9" s="68"/>
      <c r="H9" s="68"/>
      <c r="I9" s="68"/>
      <c r="J9" s="68"/>
      <c r="K9" s="80"/>
      <c r="L9" s="68"/>
    </row>
    <row r="10" spans="1:12" ht="7.5" customHeight="1" x14ac:dyDescent="0.35">
      <c r="A10" s="68"/>
      <c r="B10" s="81"/>
      <c r="C10" s="68"/>
      <c r="D10" s="68"/>
      <c r="E10" s="68"/>
      <c r="F10" s="68"/>
      <c r="G10" s="68"/>
      <c r="H10" s="68"/>
      <c r="I10" s="68"/>
      <c r="J10" s="68"/>
      <c r="K10" s="80"/>
      <c r="L10" s="68"/>
    </row>
    <row r="11" spans="1:12" ht="32.25" customHeight="1" x14ac:dyDescent="0.35">
      <c r="A11" s="68"/>
      <c r="B11" s="81" t="s">
        <v>332</v>
      </c>
      <c r="C11" s="68"/>
      <c r="D11" s="68"/>
      <c r="E11" s="68"/>
      <c r="F11" s="68"/>
      <c r="G11" s="68"/>
      <c r="H11" s="68"/>
      <c r="I11" s="68"/>
      <c r="J11" s="68"/>
      <c r="K11" s="80"/>
      <c r="L11" s="68"/>
    </row>
    <row r="12" spans="1:12" ht="32.25" customHeight="1" x14ac:dyDescent="0.35">
      <c r="A12" s="68"/>
      <c r="B12" s="81" t="s">
        <v>331</v>
      </c>
      <c r="C12" s="68"/>
      <c r="D12" s="68"/>
      <c r="E12" s="68"/>
      <c r="F12" s="68"/>
      <c r="G12" s="68"/>
      <c r="H12" s="68"/>
      <c r="I12" s="68"/>
      <c r="J12" s="68"/>
      <c r="K12" s="80"/>
      <c r="L12" s="68"/>
    </row>
    <row r="13" spans="1:12" ht="13.15" customHeight="1" x14ac:dyDescent="0.35">
      <c r="A13" s="68"/>
      <c r="B13" s="81"/>
      <c r="C13" s="68"/>
      <c r="D13" s="68"/>
      <c r="E13" s="68"/>
      <c r="F13" s="68"/>
      <c r="G13" s="68"/>
      <c r="H13" s="68"/>
      <c r="I13" s="68"/>
      <c r="J13" s="68"/>
      <c r="K13" s="80"/>
      <c r="L13" s="68"/>
    </row>
    <row r="14" spans="1:12" ht="13.15" customHeight="1" x14ac:dyDescent="0.35">
      <c r="A14" s="68"/>
      <c r="B14" s="81"/>
      <c r="C14" s="68"/>
      <c r="D14" s="68"/>
      <c r="E14" s="68"/>
      <c r="F14" s="68"/>
      <c r="G14" s="68"/>
      <c r="H14" s="68"/>
      <c r="I14" s="68"/>
      <c r="J14" s="68"/>
      <c r="K14" s="80"/>
      <c r="L14" s="68"/>
    </row>
    <row r="15" spans="1:12" ht="17.25" customHeight="1" x14ac:dyDescent="0.35">
      <c r="A15" s="68"/>
      <c r="B15" s="82" t="s">
        <v>2</v>
      </c>
      <c r="C15" s="68"/>
      <c r="D15" s="68"/>
      <c r="E15" s="68"/>
      <c r="F15" s="68"/>
      <c r="G15" s="68"/>
      <c r="H15" s="68"/>
      <c r="I15" s="68"/>
      <c r="J15" s="68"/>
      <c r="K15" s="80"/>
      <c r="L15" s="68"/>
    </row>
    <row r="16" spans="1:12" s="51" customFormat="1" ht="78" customHeight="1" x14ac:dyDescent="0.25">
      <c r="A16" s="83"/>
      <c r="B16" s="81" t="s">
        <v>339</v>
      </c>
      <c r="C16" s="83"/>
      <c r="D16" s="83"/>
      <c r="E16" s="83"/>
      <c r="F16" s="83"/>
      <c r="G16" s="83"/>
      <c r="H16" s="83"/>
      <c r="I16" s="83"/>
      <c r="J16" s="83"/>
      <c r="K16" s="83"/>
      <c r="L16" s="83"/>
    </row>
    <row r="17" spans="1:12" s="51" customFormat="1" ht="13.9" customHeight="1" x14ac:dyDescent="0.25">
      <c r="A17" s="83"/>
      <c r="B17" s="81"/>
      <c r="C17" s="83"/>
      <c r="D17" s="83"/>
      <c r="E17" s="83"/>
      <c r="F17" s="83"/>
      <c r="G17" s="83"/>
      <c r="H17" s="83"/>
      <c r="I17" s="83"/>
      <c r="J17" s="83"/>
      <c r="K17" s="83"/>
      <c r="L17" s="83"/>
    </row>
    <row r="18" spans="1:12" ht="23.25" customHeight="1" x14ac:dyDescent="0.35">
      <c r="A18" s="68"/>
      <c r="B18" s="84" t="s">
        <v>336</v>
      </c>
      <c r="C18" s="68"/>
      <c r="D18" s="68"/>
      <c r="E18" s="68"/>
      <c r="F18" s="68"/>
      <c r="G18" s="68"/>
      <c r="H18" s="68"/>
      <c r="I18" s="68"/>
      <c r="J18" s="68"/>
      <c r="K18" s="68"/>
      <c r="L18" s="68"/>
    </row>
    <row r="19" spans="1:12" ht="17.25" x14ac:dyDescent="0.35">
      <c r="A19" s="68"/>
      <c r="B19" s="68"/>
      <c r="C19" s="68"/>
      <c r="D19" s="68"/>
      <c r="E19" s="68"/>
      <c r="F19" s="68"/>
      <c r="G19" s="68"/>
      <c r="H19" s="68"/>
      <c r="I19" s="68"/>
      <c r="J19" s="68"/>
      <c r="K19" s="68"/>
      <c r="L19" s="68"/>
    </row>
    <row r="20" spans="1:12" ht="17.25" x14ac:dyDescent="0.35">
      <c r="A20" s="68"/>
      <c r="B20" s="68"/>
      <c r="C20" s="68"/>
      <c r="D20" s="68"/>
      <c r="E20" s="68"/>
      <c r="F20" s="68"/>
      <c r="G20" s="68"/>
      <c r="H20" s="68"/>
      <c r="I20" s="68"/>
      <c r="J20" s="68"/>
      <c r="K20" s="68"/>
      <c r="L20" s="68"/>
    </row>
    <row r="21" spans="1:12" ht="17.25" x14ac:dyDescent="0.35">
      <c r="A21" s="68"/>
      <c r="B21" s="68"/>
      <c r="C21" s="68"/>
      <c r="D21" s="68"/>
      <c r="E21" s="68"/>
      <c r="F21" s="68"/>
      <c r="G21" s="68"/>
      <c r="H21" s="68"/>
      <c r="I21" s="68"/>
      <c r="J21" s="68"/>
      <c r="K21" s="68"/>
      <c r="L21" s="68"/>
    </row>
    <row r="22" spans="1:12" ht="17.25" x14ac:dyDescent="0.35">
      <c r="A22" s="68"/>
      <c r="B22" s="68"/>
      <c r="C22" s="68"/>
      <c r="D22" s="68"/>
      <c r="E22" s="68"/>
      <c r="F22" s="68"/>
      <c r="G22" s="68"/>
      <c r="H22" s="68"/>
      <c r="I22" s="68"/>
      <c r="J22" s="68"/>
      <c r="K22" s="68"/>
      <c r="L22" s="68"/>
    </row>
    <row r="23" spans="1:12" ht="17.25" x14ac:dyDescent="0.35">
      <c r="A23" s="68"/>
      <c r="B23" s="68"/>
      <c r="C23" s="68"/>
      <c r="D23" s="68"/>
      <c r="E23" s="68"/>
      <c r="F23" s="68"/>
      <c r="G23" s="68"/>
      <c r="H23" s="68"/>
      <c r="I23" s="68"/>
      <c r="J23" s="68"/>
      <c r="K23" s="68"/>
      <c r="L23" s="68"/>
    </row>
    <row r="24" spans="1:12" ht="17.25" x14ac:dyDescent="0.35">
      <c r="A24" s="68"/>
      <c r="B24" s="68"/>
      <c r="C24" s="68"/>
      <c r="D24" s="68"/>
      <c r="E24" s="68"/>
      <c r="F24" s="68"/>
      <c r="G24" s="68"/>
      <c r="H24" s="68"/>
      <c r="I24" s="68"/>
      <c r="J24" s="68"/>
      <c r="K24" s="68"/>
      <c r="L24" s="68"/>
    </row>
    <row r="25" spans="1:12" ht="17.25" x14ac:dyDescent="0.35">
      <c r="A25" s="68"/>
      <c r="B25" s="68"/>
      <c r="C25" s="68"/>
      <c r="D25" s="68"/>
      <c r="E25" s="68"/>
      <c r="F25" s="68"/>
      <c r="G25" s="68"/>
      <c r="H25" s="68"/>
      <c r="I25" s="68"/>
      <c r="J25" s="68"/>
      <c r="K25" s="68"/>
      <c r="L25" s="68"/>
    </row>
    <row r="26" spans="1:12" ht="17.25" x14ac:dyDescent="0.35">
      <c r="A26" s="68"/>
      <c r="B26" s="68"/>
      <c r="C26" s="68"/>
      <c r="D26" s="68"/>
      <c r="E26" s="68"/>
      <c r="F26" s="68"/>
      <c r="G26" s="68"/>
      <c r="H26" s="68"/>
      <c r="I26" s="68"/>
      <c r="J26" s="68"/>
      <c r="K26" s="68"/>
      <c r="L26" s="68"/>
    </row>
    <row r="27" spans="1:12" ht="17.25" x14ac:dyDescent="0.35">
      <c r="A27" s="68"/>
      <c r="B27" s="68"/>
      <c r="C27" s="68"/>
      <c r="D27" s="68"/>
      <c r="E27" s="68"/>
      <c r="F27" s="68"/>
      <c r="G27" s="68"/>
      <c r="H27" s="68"/>
      <c r="I27" s="68"/>
      <c r="J27" s="68"/>
      <c r="K27" s="68"/>
      <c r="L27" s="68"/>
    </row>
    <row r="28" spans="1:12" ht="17.25" x14ac:dyDescent="0.35">
      <c r="A28" s="68"/>
      <c r="B28" s="68"/>
      <c r="C28" s="68"/>
      <c r="D28" s="68"/>
      <c r="E28" s="68"/>
      <c r="F28" s="68"/>
      <c r="G28" s="68"/>
      <c r="H28" s="68"/>
      <c r="I28" s="68"/>
      <c r="J28" s="68"/>
      <c r="K28" s="68"/>
      <c r="L28" s="68"/>
    </row>
    <row r="29" spans="1:12" ht="17.25" x14ac:dyDescent="0.35">
      <c r="A29" s="68"/>
      <c r="B29" s="68"/>
      <c r="C29" s="68"/>
      <c r="D29" s="68"/>
      <c r="E29" s="68"/>
      <c r="F29" s="68"/>
      <c r="G29" s="68"/>
      <c r="H29" s="68"/>
      <c r="I29" s="68"/>
      <c r="J29" s="68"/>
      <c r="K29" s="68"/>
      <c r="L29" s="68"/>
    </row>
    <row r="30" spans="1:12" ht="17.25" x14ac:dyDescent="0.35">
      <c r="A30" s="68"/>
      <c r="B30" s="68"/>
      <c r="C30" s="68"/>
      <c r="D30" s="68"/>
      <c r="E30" s="68"/>
      <c r="F30" s="68"/>
      <c r="G30" s="68"/>
      <c r="H30" s="68"/>
      <c r="I30" s="68"/>
      <c r="J30" s="68"/>
      <c r="K30" s="68"/>
      <c r="L30" s="68"/>
    </row>
    <row r="31" spans="1:12" ht="17.25" x14ac:dyDescent="0.35">
      <c r="A31" s="68"/>
      <c r="B31" s="68"/>
      <c r="C31" s="68"/>
      <c r="D31" s="68"/>
      <c r="E31" s="68"/>
      <c r="F31" s="68"/>
      <c r="G31" s="68"/>
      <c r="H31" s="68"/>
      <c r="I31" s="68"/>
      <c r="J31" s="68"/>
      <c r="K31" s="68"/>
      <c r="L31" s="68"/>
    </row>
    <row r="32" spans="1:12" ht="17.25" x14ac:dyDescent="0.35">
      <c r="A32" s="68"/>
      <c r="B32" s="68"/>
      <c r="C32" s="68"/>
      <c r="D32" s="68"/>
      <c r="E32" s="68"/>
      <c r="F32" s="68"/>
      <c r="G32" s="68"/>
      <c r="H32" s="68"/>
      <c r="I32" s="68"/>
      <c r="J32" s="68"/>
      <c r="K32" s="68"/>
      <c r="L32" s="68"/>
    </row>
    <row r="33" spans="1:12" ht="17.25" x14ac:dyDescent="0.35">
      <c r="A33" s="68"/>
      <c r="B33" s="68"/>
      <c r="C33" s="68"/>
      <c r="D33" s="68"/>
      <c r="E33" s="68"/>
      <c r="F33" s="68"/>
      <c r="G33" s="68"/>
      <c r="H33" s="68"/>
      <c r="I33" s="68"/>
      <c r="J33" s="68"/>
      <c r="K33" s="68"/>
      <c r="L33" s="68"/>
    </row>
    <row r="34" spans="1:12" ht="17.25" x14ac:dyDescent="0.35">
      <c r="A34" s="68"/>
      <c r="B34" s="68"/>
      <c r="C34" s="68"/>
      <c r="D34" s="68"/>
      <c r="E34" s="68"/>
      <c r="F34" s="68"/>
      <c r="G34" s="68"/>
      <c r="H34" s="68"/>
      <c r="I34" s="68"/>
      <c r="J34" s="68"/>
      <c r="K34" s="68"/>
      <c r="L34" s="68"/>
    </row>
    <row r="35" spans="1:12" ht="17.25" x14ac:dyDescent="0.35">
      <c r="A35" s="68"/>
      <c r="B35" s="68"/>
      <c r="C35" s="68"/>
      <c r="D35" s="68"/>
      <c r="E35" s="68"/>
      <c r="F35" s="68"/>
      <c r="G35" s="68"/>
      <c r="H35" s="68"/>
      <c r="I35" s="68"/>
      <c r="J35" s="68"/>
      <c r="K35" s="68"/>
      <c r="L35" s="68"/>
    </row>
    <row r="36" spans="1:12" ht="17.25" x14ac:dyDescent="0.35">
      <c r="A36" s="68"/>
      <c r="B36" s="68"/>
      <c r="C36" s="68"/>
      <c r="D36" s="68"/>
      <c r="E36" s="68"/>
      <c r="F36" s="68"/>
      <c r="G36" s="68"/>
      <c r="H36" s="68"/>
      <c r="I36" s="68"/>
      <c r="J36" s="68"/>
      <c r="K36" s="68"/>
      <c r="L36" s="68"/>
    </row>
    <row r="37" spans="1:12" ht="17.25" x14ac:dyDescent="0.35">
      <c r="A37" s="68"/>
      <c r="B37" s="68"/>
      <c r="C37" s="68"/>
      <c r="D37" s="68"/>
      <c r="E37" s="68"/>
      <c r="F37" s="68"/>
      <c r="G37" s="68"/>
      <c r="H37" s="68"/>
      <c r="I37" s="68"/>
      <c r="J37" s="68"/>
      <c r="K37" s="68"/>
      <c r="L37" s="68"/>
    </row>
    <row r="38" spans="1:12" ht="17.25" x14ac:dyDescent="0.35">
      <c r="A38" s="68"/>
      <c r="B38" s="68"/>
      <c r="C38" s="68"/>
      <c r="D38" s="68"/>
      <c r="E38" s="68"/>
      <c r="F38" s="68"/>
      <c r="G38" s="68"/>
      <c r="H38" s="68"/>
      <c r="I38" s="68"/>
      <c r="J38" s="68"/>
      <c r="K38" s="68"/>
      <c r="L38" s="68"/>
    </row>
    <row r="39" spans="1:12" ht="17.25" x14ac:dyDescent="0.35">
      <c r="A39" s="68"/>
      <c r="B39" s="68"/>
      <c r="C39" s="68"/>
      <c r="D39" s="68"/>
      <c r="E39" s="68"/>
      <c r="F39" s="68"/>
      <c r="G39" s="68"/>
      <c r="H39" s="68"/>
      <c r="I39" s="68"/>
      <c r="J39" s="68"/>
      <c r="K39" s="68"/>
      <c r="L39" s="68"/>
    </row>
    <row r="40" spans="1:12" ht="17.25" x14ac:dyDescent="0.35">
      <c r="A40" s="68"/>
      <c r="B40" s="68"/>
      <c r="C40" s="68"/>
      <c r="D40" s="68"/>
      <c r="E40" s="68"/>
      <c r="F40" s="68"/>
      <c r="G40" s="68"/>
      <c r="H40" s="68"/>
      <c r="I40" s="68"/>
      <c r="J40" s="68"/>
      <c r="K40" s="68"/>
      <c r="L40" s="68"/>
    </row>
    <row r="41" spans="1:12" ht="17.25" x14ac:dyDescent="0.35">
      <c r="A41" s="68"/>
      <c r="B41" s="68"/>
      <c r="C41" s="68"/>
      <c r="D41" s="68"/>
      <c r="E41" s="68"/>
      <c r="F41" s="68"/>
      <c r="G41" s="68"/>
      <c r="H41" s="68"/>
      <c r="I41" s="68"/>
      <c r="J41" s="68"/>
      <c r="K41" s="68"/>
      <c r="L41" s="68"/>
    </row>
    <row r="42" spans="1:12" ht="17.25" x14ac:dyDescent="0.35">
      <c r="A42" s="68"/>
      <c r="B42" s="68"/>
      <c r="C42" s="68"/>
      <c r="D42" s="68"/>
      <c r="E42" s="68"/>
      <c r="F42" s="68"/>
      <c r="G42" s="68"/>
      <c r="H42" s="68"/>
      <c r="I42" s="68"/>
      <c r="J42" s="68"/>
      <c r="K42" s="68"/>
      <c r="L42" s="68"/>
    </row>
    <row r="43" spans="1:12" ht="17.25" x14ac:dyDescent="0.35">
      <c r="A43" s="68"/>
      <c r="B43" s="68"/>
      <c r="C43" s="68"/>
      <c r="D43" s="68"/>
      <c r="E43" s="68"/>
      <c r="F43" s="68"/>
      <c r="G43" s="68"/>
      <c r="H43" s="68"/>
      <c r="I43" s="68"/>
      <c r="J43" s="68"/>
      <c r="K43" s="68"/>
      <c r="L43" s="68"/>
    </row>
    <row r="44" spans="1:12" ht="17.25" x14ac:dyDescent="0.35">
      <c r="A44" s="68"/>
      <c r="B44" s="68"/>
      <c r="C44" s="68"/>
      <c r="D44" s="68"/>
      <c r="E44" s="68"/>
      <c r="F44" s="68"/>
      <c r="G44" s="68"/>
      <c r="H44" s="68"/>
      <c r="I44" s="68"/>
      <c r="J44" s="68"/>
      <c r="K44" s="68"/>
      <c r="L44" s="68"/>
    </row>
    <row r="45" spans="1:12" ht="17.25" x14ac:dyDescent="0.35">
      <c r="A45" s="68"/>
      <c r="B45" s="68"/>
      <c r="C45" s="68"/>
      <c r="D45" s="68"/>
      <c r="E45" s="68"/>
      <c r="F45" s="68"/>
      <c r="G45" s="68"/>
      <c r="H45" s="68"/>
      <c r="I45" s="68"/>
      <c r="J45" s="68"/>
      <c r="K45" s="68"/>
      <c r="L45" s="68"/>
    </row>
    <row r="46" spans="1:12" ht="17.25" x14ac:dyDescent="0.35">
      <c r="A46" s="68"/>
      <c r="B46" s="68"/>
      <c r="C46" s="68"/>
      <c r="D46" s="68"/>
      <c r="E46" s="68"/>
      <c r="F46" s="68"/>
      <c r="G46" s="68"/>
      <c r="H46" s="68"/>
      <c r="I46" s="68"/>
      <c r="J46" s="68"/>
      <c r="K46" s="68"/>
      <c r="L46" s="68"/>
    </row>
    <row r="47" spans="1:12" ht="17.25" x14ac:dyDescent="0.35">
      <c r="A47" s="68"/>
      <c r="B47" s="68"/>
      <c r="C47" s="68"/>
      <c r="D47" s="68"/>
      <c r="E47" s="68"/>
      <c r="F47" s="68"/>
      <c r="G47" s="68"/>
      <c r="H47" s="68"/>
      <c r="I47" s="68"/>
      <c r="J47" s="68"/>
      <c r="K47" s="68"/>
      <c r="L47" s="68"/>
    </row>
    <row r="48" spans="1:12" ht="17.25" x14ac:dyDescent="0.35">
      <c r="A48" s="68"/>
      <c r="B48" s="68"/>
      <c r="C48" s="68"/>
      <c r="D48" s="68"/>
      <c r="E48" s="68"/>
      <c r="F48" s="68"/>
      <c r="G48" s="68"/>
      <c r="H48" s="68"/>
      <c r="I48" s="68"/>
      <c r="J48" s="68"/>
      <c r="K48" s="68"/>
      <c r="L48" s="68"/>
    </row>
    <row r="49" spans="1:12" ht="17.25" x14ac:dyDescent="0.35">
      <c r="A49" s="68"/>
      <c r="B49" s="68"/>
      <c r="C49" s="68"/>
      <c r="D49" s="68"/>
      <c r="E49" s="68"/>
      <c r="F49" s="68"/>
      <c r="G49" s="68"/>
      <c r="H49" s="68"/>
      <c r="I49" s="68"/>
      <c r="J49" s="68"/>
      <c r="K49" s="68"/>
      <c r="L49" s="68"/>
    </row>
    <row r="50" spans="1:12" ht="17.25" x14ac:dyDescent="0.35">
      <c r="A50" s="68"/>
      <c r="B50" s="68"/>
      <c r="C50" s="68"/>
      <c r="D50" s="68"/>
      <c r="E50" s="68"/>
      <c r="F50" s="68"/>
      <c r="G50" s="68"/>
      <c r="H50" s="68"/>
      <c r="I50" s="68"/>
      <c r="J50" s="68"/>
      <c r="K50" s="68"/>
      <c r="L50" s="68"/>
    </row>
    <row r="51" spans="1:12" ht="17.25" x14ac:dyDescent="0.35">
      <c r="A51" s="68"/>
      <c r="B51" s="68"/>
      <c r="C51" s="68"/>
      <c r="D51" s="68"/>
      <c r="E51" s="68"/>
      <c r="F51" s="68"/>
      <c r="G51" s="68"/>
      <c r="H51" s="68"/>
      <c r="I51" s="68"/>
      <c r="J51" s="68"/>
      <c r="K51" s="68"/>
      <c r="L51" s="68"/>
    </row>
    <row r="52" spans="1:12" ht="17.25" x14ac:dyDescent="0.35">
      <c r="A52" s="68"/>
      <c r="B52" s="68"/>
      <c r="C52" s="68"/>
      <c r="D52" s="68"/>
      <c r="E52" s="68"/>
      <c r="F52" s="68"/>
      <c r="G52" s="68"/>
      <c r="H52" s="68"/>
      <c r="I52" s="68"/>
      <c r="J52" s="68"/>
      <c r="K52" s="68"/>
      <c r="L52" s="68"/>
    </row>
    <row r="53" spans="1:12" ht="17.25" x14ac:dyDescent="0.35">
      <c r="A53" s="68"/>
      <c r="B53" s="68"/>
      <c r="C53" s="68"/>
      <c r="D53" s="68"/>
      <c r="E53" s="68"/>
      <c r="F53" s="68"/>
      <c r="G53" s="68"/>
      <c r="H53" s="68"/>
      <c r="I53" s="68"/>
      <c r="J53" s="68"/>
      <c r="K53" s="68"/>
      <c r="L53" s="68"/>
    </row>
    <row r="54" spans="1:12" ht="17.25" x14ac:dyDescent="0.35">
      <c r="A54" s="68"/>
      <c r="B54" s="68"/>
      <c r="C54" s="68"/>
      <c r="D54" s="68"/>
      <c r="E54" s="68"/>
      <c r="F54" s="68"/>
      <c r="G54" s="68"/>
      <c r="H54" s="68"/>
      <c r="I54" s="68"/>
      <c r="J54" s="68"/>
      <c r="K54" s="68"/>
      <c r="L54" s="68"/>
    </row>
    <row r="55" spans="1:12" ht="17.25" x14ac:dyDescent="0.35">
      <c r="A55" s="68"/>
      <c r="B55" s="68"/>
      <c r="C55" s="68"/>
      <c r="D55" s="68"/>
      <c r="E55" s="68"/>
      <c r="F55" s="68"/>
      <c r="G55" s="68"/>
      <c r="H55" s="68"/>
      <c r="I55" s="68"/>
      <c r="J55" s="68"/>
      <c r="K55" s="68"/>
      <c r="L55" s="68"/>
    </row>
  </sheetData>
  <sheetProtection formatCells="0" formatColumns="0" formatRows="0" insertColumns="0" insertRows="0" insertHyperlinks="0" deleteRows="0" sort="0" autoFilter="0" pivotTables="0"/>
  <hyperlinks>
    <hyperlink ref="B5" r:id="rId1" xr:uid="{D704F807-82C0-48A8-9E7C-1B18B93B40A1}"/>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8">
    <tabColor rgb="FFF9C66B"/>
  </sheetPr>
  <dimension ref="A1:N101"/>
  <sheetViews>
    <sheetView showGridLines="0" showRowColHeaders="0" zoomScale="86" zoomScaleNormal="86" workbookViewId="0">
      <selection activeCell="I16" sqref="I16"/>
    </sheetView>
  </sheetViews>
  <sheetFormatPr baseColWidth="10" defaultColWidth="11.42578125" defaultRowHeight="15" x14ac:dyDescent="0.25"/>
  <cols>
    <col min="1" max="1" width="7.5703125" style="1" customWidth="1"/>
    <col min="2" max="2" width="6" style="1" customWidth="1"/>
    <col min="3" max="3" width="4.140625" style="1" hidden="1" customWidth="1"/>
    <col min="4" max="9" width="22.140625" style="1" customWidth="1"/>
    <col min="10" max="10" width="3.140625" style="1" customWidth="1"/>
    <col min="11" max="11" width="11.42578125" style="1"/>
    <col min="12" max="12" width="41.140625" style="1" customWidth="1"/>
    <col min="13" max="16384" width="11.42578125" style="1"/>
  </cols>
  <sheetData>
    <row r="1" spans="1:14" ht="17.25" x14ac:dyDescent="0.35">
      <c r="A1" s="68"/>
      <c r="B1" s="68"/>
      <c r="C1" s="68"/>
      <c r="D1" s="68"/>
      <c r="E1" s="68"/>
      <c r="F1" s="68"/>
      <c r="G1" s="68"/>
      <c r="H1" s="68"/>
      <c r="I1" s="68"/>
      <c r="J1" s="68"/>
      <c r="K1" s="68"/>
      <c r="L1" s="68"/>
      <c r="M1" s="68"/>
      <c r="N1" s="68"/>
    </row>
    <row r="2" spans="1:14" ht="18" thickBot="1" x14ac:dyDescent="0.4">
      <c r="A2" s="68"/>
      <c r="B2" s="68"/>
      <c r="C2" s="68"/>
      <c r="D2" s="68"/>
      <c r="E2" s="68"/>
      <c r="F2" s="68"/>
      <c r="G2" s="68"/>
      <c r="H2" s="68"/>
      <c r="I2" s="68"/>
      <c r="J2" s="68"/>
      <c r="K2" s="68"/>
      <c r="L2" s="68"/>
      <c r="M2" s="68"/>
      <c r="N2" s="68"/>
    </row>
    <row r="3" spans="1:14" ht="18" thickBot="1" x14ac:dyDescent="0.4">
      <c r="A3" s="68"/>
      <c r="B3" s="68"/>
      <c r="C3" s="68"/>
      <c r="D3" s="312" t="s">
        <v>3</v>
      </c>
      <c r="E3" s="130"/>
      <c r="F3" s="312" t="s">
        <v>4</v>
      </c>
      <c r="G3" s="68"/>
      <c r="H3" s="312" t="s">
        <v>5</v>
      </c>
      <c r="I3" s="68"/>
      <c r="J3" s="68"/>
      <c r="K3" s="68"/>
      <c r="L3" s="68"/>
      <c r="M3" s="68"/>
      <c r="N3" s="68"/>
    </row>
    <row r="4" spans="1:14" ht="17.25" x14ac:dyDescent="0.35">
      <c r="A4" s="68"/>
      <c r="B4" s="68"/>
      <c r="C4" s="68"/>
      <c r="D4" s="131" t="s">
        <v>6</v>
      </c>
      <c r="E4" s="132">
        <v>1</v>
      </c>
      <c r="F4" s="131" t="s">
        <v>7</v>
      </c>
      <c r="G4" s="132">
        <v>1</v>
      </c>
      <c r="H4" s="131" t="s">
        <v>8</v>
      </c>
      <c r="I4" s="132">
        <v>1</v>
      </c>
      <c r="J4" s="68"/>
      <c r="K4" s="68"/>
      <c r="L4" s="68"/>
      <c r="M4" s="68"/>
      <c r="N4" s="68"/>
    </row>
    <row r="5" spans="1:14" ht="17.25" x14ac:dyDescent="0.35">
      <c r="A5" s="68"/>
      <c r="B5" s="68"/>
      <c r="C5" s="68"/>
      <c r="D5" s="222" t="s">
        <v>9</v>
      </c>
      <c r="E5" s="132">
        <v>2</v>
      </c>
      <c r="F5" s="222" t="s">
        <v>8</v>
      </c>
      <c r="G5" s="132">
        <v>2</v>
      </c>
      <c r="H5" s="133"/>
      <c r="I5" s="132">
        <v>2</v>
      </c>
      <c r="J5" s="68"/>
      <c r="K5" s="68"/>
      <c r="L5" s="68"/>
      <c r="M5" s="68"/>
      <c r="N5" s="68"/>
    </row>
    <row r="6" spans="1:14" ht="17.25" x14ac:dyDescent="0.35">
      <c r="A6" s="68"/>
      <c r="B6" s="68"/>
      <c r="C6" s="68"/>
      <c r="D6" s="134" t="s">
        <v>10</v>
      </c>
      <c r="E6" s="132">
        <v>3</v>
      </c>
      <c r="F6" s="134" t="s">
        <v>10</v>
      </c>
      <c r="G6" s="132">
        <v>3</v>
      </c>
      <c r="H6" s="134" t="s">
        <v>11</v>
      </c>
      <c r="I6" s="132">
        <v>3</v>
      </c>
      <c r="J6" s="68"/>
      <c r="K6" s="68"/>
      <c r="L6" s="68"/>
      <c r="M6" s="68"/>
      <c r="N6" s="68"/>
    </row>
    <row r="7" spans="1:14" ht="17.25" x14ac:dyDescent="0.35">
      <c r="A7" s="68"/>
      <c r="B7" s="68"/>
      <c r="C7" s="68"/>
      <c r="D7" s="135" t="s">
        <v>12</v>
      </c>
      <c r="E7" s="132">
        <v>4</v>
      </c>
      <c r="F7" s="135" t="s">
        <v>13</v>
      </c>
      <c r="G7" s="132">
        <v>4</v>
      </c>
      <c r="H7" s="133"/>
      <c r="I7" s="132">
        <v>4</v>
      </c>
      <c r="J7" s="68"/>
      <c r="K7" s="68"/>
      <c r="L7" s="68"/>
      <c r="M7" s="68"/>
      <c r="N7" s="68"/>
    </row>
    <row r="8" spans="1:14" ht="18" thickBot="1" x14ac:dyDescent="0.4">
      <c r="A8" s="68"/>
      <c r="B8" s="68"/>
      <c r="C8" s="68"/>
      <c r="D8" s="136" t="s">
        <v>14</v>
      </c>
      <c r="E8" s="132">
        <v>5</v>
      </c>
      <c r="F8" s="136" t="s">
        <v>15</v>
      </c>
      <c r="G8" s="132">
        <v>5</v>
      </c>
      <c r="H8" s="136" t="s">
        <v>16</v>
      </c>
      <c r="I8" s="132">
        <v>5</v>
      </c>
      <c r="J8" s="68"/>
      <c r="K8" s="68"/>
      <c r="L8" s="68"/>
      <c r="M8" s="68"/>
      <c r="N8" s="68"/>
    </row>
    <row r="9" spans="1:14" customFormat="1" ht="17.25" x14ac:dyDescent="0.35">
      <c r="A9" s="72"/>
      <c r="B9" s="72"/>
      <c r="C9" s="72"/>
      <c r="D9" s="137"/>
      <c r="E9" s="138"/>
      <c r="F9" s="137"/>
      <c r="G9" s="138"/>
      <c r="H9" s="137"/>
      <c r="I9" s="138"/>
      <c r="J9" s="72"/>
      <c r="K9" s="72"/>
      <c r="L9" s="72"/>
      <c r="M9" s="72"/>
      <c r="N9" s="72"/>
    </row>
    <row r="10" spans="1:14" ht="18" thickBot="1" x14ac:dyDescent="0.4">
      <c r="A10" s="68"/>
      <c r="B10" s="68"/>
      <c r="C10" s="68"/>
      <c r="D10" s="68"/>
      <c r="E10" s="68"/>
      <c r="F10" s="68"/>
      <c r="G10" s="68"/>
      <c r="H10" s="68"/>
      <c r="I10" s="68"/>
      <c r="J10" s="68"/>
      <c r="K10" s="68"/>
      <c r="L10" s="68"/>
      <c r="M10" s="68"/>
      <c r="N10" s="68"/>
    </row>
    <row r="11" spans="1:14" ht="17.25" x14ac:dyDescent="0.35">
      <c r="A11" s="68"/>
      <c r="B11" s="68"/>
      <c r="C11" s="68"/>
      <c r="D11" s="309" t="s">
        <v>17</v>
      </c>
      <c r="E11" s="310"/>
      <c r="F11" s="310"/>
      <c r="G11" s="310"/>
      <c r="H11" s="310"/>
      <c r="I11" s="311"/>
      <c r="J11" s="68"/>
      <c r="K11" s="139"/>
      <c r="L11" s="140"/>
      <c r="M11" s="68"/>
      <c r="N11" s="68"/>
    </row>
    <row r="12" spans="1:14" ht="28.5" customHeight="1" x14ac:dyDescent="0.35">
      <c r="A12" s="68"/>
      <c r="B12" s="68"/>
      <c r="C12" s="68"/>
      <c r="D12" s="141"/>
      <c r="E12" s="142" t="s">
        <v>18</v>
      </c>
      <c r="F12" s="142" t="s">
        <v>19</v>
      </c>
      <c r="G12" s="142" t="s">
        <v>20</v>
      </c>
      <c r="H12" s="142" t="s">
        <v>21</v>
      </c>
      <c r="I12" s="143" t="s">
        <v>22</v>
      </c>
      <c r="J12" s="68"/>
      <c r="K12" s="144"/>
      <c r="L12" s="145"/>
      <c r="M12" s="68"/>
      <c r="N12" s="68"/>
    </row>
    <row r="13" spans="1:14" ht="59.45" customHeight="1" x14ac:dyDescent="0.35">
      <c r="A13" s="68"/>
      <c r="B13" s="68"/>
      <c r="C13" s="68"/>
      <c r="D13" s="146" t="str">
        <f>F8</f>
        <v>Svært alvorlig</v>
      </c>
      <c r="E13" s="147" t="s">
        <v>23</v>
      </c>
      <c r="F13" s="147" t="s">
        <v>24</v>
      </c>
      <c r="G13" s="147" t="s">
        <v>25</v>
      </c>
      <c r="H13" s="147" t="s">
        <v>26</v>
      </c>
      <c r="I13" s="148" t="s">
        <v>366</v>
      </c>
      <c r="J13" s="68"/>
      <c r="K13" s="149"/>
      <c r="L13" s="150"/>
      <c r="M13" s="68"/>
      <c r="N13" s="68"/>
    </row>
    <row r="14" spans="1:14" ht="63.6" customHeight="1" x14ac:dyDescent="0.35">
      <c r="A14" s="68"/>
      <c r="B14" s="68"/>
      <c r="C14" s="68"/>
      <c r="D14" s="146" t="str">
        <f>F7</f>
        <v>Alvorlig</v>
      </c>
      <c r="E14" s="151" t="s">
        <v>27</v>
      </c>
      <c r="F14" s="151" t="s">
        <v>28</v>
      </c>
      <c r="G14" s="151" t="s">
        <v>29</v>
      </c>
      <c r="H14" s="151" t="s">
        <v>30</v>
      </c>
      <c r="I14" s="152" t="s">
        <v>367</v>
      </c>
      <c r="J14" s="68"/>
      <c r="K14" s="149"/>
      <c r="L14" s="150"/>
      <c r="M14" s="68"/>
      <c r="N14" s="68"/>
    </row>
    <row r="15" spans="1:14" ht="68.45" customHeight="1" x14ac:dyDescent="0.35">
      <c r="A15" s="68"/>
      <c r="B15" s="68"/>
      <c r="C15" s="68"/>
      <c r="D15" s="146" t="str">
        <f>F6</f>
        <v>Moderat</v>
      </c>
      <c r="E15" s="153" t="s">
        <v>31</v>
      </c>
      <c r="F15" s="153" t="s">
        <v>32</v>
      </c>
      <c r="G15" s="153" t="s">
        <v>33</v>
      </c>
      <c r="H15" s="153" t="s">
        <v>34</v>
      </c>
      <c r="I15" s="154" t="s">
        <v>35</v>
      </c>
      <c r="J15" s="68"/>
      <c r="K15" s="149"/>
      <c r="L15" s="150"/>
      <c r="M15" s="68"/>
      <c r="N15" s="68"/>
    </row>
    <row r="16" spans="1:14" ht="56.45" customHeight="1" x14ac:dyDescent="0.35">
      <c r="A16" s="68"/>
      <c r="B16" s="68"/>
      <c r="C16" s="68"/>
      <c r="D16" s="146" t="str">
        <f>F5</f>
        <v>Lav</v>
      </c>
      <c r="E16" s="223" t="s">
        <v>36</v>
      </c>
      <c r="F16" s="223" t="s">
        <v>37</v>
      </c>
      <c r="G16" s="223" t="s">
        <v>38</v>
      </c>
      <c r="H16" s="223" t="s">
        <v>39</v>
      </c>
      <c r="I16" s="224" t="s">
        <v>368</v>
      </c>
      <c r="J16" s="68"/>
      <c r="K16" s="149"/>
      <c r="L16" s="150"/>
      <c r="M16" s="68"/>
      <c r="N16" s="68"/>
    </row>
    <row r="17" spans="1:14" ht="51.6" customHeight="1" thickBot="1" x14ac:dyDescent="0.4">
      <c r="A17" s="68"/>
      <c r="B17" s="68"/>
      <c r="C17" s="68"/>
      <c r="D17" s="155" t="str">
        <f>F4</f>
        <v>Ubetydelig</v>
      </c>
      <c r="E17" s="156" t="s">
        <v>40</v>
      </c>
      <c r="F17" s="156" t="s">
        <v>41</v>
      </c>
      <c r="G17" s="156" t="s">
        <v>42</v>
      </c>
      <c r="H17" s="156" t="s">
        <v>43</v>
      </c>
      <c r="I17" s="157" t="s">
        <v>44</v>
      </c>
      <c r="J17" s="68"/>
      <c r="K17" s="149"/>
      <c r="L17" s="150"/>
      <c r="M17" s="68"/>
      <c r="N17" s="68"/>
    </row>
    <row r="18" spans="1:14" ht="17.25" hidden="1" x14ac:dyDescent="0.35">
      <c r="A18" s="68"/>
      <c r="B18" s="68"/>
      <c r="C18" s="68"/>
      <c r="D18" s="68"/>
      <c r="E18" s="68"/>
      <c r="F18" s="68"/>
      <c r="G18" s="68"/>
      <c r="H18" s="68"/>
      <c r="I18" s="68"/>
      <c r="J18" s="68"/>
      <c r="K18" s="68"/>
      <c r="L18" s="68"/>
      <c r="M18" s="68"/>
      <c r="N18" s="68"/>
    </row>
    <row r="19" spans="1:14" ht="17.25" hidden="1" x14ac:dyDescent="0.35">
      <c r="A19" s="68"/>
      <c r="B19" s="68"/>
      <c r="C19" s="68"/>
      <c r="D19" s="68"/>
      <c r="E19" s="68"/>
      <c r="F19" s="68"/>
      <c r="G19" s="68"/>
      <c r="H19" s="68"/>
      <c r="I19" s="68"/>
      <c r="J19" s="68"/>
      <c r="K19" s="68"/>
      <c r="L19" s="68"/>
      <c r="M19" s="68"/>
      <c r="N19" s="68"/>
    </row>
    <row r="20" spans="1:14" ht="17.25" x14ac:dyDescent="0.35">
      <c r="A20" s="68"/>
      <c r="B20" s="68"/>
      <c r="C20" s="68"/>
      <c r="D20" s="68"/>
      <c r="E20" s="68"/>
      <c r="F20" s="68"/>
      <c r="G20" s="68"/>
      <c r="H20" s="68"/>
      <c r="I20" s="68"/>
      <c r="J20" s="68"/>
      <c r="K20" s="68"/>
      <c r="L20" s="68"/>
      <c r="M20" s="68"/>
      <c r="N20" s="68"/>
    </row>
    <row r="21" spans="1:14" ht="18" thickBot="1" x14ac:dyDescent="0.4">
      <c r="A21" s="68"/>
      <c r="B21" s="68"/>
      <c r="C21" s="68"/>
      <c r="D21" s="68"/>
      <c r="E21" s="68"/>
      <c r="F21" s="68"/>
      <c r="G21" s="68"/>
      <c r="H21" s="68"/>
      <c r="I21" s="68"/>
      <c r="J21" s="68"/>
      <c r="K21" s="68"/>
      <c r="L21" s="68"/>
      <c r="M21" s="68"/>
      <c r="N21" s="68"/>
    </row>
    <row r="22" spans="1:14" ht="17.25" x14ac:dyDescent="0.35">
      <c r="A22" s="68"/>
      <c r="B22" s="68"/>
      <c r="C22" s="68"/>
      <c r="D22" s="341" t="s">
        <v>45</v>
      </c>
      <c r="E22" s="342"/>
      <c r="F22" s="342"/>
      <c r="G22" s="342"/>
      <c r="H22" s="342"/>
      <c r="I22" s="343"/>
      <c r="J22" s="68"/>
      <c r="K22" s="68"/>
      <c r="L22" s="68"/>
      <c r="M22" s="68"/>
      <c r="N22" s="68"/>
    </row>
    <row r="23" spans="1:14" ht="17.25" x14ac:dyDescent="0.35">
      <c r="A23" s="68"/>
      <c r="B23" s="68"/>
      <c r="C23" s="68"/>
      <c r="D23" s="158"/>
      <c r="E23" s="344" t="s">
        <v>46</v>
      </c>
      <c r="F23" s="345"/>
      <c r="G23" s="344" t="s">
        <v>47</v>
      </c>
      <c r="H23" s="346"/>
      <c r="I23" s="347"/>
      <c r="J23" s="68"/>
      <c r="K23" s="68"/>
      <c r="L23" s="68"/>
      <c r="M23" s="68"/>
      <c r="N23" s="68"/>
    </row>
    <row r="24" spans="1:14" ht="17.25" x14ac:dyDescent="0.35">
      <c r="A24" s="68"/>
      <c r="B24" s="68"/>
      <c r="C24" s="68"/>
      <c r="D24" s="158"/>
      <c r="E24" s="159" t="s">
        <v>48</v>
      </c>
      <c r="F24" s="159" t="s">
        <v>49</v>
      </c>
      <c r="G24" s="159" t="s">
        <v>50</v>
      </c>
      <c r="H24" s="159" t="s">
        <v>51</v>
      </c>
      <c r="I24" s="160" t="s">
        <v>52</v>
      </c>
      <c r="J24" s="68"/>
      <c r="K24" s="68"/>
      <c r="L24" s="68"/>
      <c r="M24" s="68"/>
      <c r="N24" s="68"/>
    </row>
    <row r="25" spans="1:14" ht="72.599999999999994" customHeight="1" x14ac:dyDescent="0.35">
      <c r="A25" s="68"/>
      <c r="B25" s="68"/>
      <c r="C25" s="68"/>
      <c r="D25" s="161" t="str">
        <f>D8</f>
        <v>Svært stor</v>
      </c>
      <c r="E25" s="147" t="s">
        <v>53</v>
      </c>
      <c r="F25" s="147" t="s">
        <v>54</v>
      </c>
      <c r="G25" s="147" t="s">
        <v>55</v>
      </c>
      <c r="H25" s="147" t="s">
        <v>56</v>
      </c>
      <c r="I25" s="148" t="s">
        <v>57</v>
      </c>
      <c r="J25" s="68"/>
      <c r="K25" s="68"/>
      <c r="L25" s="68"/>
      <c r="M25" s="68"/>
      <c r="N25" s="68"/>
    </row>
    <row r="26" spans="1:14" ht="94.5" x14ac:dyDescent="0.35">
      <c r="A26" s="68"/>
      <c r="B26" s="68"/>
      <c r="C26" s="68"/>
      <c r="D26" s="161" t="str">
        <f>D7</f>
        <v>Stor</v>
      </c>
      <c r="E26" s="151" t="s">
        <v>58</v>
      </c>
      <c r="F26" s="151" t="s">
        <v>59</v>
      </c>
      <c r="G26" s="151" t="s">
        <v>60</v>
      </c>
      <c r="H26" s="151" t="s">
        <v>61</v>
      </c>
      <c r="I26" s="152" t="s">
        <v>62</v>
      </c>
      <c r="J26" s="68"/>
      <c r="K26" s="68"/>
      <c r="L26" s="68"/>
      <c r="M26" s="68"/>
      <c r="N26" s="68"/>
    </row>
    <row r="27" spans="1:14" ht="108" x14ac:dyDescent="0.35">
      <c r="A27" s="68"/>
      <c r="B27" s="68"/>
      <c r="C27" s="68"/>
      <c r="D27" s="161" t="str">
        <f>D6</f>
        <v>Moderat</v>
      </c>
      <c r="E27" s="153" t="s">
        <v>63</v>
      </c>
      <c r="F27" s="153" t="s">
        <v>64</v>
      </c>
      <c r="G27" s="153" t="s">
        <v>65</v>
      </c>
      <c r="H27" s="153" t="s">
        <v>66</v>
      </c>
      <c r="I27" s="154" t="s">
        <v>67</v>
      </c>
      <c r="J27" s="68"/>
      <c r="K27" s="68"/>
      <c r="L27" s="68"/>
      <c r="M27" s="68"/>
      <c r="N27" s="68"/>
    </row>
    <row r="28" spans="1:14" ht="121.5" x14ac:dyDescent="0.35">
      <c r="A28" s="68"/>
      <c r="B28" s="68"/>
      <c r="C28" s="68"/>
      <c r="D28" s="161" t="str">
        <f>D5</f>
        <v>Liten</v>
      </c>
      <c r="E28" s="223" t="s">
        <v>68</v>
      </c>
      <c r="F28" s="223" t="s">
        <v>69</v>
      </c>
      <c r="G28" s="223" t="s">
        <v>70</v>
      </c>
      <c r="H28" s="223" t="s">
        <v>71</v>
      </c>
      <c r="I28" s="224" t="s">
        <v>72</v>
      </c>
      <c r="J28" s="68"/>
      <c r="K28" s="68"/>
      <c r="L28" s="68"/>
      <c r="M28" s="68"/>
      <c r="N28" s="68"/>
    </row>
    <row r="29" spans="1:14" ht="108.75" thickBot="1" x14ac:dyDescent="0.4">
      <c r="A29" s="68"/>
      <c r="B29" s="68"/>
      <c r="C29" s="68"/>
      <c r="D29" s="162" t="str">
        <f>D4</f>
        <v>Meget liten</v>
      </c>
      <c r="E29" s="156" t="s">
        <v>73</v>
      </c>
      <c r="F29" s="156" t="s">
        <v>74</v>
      </c>
      <c r="G29" s="156" t="s">
        <v>75</v>
      </c>
      <c r="H29" s="156" t="s">
        <v>76</v>
      </c>
      <c r="I29" s="157" t="s">
        <v>77</v>
      </c>
      <c r="J29" s="68"/>
      <c r="K29" s="68"/>
      <c r="L29" s="68"/>
      <c r="M29" s="68"/>
      <c r="N29" s="68"/>
    </row>
    <row r="30" spans="1:14" ht="17.25" x14ac:dyDescent="0.35">
      <c r="A30" s="68"/>
      <c r="B30" s="68"/>
      <c r="C30" s="68"/>
      <c r="D30" s="68"/>
      <c r="E30" s="68"/>
      <c r="F30" s="68"/>
      <c r="G30" s="68"/>
      <c r="H30" s="68"/>
      <c r="I30" s="68"/>
      <c r="J30" s="68"/>
      <c r="K30" s="68"/>
      <c r="L30" s="68"/>
      <c r="M30" s="68"/>
      <c r="N30" s="68"/>
    </row>
    <row r="31" spans="1:14" ht="32.450000000000003" customHeight="1" thickBot="1" x14ac:dyDescent="0.4">
      <c r="A31" s="68"/>
      <c r="B31" s="163"/>
      <c r="C31" s="68"/>
      <c r="D31" s="68"/>
      <c r="E31" s="68"/>
      <c r="F31" s="68"/>
      <c r="G31" s="68"/>
      <c r="H31" s="68"/>
      <c r="I31" s="68"/>
      <c r="J31" s="68"/>
      <c r="K31" s="68"/>
      <c r="L31" s="68"/>
      <c r="M31" s="68"/>
      <c r="N31" s="68"/>
    </row>
    <row r="32" spans="1:14" ht="15" hidden="1" customHeight="1" thickBot="1" x14ac:dyDescent="0.4">
      <c r="A32" s="68"/>
      <c r="B32" s="68"/>
      <c r="C32" s="68"/>
      <c r="D32" s="127">
        <v>1</v>
      </c>
      <c r="E32" s="127">
        <v>2</v>
      </c>
      <c r="F32" s="127">
        <v>3</v>
      </c>
      <c r="G32" s="127">
        <v>4</v>
      </c>
      <c r="H32" s="127">
        <v>5</v>
      </c>
      <c r="I32" s="68"/>
      <c r="J32" s="68"/>
      <c r="K32" s="68"/>
      <c r="L32" s="68"/>
      <c r="M32" s="68"/>
      <c r="N32" s="68"/>
    </row>
    <row r="33" spans="1:14" ht="66.599999999999994" customHeight="1" x14ac:dyDescent="0.35">
      <c r="A33" s="68"/>
      <c r="B33" s="164" t="str">
        <f>D8</f>
        <v>Svært stor</v>
      </c>
      <c r="C33" s="80">
        <v>5</v>
      </c>
      <c r="D33" s="165" t="s">
        <v>11</v>
      </c>
      <c r="E33" s="166" t="s">
        <v>11</v>
      </c>
      <c r="F33" s="166" t="s">
        <v>16</v>
      </c>
      <c r="G33" s="167" t="s">
        <v>16</v>
      </c>
      <c r="H33" s="168" t="s">
        <v>16</v>
      </c>
      <c r="I33" s="68"/>
      <c r="J33" s="68"/>
      <c r="K33" s="68"/>
      <c r="L33" s="68"/>
      <c r="M33" s="68"/>
      <c r="N33" s="68"/>
    </row>
    <row r="34" spans="1:14" ht="74.25" customHeight="1" x14ac:dyDescent="0.35">
      <c r="A34" s="68"/>
      <c r="B34" s="164" t="str">
        <f>D7</f>
        <v>Stor</v>
      </c>
      <c r="C34" s="80">
        <v>4</v>
      </c>
      <c r="D34" s="225" t="s">
        <v>8</v>
      </c>
      <c r="E34" s="169" t="s">
        <v>11</v>
      </c>
      <c r="F34" s="169" t="s">
        <v>11</v>
      </c>
      <c r="G34" s="170" t="s">
        <v>16</v>
      </c>
      <c r="H34" s="171" t="s">
        <v>16</v>
      </c>
      <c r="I34" s="68"/>
      <c r="J34" s="68"/>
      <c r="K34" s="68"/>
      <c r="L34" s="68"/>
      <c r="M34" s="68"/>
      <c r="N34" s="68"/>
    </row>
    <row r="35" spans="1:14" ht="74.25" customHeight="1" x14ac:dyDescent="0.35">
      <c r="A35" s="68"/>
      <c r="B35" s="164" t="str">
        <f>D6</f>
        <v>Moderat</v>
      </c>
      <c r="C35" s="80">
        <v>3</v>
      </c>
      <c r="D35" s="226" t="s">
        <v>8</v>
      </c>
      <c r="E35" s="228" t="s">
        <v>8</v>
      </c>
      <c r="F35" s="122" t="s">
        <v>11</v>
      </c>
      <c r="G35" s="172" t="s">
        <v>16</v>
      </c>
      <c r="H35" s="173" t="s">
        <v>16</v>
      </c>
      <c r="I35" s="68"/>
      <c r="J35" s="68"/>
      <c r="K35" s="68"/>
      <c r="L35" s="68"/>
      <c r="M35" s="68"/>
      <c r="N35" s="68"/>
    </row>
    <row r="36" spans="1:14" ht="74.25" customHeight="1" x14ac:dyDescent="0.35">
      <c r="A36" s="68"/>
      <c r="B36" s="164" t="str">
        <f>D5</f>
        <v>Liten</v>
      </c>
      <c r="C36" s="80">
        <v>2</v>
      </c>
      <c r="D36" s="226" t="s">
        <v>8</v>
      </c>
      <c r="E36" s="228" t="s">
        <v>8</v>
      </c>
      <c r="F36" s="122" t="s">
        <v>11</v>
      </c>
      <c r="G36" s="172" t="s">
        <v>11</v>
      </c>
      <c r="H36" s="173" t="s">
        <v>16</v>
      </c>
      <c r="I36" s="68"/>
      <c r="J36" s="68"/>
      <c r="K36" s="68"/>
      <c r="L36" s="68"/>
      <c r="M36" s="68"/>
      <c r="N36" s="68"/>
    </row>
    <row r="37" spans="1:14" ht="75" customHeight="1" thickBot="1" x14ac:dyDescent="0.4">
      <c r="A37" s="68"/>
      <c r="B37" s="164" t="str">
        <f>D4</f>
        <v>Meget liten</v>
      </c>
      <c r="C37" s="80">
        <v>1</v>
      </c>
      <c r="D37" s="227" t="s">
        <v>8</v>
      </c>
      <c r="E37" s="229" t="s">
        <v>8</v>
      </c>
      <c r="F37" s="174" t="s">
        <v>11</v>
      </c>
      <c r="G37" s="175" t="s">
        <v>11</v>
      </c>
      <c r="H37" s="176" t="s">
        <v>11</v>
      </c>
      <c r="I37" s="68"/>
      <c r="J37" s="68"/>
      <c r="K37" s="68"/>
      <c r="L37" s="68"/>
      <c r="M37" s="68"/>
      <c r="N37" s="68"/>
    </row>
    <row r="38" spans="1:14" ht="20.25" customHeight="1" x14ac:dyDescent="0.35">
      <c r="A38" s="68"/>
      <c r="B38" s="68"/>
      <c r="C38" s="68"/>
      <c r="D38" s="127" t="str">
        <f>F4</f>
        <v>Ubetydelig</v>
      </c>
      <c r="E38" s="127" t="str">
        <f>F5</f>
        <v>Lav</v>
      </c>
      <c r="F38" s="127" t="str">
        <f>F6</f>
        <v>Moderat</v>
      </c>
      <c r="G38" s="127" t="str">
        <f>F7</f>
        <v>Alvorlig</v>
      </c>
      <c r="H38" s="68" t="str">
        <f>F8</f>
        <v>Svært alvorlig</v>
      </c>
      <c r="I38" s="68"/>
      <c r="J38" s="68"/>
      <c r="K38" s="68"/>
      <c r="L38" s="68"/>
      <c r="M38" s="68"/>
      <c r="N38" s="68"/>
    </row>
    <row r="39" spans="1:14" ht="17.25" x14ac:dyDescent="0.35">
      <c r="A39" s="68"/>
      <c r="B39" s="68"/>
      <c r="C39" s="68"/>
      <c r="D39" s="68"/>
      <c r="E39" s="68"/>
      <c r="F39" s="68"/>
      <c r="G39" s="177"/>
      <c r="H39" s="177"/>
      <c r="I39" s="177"/>
      <c r="J39" s="68"/>
      <c r="K39" s="68"/>
      <c r="L39" s="68"/>
      <c r="M39" s="68"/>
      <c r="N39" s="68"/>
    </row>
    <row r="40" spans="1:14" ht="17.25" x14ac:dyDescent="0.35">
      <c r="A40" s="68"/>
      <c r="B40" s="68"/>
      <c r="C40" s="68"/>
      <c r="D40" s="68"/>
      <c r="E40" s="68"/>
      <c r="F40" s="68"/>
      <c r="G40" s="177"/>
      <c r="H40" s="177"/>
      <c r="I40" s="177"/>
      <c r="J40" s="68"/>
      <c r="K40" s="68"/>
      <c r="L40" s="68"/>
      <c r="M40" s="68"/>
      <c r="N40" s="68"/>
    </row>
    <row r="41" spans="1:14" ht="17.25" x14ac:dyDescent="0.35">
      <c r="A41" s="68"/>
      <c r="B41" s="68"/>
      <c r="C41" s="68"/>
      <c r="D41" s="68"/>
      <c r="E41" s="68"/>
      <c r="F41" s="68"/>
      <c r="G41" s="177"/>
      <c r="H41" s="177"/>
      <c r="I41" s="177"/>
      <c r="J41" s="68"/>
      <c r="K41" s="68"/>
      <c r="L41" s="68"/>
      <c r="M41" s="68"/>
      <c r="N41" s="68"/>
    </row>
    <row r="42" spans="1:14" ht="24" customHeight="1" x14ac:dyDescent="0.45">
      <c r="A42" s="68"/>
      <c r="B42" s="178"/>
      <c r="C42" s="68"/>
      <c r="D42" s="68"/>
      <c r="E42" s="68"/>
      <c r="F42" s="68"/>
      <c r="G42" s="68"/>
      <c r="H42" s="68"/>
      <c r="I42" s="68"/>
      <c r="J42" s="68"/>
      <c r="K42" s="68"/>
      <c r="L42" s="68"/>
      <c r="M42" s="68"/>
      <c r="N42" s="68"/>
    </row>
    <row r="43" spans="1:14" ht="10.35" customHeight="1" x14ac:dyDescent="0.45">
      <c r="A43" s="68"/>
      <c r="B43" s="178"/>
      <c r="C43" s="68"/>
      <c r="D43" s="68"/>
      <c r="E43" s="68"/>
      <c r="F43" s="68"/>
      <c r="G43" s="68"/>
      <c r="H43" s="68"/>
      <c r="I43" s="68"/>
      <c r="J43" s="68"/>
      <c r="K43" s="68"/>
      <c r="L43" s="68"/>
      <c r="M43" s="68"/>
      <c r="N43" s="68"/>
    </row>
    <row r="44" spans="1:14" ht="17.25" x14ac:dyDescent="0.35">
      <c r="A44" s="68"/>
      <c r="B44" s="68"/>
      <c r="C44" s="68"/>
      <c r="D44" s="68"/>
      <c r="E44" s="177"/>
      <c r="F44" s="68"/>
      <c r="G44" s="68"/>
      <c r="H44" s="68"/>
      <c r="I44" s="177"/>
      <c r="J44" s="68"/>
      <c r="K44" s="68"/>
      <c r="L44" s="68"/>
      <c r="M44" s="68"/>
      <c r="N44" s="68"/>
    </row>
    <row r="45" spans="1:14" ht="17.25" x14ac:dyDescent="0.35">
      <c r="A45" s="68"/>
      <c r="B45" s="68"/>
      <c r="C45" s="68"/>
      <c r="D45" s="68"/>
      <c r="E45" s="68"/>
      <c r="F45" s="68"/>
      <c r="G45" s="68"/>
      <c r="H45" s="68"/>
      <c r="I45" s="177"/>
      <c r="J45" s="68"/>
      <c r="K45" s="68"/>
      <c r="L45" s="68"/>
      <c r="M45" s="68"/>
      <c r="N45" s="68"/>
    </row>
    <row r="46" spans="1:14" ht="17.25" x14ac:dyDescent="0.35">
      <c r="A46" s="68"/>
      <c r="B46" s="68"/>
      <c r="C46" s="68"/>
      <c r="D46" s="68"/>
      <c r="E46" s="68"/>
      <c r="F46" s="68"/>
      <c r="G46" s="68"/>
      <c r="H46" s="68"/>
      <c r="I46" s="177"/>
      <c r="J46" s="68"/>
      <c r="K46" s="68"/>
      <c r="L46" s="68"/>
      <c r="M46" s="68"/>
      <c r="N46" s="68"/>
    </row>
    <row r="47" spans="1:14" ht="17.25" x14ac:dyDescent="0.35">
      <c r="A47" s="68"/>
      <c r="B47" s="68"/>
      <c r="C47" s="68"/>
      <c r="D47" s="68"/>
      <c r="E47" s="68"/>
      <c r="F47" s="68"/>
      <c r="G47" s="68"/>
      <c r="H47" s="68"/>
      <c r="I47" s="177"/>
      <c r="J47" s="68"/>
      <c r="K47" s="68"/>
      <c r="L47" s="68"/>
      <c r="M47" s="68"/>
      <c r="N47" s="68"/>
    </row>
    <row r="48" spans="1:14" ht="17.25" x14ac:dyDescent="0.35">
      <c r="A48" s="68"/>
      <c r="B48" s="68"/>
      <c r="C48" s="68"/>
      <c r="D48" s="68"/>
      <c r="E48" s="68"/>
      <c r="F48" s="68"/>
      <c r="G48" s="68"/>
      <c r="H48" s="68"/>
      <c r="I48" s="177"/>
      <c r="J48" s="68"/>
      <c r="K48" s="68"/>
      <c r="L48" s="68"/>
      <c r="M48" s="68"/>
      <c r="N48" s="68"/>
    </row>
    <row r="49" spans="1:14" ht="17.25" x14ac:dyDescent="0.35">
      <c r="A49" s="68"/>
      <c r="B49" s="68"/>
      <c r="C49" s="68"/>
      <c r="D49" s="68"/>
      <c r="E49" s="68"/>
      <c r="F49" s="68"/>
      <c r="G49" s="68"/>
      <c r="H49" s="68"/>
      <c r="I49" s="177"/>
      <c r="J49" s="68"/>
      <c r="K49" s="68"/>
      <c r="L49" s="68"/>
      <c r="M49" s="68"/>
      <c r="N49" s="68"/>
    </row>
    <row r="50" spans="1:14" ht="17.25" x14ac:dyDescent="0.35">
      <c r="A50" s="68"/>
      <c r="B50" s="68"/>
      <c r="C50" s="68"/>
      <c r="D50" s="68"/>
      <c r="E50" s="68"/>
      <c r="F50" s="68"/>
      <c r="G50" s="68"/>
      <c r="H50" s="68"/>
      <c r="I50" s="177"/>
      <c r="J50" s="68"/>
      <c r="K50" s="68"/>
      <c r="L50" s="68"/>
      <c r="M50" s="68"/>
      <c r="N50" s="68"/>
    </row>
    <row r="51" spans="1:14" ht="17.25" x14ac:dyDescent="0.35">
      <c r="A51" s="68"/>
      <c r="B51" s="68"/>
      <c r="C51" s="68"/>
      <c r="D51" s="68"/>
      <c r="E51" s="68"/>
      <c r="F51" s="68"/>
      <c r="G51" s="68"/>
      <c r="H51" s="68"/>
      <c r="I51" s="177"/>
      <c r="J51" s="68"/>
      <c r="K51" s="68"/>
      <c r="L51" s="68"/>
      <c r="M51" s="68"/>
      <c r="N51" s="68"/>
    </row>
    <row r="52" spans="1:14" ht="17.25" x14ac:dyDescent="0.35">
      <c r="A52" s="68"/>
      <c r="B52" s="68"/>
      <c r="C52" s="68"/>
      <c r="D52" s="68"/>
      <c r="E52" s="68"/>
      <c r="F52" s="68"/>
      <c r="G52" s="68"/>
      <c r="H52" s="68"/>
      <c r="I52" s="177"/>
      <c r="J52" s="68"/>
      <c r="K52" s="68"/>
      <c r="L52" s="68"/>
      <c r="M52" s="68"/>
      <c r="N52" s="68"/>
    </row>
    <row r="53" spans="1:14" ht="17.25" x14ac:dyDescent="0.35">
      <c r="A53" s="68"/>
      <c r="B53" s="68"/>
      <c r="C53" s="68"/>
      <c r="D53" s="68"/>
      <c r="E53" s="68"/>
      <c r="F53" s="68"/>
      <c r="G53" s="68"/>
      <c r="H53" s="68"/>
      <c r="I53" s="177"/>
      <c r="J53" s="68"/>
      <c r="K53" s="68"/>
      <c r="L53" s="68"/>
      <c r="M53" s="68"/>
      <c r="N53" s="68"/>
    </row>
    <row r="54" spans="1:14" ht="17.25" x14ac:dyDescent="0.35">
      <c r="A54" s="68"/>
      <c r="B54" s="68"/>
      <c r="C54" s="68"/>
      <c r="D54" s="68"/>
      <c r="E54" s="68"/>
      <c r="F54" s="68"/>
      <c r="G54" s="68"/>
      <c r="H54" s="68"/>
      <c r="I54" s="177"/>
      <c r="J54" s="68"/>
      <c r="K54" s="68"/>
      <c r="L54" s="68"/>
      <c r="M54" s="68"/>
      <c r="N54" s="68"/>
    </row>
    <row r="55" spans="1:14" ht="17.25" x14ac:dyDescent="0.35">
      <c r="A55" s="68"/>
      <c r="B55" s="68"/>
      <c r="C55" s="68"/>
      <c r="D55" s="68"/>
      <c r="E55" s="68"/>
      <c r="F55" s="68"/>
      <c r="G55" s="68"/>
      <c r="H55" s="68"/>
      <c r="I55" s="177"/>
      <c r="J55" s="68"/>
      <c r="K55" s="68"/>
      <c r="L55" s="68"/>
      <c r="M55" s="68"/>
      <c r="N55" s="68"/>
    </row>
    <row r="56" spans="1:14" ht="17.25" x14ac:dyDescent="0.35">
      <c r="A56" s="68"/>
      <c r="B56" s="68"/>
      <c r="C56" s="68"/>
      <c r="D56" s="68"/>
      <c r="E56" s="68"/>
      <c r="F56" s="68"/>
      <c r="G56" s="68"/>
      <c r="H56" s="68"/>
      <c r="I56" s="177"/>
      <c r="J56" s="68"/>
      <c r="K56" s="68"/>
      <c r="L56" s="68"/>
      <c r="M56" s="68"/>
      <c r="N56" s="68"/>
    </row>
    <row r="57" spans="1:14" ht="17.25" x14ac:dyDescent="0.35">
      <c r="A57" s="68"/>
      <c r="B57" s="68"/>
      <c r="C57" s="68"/>
      <c r="D57" s="68"/>
      <c r="E57" s="68"/>
      <c r="F57" s="68"/>
      <c r="G57" s="68"/>
      <c r="H57" s="68"/>
      <c r="I57" s="177"/>
      <c r="J57" s="68"/>
      <c r="K57" s="68"/>
      <c r="L57" s="68"/>
      <c r="M57" s="68"/>
      <c r="N57" s="68"/>
    </row>
    <row r="58" spans="1:14" ht="17.25" x14ac:dyDescent="0.35">
      <c r="A58" s="68"/>
      <c r="B58" s="68"/>
      <c r="C58" s="68"/>
      <c r="D58" s="68"/>
      <c r="E58" s="68"/>
      <c r="F58" s="68"/>
      <c r="G58" s="68"/>
      <c r="H58" s="68"/>
      <c r="I58" s="177"/>
      <c r="J58" s="68"/>
      <c r="K58" s="68"/>
      <c r="L58" s="68"/>
      <c r="M58" s="68"/>
      <c r="N58" s="68"/>
    </row>
    <row r="59" spans="1:14" ht="17.25" x14ac:dyDescent="0.35">
      <c r="A59" s="68"/>
      <c r="B59" s="68"/>
      <c r="C59" s="68"/>
      <c r="D59" s="68"/>
      <c r="E59" s="68"/>
      <c r="F59" s="68"/>
      <c r="G59" s="68"/>
      <c r="H59" s="68"/>
      <c r="I59" s="177"/>
      <c r="J59" s="68"/>
      <c r="K59" s="68"/>
      <c r="L59" s="68"/>
      <c r="M59" s="68"/>
      <c r="N59" s="68"/>
    </row>
    <row r="60" spans="1:14" ht="17.25" x14ac:dyDescent="0.35">
      <c r="A60" s="68"/>
      <c r="B60" s="68"/>
      <c r="C60" s="68"/>
      <c r="D60" s="68"/>
      <c r="E60" s="68"/>
      <c r="F60" s="68"/>
      <c r="G60" s="68"/>
      <c r="H60" s="68"/>
      <c r="I60" s="177"/>
      <c r="J60" s="68"/>
      <c r="K60" s="68"/>
      <c r="L60" s="68"/>
      <c r="M60" s="68"/>
      <c r="N60" s="68"/>
    </row>
    <row r="61" spans="1:14" ht="17.25" x14ac:dyDescent="0.35">
      <c r="A61" s="68"/>
      <c r="B61" s="68"/>
      <c r="C61" s="68"/>
      <c r="D61" s="68"/>
      <c r="E61" s="68"/>
      <c r="F61" s="68"/>
      <c r="G61" s="68"/>
      <c r="H61" s="68"/>
      <c r="I61" s="177"/>
      <c r="J61" s="68"/>
      <c r="K61" s="68"/>
      <c r="L61" s="68"/>
      <c r="M61" s="68"/>
      <c r="N61" s="68"/>
    </row>
    <row r="62" spans="1:14" ht="17.25" x14ac:dyDescent="0.35">
      <c r="A62" s="68"/>
      <c r="B62" s="68"/>
      <c r="C62" s="68"/>
      <c r="D62" s="68"/>
      <c r="E62" s="68"/>
      <c r="F62" s="68"/>
      <c r="G62" s="68"/>
      <c r="H62" s="68"/>
      <c r="I62" s="177"/>
      <c r="J62" s="68"/>
      <c r="K62" s="68"/>
      <c r="L62" s="68"/>
      <c r="M62" s="68"/>
      <c r="N62" s="68"/>
    </row>
    <row r="63" spans="1:14" ht="17.25" x14ac:dyDescent="0.35">
      <c r="A63" s="68"/>
      <c r="B63" s="68"/>
      <c r="C63" s="68"/>
      <c r="D63" s="68"/>
      <c r="E63" s="68"/>
      <c r="F63" s="68"/>
      <c r="G63" s="68"/>
      <c r="H63" s="68"/>
      <c r="I63" s="177"/>
      <c r="J63" s="68"/>
      <c r="K63" s="68"/>
      <c r="L63" s="68"/>
      <c r="M63" s="68"/>
      <c r="N63" s="68"/>
    </row>
    <row r="64" spans="1:14" ht="17.25" x14ac:dyDescent="0.35">
      <c r="A64" s="68"/>
      <c r="B64" s="68"/>
      <c r="C64" s="68"/>
      <c r="D64" s="68"/>
      <c r="E64" s="68"/>
      <c r="F64" s="68"/>
      <c r="G64" s="68"/>
      <c r="H64" s="68"/>
      <c r="I64" s="177"/>
      <c r="J64" s="68"/>
      <c r="K64" s="68"/>
      <c r="L64" s="68"/>
      <c r="M64" s="68"/>
      <c r="N64" s="68"/>
    </row>
    <row r="65" spans="1:14" ht="17.25" x14ac:dyDescent="0.35">
      <c r="A65" s="68"/>
      <c r="B65" s="68"/>
      <c r="C65" s="68"/>
      <c r="D65" s="68"/>
      <c r="E65" s="68"/>
      <c r="F65" s="68"/>
      <c r="G65" s="68"/>
      <c r="H65" s="68"/>
      <c r="I65" s="177"/>
      <c r="J65" s="68"/>
      <c r="K65" s="68"/>
      <c r="L65" s="68"/>
      <c r="M65" s="68"/>
      <c r="N65" s="68"/>
    </row>
    <row r="66" spans="1:14" ht="17.25" x14ac:dyDescent="0.35">
      <c r="A66" s="68"/>
      <c r="B66" s="68"/>
      <c r="C66" s="68"/>
      <c r="D66" s="68"/>
      <c r="E66" s="68"/>
      <c r="F66" s="68"/>
      <c r="G66" s="68"/>
      <c r="H66" s="68"/>
      <c r="I66" s="177"/>
      <c r="J66" s="68"/>
      <c r="K66" s="68"/>
      <c r="L66" s="68"/>
      <c r="M66" s="68"/>
      <c r="N66" s="68"/>
    </row>
    <row r="67" spans="1:14" ht="17.25" x14ac:dyDescent="0.35">
      <c r="A67" s="68"/>
      <c r="B67" s="68"/>
      <c r="C67" s="68"/>
      <c r="D67" s="68"/>
      <c r="E67" s="68"/>
      <c r="F67" s="68"/>
      <c r="G67" s="68"/>
      <c r="H67" s="68"/>
      <c r="I67" s="177"/>
      <c r="J67" s="68"/>
      <c r="K67" s="68"/>
      <c r="L67" s="68"/>
      <c r="M67" s="68"/>
      <c r="N67" s="68"/>
    </row>
    <row r="68" spans="1:14" ht="17.25" x14ac:dyDescent="0.35">
      <c r="A68" s="68"/>
      <c r="B68" s="68"/>
      <c r="C68" s="68"/>
      <c r="D68" s="68"/>
      <c r="E68" s="68"/>
      <c r="F68" s="68"/>
      <c r="G68" s="68"/>
      <c r="H68" s="68"/>
      <c r="I68" s="68"/>
      <c r="J68" s="68"/>
      <c r="K68" s="68"/>
      <c r="L68" s="68"/>
      <c r="M68" s="68"/>
      <c r="N68" s="68"/>
    </row>
    <row r="69" spans="1:14" ht="17.25" x14ac:dyDescent="0.35">
      <c r="A69" s="68"/>
      <c r="B69" s="68"/>
      <c r="C69" s="68"/>
      <c r="D69" s="68"/>
      <c r="E69" s="68"/>
      <c r="F69" s="68"/>
      <c r="G69" s="68"/>
      <c r="H69" s="68"/>
      <c r="I69" s="68"/>
      <c r="J69" s="68"/>
      <c r="K69" s="68"/>
      <c r="L69" s="68"/>
      <c r="M69" s="68"/>
      <c r="N69" s="68"/>
    </row>
    <row r="70" spans="1:14" ht="17.25" x14ac:dyDescent="0.35">
      <c r="A70" s="68"/>
      <c r="B70" s="68"/>
      <c r="C70" s="68"/>
      <c r="D70" s="68"/>
      <c r="E70" s="68"/>
      <c r="F70" s="68"/>
      <c r="G70" s="68"/>
      <c r="H70" s="68"/>
      <c r="I70" s="68"/>
      <c r="J70" s="68"/>
      <c r="K70" s="68"/>
      <c r="L70" s="68"/>
      <c r="M70" s="68"/>
      <c r="N70" s="68"/>
    </row>
    <row r="71" spans="1:14" ht="17.25" x14ac:dyDescent="0.35">
      <c r="A71" s="68"/>
      <c r="B71" s="68"/>
      <c r="C71" s="68"/>
      <c r="D71" s="68"/>
      <c r="E71" s="68"/>
      <c r="F71" s="68"/>
      <c r="G71" s="68"/>
      <c r="H71" s="68"/>
      <c r="I71" s="68"/>
      <c r="J71" s="68"/>
      <c r="K71" s="68"/>
      <c r="L71" s="68"/>
      <c r="M71" s="68"/>
      <c r="N71" s="68"/>
    </row>
    <row r="72" spans="1:14" ht="17.25" x14ac:dyDescent="0.35">
      <c r="A72" s="68"/>
      <c r="B72" s="68"/>
      <c r="C72" s="68"/>
      <c r="D72" s="68"/>
      <c r="E72" s="68"/>
      <c r="F72" s="68"/>
      <c r="G72" s="68"/>
      <c r="H72" s="68"/>
      <c r="I72" s="68"/>
      <c r="J72" s="68"/>
      <c r="K72" s="68"/>
      <c r="L72" s="68"/>
      <c r="M72" s="68"/>
      <c r="N72" s="68"/>
    </row>
    <row r="73" spans="1:14" ht="17.25" x14ac:dyDescent="0.35">
      <c r="A73" s="68"/>
      <c r="B73" s="68"/>
      <c r="C73" s="68"/>
      <c r="D73" s="68"/>
      <c r="E73" s="68"/>
      <c r="F73" s="68"/>
      <c r="G73" s="68"/>
      <c r="H73" s="68"/>
      <c r="I73" s="68"/>
      <c r="J73" s="68"/>
      <c r="K73" s="68"/>
      <c r="L73" s="68"/>
      <c r="M73" s="68"/>
      <c r="N73" s="68"/>
    </row>
    <row r="74" spans="1:14" ht="17.25" x14ac:dyDescent="0.35">
      <c r="A74" s="68"/>
      <c r="B74" s="68"/>
      <c r="C74" s="68"/>
      <c r="D74" s="68"/>
      <c r="E74" s="68"/>
      <c r="F74" s="68"/>
      <c r="G74" s="68"/>
      <c r="H74" s="68"/>
      <c r="I74" s="68"/>
      <c r="J74" s="68"/>
      <c r="K74" s="68"/>
      <c r="L74" s="68"/>
      <c r="M74" s="68"/>
      <c r="N74" s="68"/>
    </row>
    <row r="75" spans="1:14" ht="17.25" x14ac:dyDescent="0.35">
      <c r="A75" s="68"/>
      <c r="B75" s="68"/>
      <c r="C75" s="68"/>
      <c r="D75" s="68"/>
      <c r="E75" s="68"/>
      <c r="F75" s="68"/>
      <c r="G75" s="68"/>
      <c r="H75" s="68"/>
      <c r="I75" s="68"/>
      <c r="J75" s="68"/>
      <c r="K75" s="68"/>
      <c r="L75" s="68"/>
      <c r="M75" s="68"/>
      <c r="N75" s="68"/>
    </row>
    <row r="76" spans="1:14" ht="17.25" x14ac:dyDescent="0.35">
      <c r="A76" s="68"/>
      <c r="B76" s="68"/>
      <c r="C76" s="68"/>
      <c r="D76" s="68"/>
      <c r="E76" s="68"/>
      <c r="F76" s="68"/>
      <c r="G76" s="68"/>
      <c r="H76" s="68"/>
      <c r="I76" s="68"/>
      <c r="J76" s="68"/>
      <c r="K76" s="68"/>
      <c r="L76" s="68"/>
      <c r="M76" s="68"/>
      <c r="N76" s="68"/>
    </row>
    <row r="77" spans="1:14" ht="17.25" x14ac:dyDescent="0.35">
      <c r="A77" s="68"/>
      <c r="B77" s="68"/>
      <c r="C77" s="68"/>
      <c r="D77" s="68"/>
      <c r="E77" s="68"/>
      <c r="F77" s="68"/>
      <c r="G77" s="68"/>
      <c r="H77" s="68"/>
      <c r="I77" s="68"/>
      <c r="J77" s="68"/>
      <c r="K77" s="68"/>
      <c r="L77" s="68"/>
      <c r="M77" s="68"/>
      <c r="N77" s="68"/>
    </row>
    <row r="78" spans="1:14" ht="17.25" x14ac:dyDescent="0.35">
      <c r="A78" s="68"/>
      <c r="B78" s="68"/>
      <c r="C78" s="68"/>
      <c r="D78" s="68"/>
      <c r="E78" s="68"/>
      <c r="F78" s="68"/>
      <c r="G78" s="68"/>
      <c r="H78" s="68"/>
      <c r="I78" s="68"/>
      <c r="J78" s="68"/>
      <c r="K78" s="68"/>
      <c r="L78" s="68"/>
      <c r="M78" s="68"/>
      <c r="N78" s="68"/>
    </row>
    <row r="79" spans="1:14" ht="17.25" x14ac:dyDescent="0.35">
      <c r="A79" s="68"/>
      <c r="B79" s="68"/>
      <c r="C79" s="68"/>
      <c r="D79" s="68"/>
      <c r="E79" s="68"/>
      <c r="F79" s="68"/>
      <c r="G79" s="68"/>
      <c r="H79" s="68"/>
      <c r="I79" s="68"/>
      <c r="J79" s="68"/>
      <c r="K79" s="68"/>
      <c r="L79" s="68"/>
      <c r="M79" s="68"/>
      <c r="N79" s="68"/>
    </row>
    <row r="80" spans="1:14" ht="17.25" x14ac:dyDescent="0.35">
      <c r="A80" s="68"/>
      <c r="B80" s="68"/>
      <c r="C80" s="68"/>
      <c r="D80" s="68"/>
      <c r="E80" s="68"/>
      <c r="F80" s="68"/>
      <c r="G80" s="68"/>
      <c r="H80" s="68"/>
      <c r="I80" s="68"/>
      <c r="J80" s="68"/>
      <c r="K80" s="68"/>
      <c r="L80" s="68"/>
      <c r="M80" s="68"/>
      <c r="N80" s="68"/>
    </row>
    <row r="81" spans="1:14" ht="17.25" x14ac:dyDescent="0.35">
      <c r="A81" s="68"/>
      <c r="B81" s="68"/>
      <c r="C81" s="68"/>
      <c r="D81" s="68"/>
      <c r="E81" s="68"/>
      <c r="F81" s="68"/>
      <c r="G81" s="68"/>
      <c r="H81" s="68"/>
      <c r="I81" s="68"/>
      <c r="J81" s="68"/>
      <c r="K81" s="68"/>
      <c r="L81" s="68"/>
      <c r="M81" s="68"/>
      <c r="N81" s="68"/>
    </row>
    <row r="82" spans="1:14" ht="17.25" x14ac:dyDescent="0.35">
      <c r="A82" s="68"/>
      <c r="B82" s="68"/>
      <c r="C82" s="68"/>
      <c r="D82" s="68"/>
      <c r="E82" s="68"/>
      <c r="F82" s="68"/>
      <c r="G82" s="68"/>
      <c r="H82" s="68"/>
      <c r="I82" s="68"/>
      <c r="J82" s="68"/>
      <c r="K82" s="68"/>
      <c r="L82" s="68"/>
      <c r="M82" s="68"/>
      <c r="N82" s="68"/>
    </row>
    <row r="83" spans="1:14" ht="17.25" x14ac:dyDescent="0.35">
      <c r="A83" s="68"/>
      <c r="B83" s="68"/>
      <c r="C83" s="68"/>
      <c r="D83" s="68"/>
      <c r="E83" s="68"/>
      <c r="F83" s="68"/>
      <c r="G83" s="68"/>
      <c r="H83" s="68"/>
      <c r="I83" s="68"/>
      <c r="J83" s="68"/>
      <c r="K83" s="68"/>
      <c r="L83" s="68"/>
      <c r="M83" s="68"/>
      <c r="N83" s="68"/>
    </row>
    <row r="84" spans="1:14" ht="17.25" x14ac:dyDescent="0.35">
      <c r="A84" s="68"/>
      <c r="B84" s="68"/>
      <c r="C84" s="68"/>
      <c r="D84" s="68"/>
      <c r="E84" s="68"/>
      <c r="F84" s="68"/>
      <c r="G84" s="68"/>
      <c r="H84" s="68"/>
      <c r="I84" s="68"/>
      <c r="J84" s="68"/>
      <c r="K84" s="68"/>
      <c r="L84" s="68"/>
      <c r="M84" s="68"/>
      <c r="N84" s="68"/>
    </row>
    <row r="85" spans="1:14" ht="17.25" x14ac:dyDescent="0.35">
      <c r="A85" s="68"/>
      <c r="B85" s="68"/>
      <c r="C85" s="68"/>
      <c r="D85" s="68"/>
      <c r="E85" s="68"/>
      <c r="F85" s="68"/>
      <c r="G85" s="68"/>
      <c r="H85" s="68"/>
      <c r="I85" s="68"/>
      <c r="J85" s="68"/>
      <c r="K85" s="68"/>
      <c r="L85" s="68"/>
      <c r="M85" s="68"/>
      <c r="N85" s="68"/>
    </row>
    <row r="86" spans="1:14" ht="17.25" x14ac:dyDescent="0.35">
      <c r="A86" s="68"/>
      <c r="B86" s="68"/>
      <c r="C86" s="68"/>
      <c r="D86" s="68"/>
      <c r="E86" s="68"/>
      <c r="F86" s="68"/>
      <c r="G86" s="68"/>
      <c r="H86" s="68"/>
      <c r="I86" s="68"/>
      <c r="J86" s="68"/>
      <c r="K86" s="68"/>
      <c r="L86" s="68"/>
      <c r="M86" s="68"/>
      <c r="N86" s="68"/>
    </row>
    <row r="87" spans="1:14" ht="17.25" x14ac:dyDescent="0.35">
      <c r="A87" s="68"/>
      <c r="B87" s="68"/>
      <c r="C87" s="68"/>
      <c r="D87" s="68"/>
      <c r="E87" s="68"/>
      <c r="F87" s="68"/>
      <c r="G87" s="68"/>
      <c r="H87" s="68"/>
      <c r="I87" s="68"/>
      <c r="J87" s="68"/>
      <c r="K87" s="68"/>
      <c r="L87" s="68"/>
      <c r="M87" s="68"/>
      <c r="N87" s="68"/>
    </row>
    <row r="88" spans="1:14" ht="17.25" x14ac:dyDescent="0.35">
      <c r="A88" s="68"/>
      <c r="B88" s="68"/>
      <c r="C88" s="68"/>
      <c r="D88" s="68"/>
      <c r="E88" s="68"/>
      <c r="F88" s="68"/>
      <c r="G88" s="68"/>
      <c r="H88" s="68"/>
      <c r="I88" s="68"/>
      <c r="J88" s="68"/>
      <c r="K88" s="68"/>
      <c r="L88" s="68"/>
      <c r="M88" s="68"/>
      <c r="N88" s="68"/>
    </row>
    <row r="89" spans="1:14" ht="17.25" x14ac:dyDescent="0.35">
      <c r="A89" s="68"/>
      <c r="B89" s="68"/>
      <c r="C89" s="68"/>
      <c r="D89" s="68"/>
      <c r="E89" s="68"/>
      <c r="F89" s="68"/>
      <c r="G89" s="68"/>
      <c r="H89" s="68"/>
      <c r="I89" s="68"/>
      <c r="J89" s="68"/>
      <c r="K89" s="68"/>
      <c r="L89" s="68"/>
      <c r="M89" s="68"/>
      <c r="N89" s="68"/>
    </row>
    <row r="90" spans="1:14" ht="17.25" x14ac:dyDescent="0.35">
      <c r="A90" s="68"/>
      <c r="B90" s="68"/>
      <c r="C90" s="68"/>
      <c r="D90" s="68"/>
      <c r="E90" s="68"/>
      <c r="F90" s="68"/>
      <c r="G90" s="68"/>
      <c r="H90" s="68"/>
      <c r="I90" s="68"/>
      <c r="J90" s="68"/>
      <c r="K90" s="68"/>
      <c r="L90" s="68"/>
      <c r="M90" s="68"/>
      <c r="N90" s="68"/>
    </row>
    <row r="91" spans="1:14" ht="17.25" x14ac:dyDescent="0.35">
      <c r="A91" s="68"/>
      <c r="B91" s="68"/>
      <c r="C91" s="68"/>
      <c r="D91" s="68"/>
      <c r="E91" s="68"/>
      <c r="F91" s="68"/>
      <c r="G91" s="68"/>
      <c r="H91" s="68"/>
      <c r="I91" s="68"/>
      <c r="J91" s="68"/>
      <c r="K91" s="68"/>
      <c r="L91" s="68"/>
      <c r="M91" s="68"/>
      <c r="N91" s="68"/>
    </row>
    <row r="92" spans="1:14" ht="17.25" x14ac:dyDescent="0.35">
      <c r="A92" s="68"/>
      <c r="B92" s="68"/>
      <c r="C92" s="68"/>
      <c r="D92" s="68"/>
      <c r="E92" s="68"/>
      <c r="F92" s="68"/>
      <c r="G92" s="68"/>
      <c r="H92" s="68"/>
      <c r="I92" s="68"/>
      <c r="J92" s="68"/>
      <c r="K92" s="68"/>
      <c r="L92" s="68"/>
      <c r="M92" s="68"/>
      <c r="N92" s="68"/>
    </row>
    <row r="93" spans="1:14" ht="17.25" x14ac:dyDescent="0.35">
      <c r="A93" s="68"/>
      <c r="B93" s="68"/>
      <c r="C93" s="68"/>
      <c r="D93" s="68"/>
      <c r="E93" s="68"/>
      <c r="F93" s="68"/>
      <c r="G93" s="68"/>
      <c r="H93" s="68"/>
      <c r="I93" s="68"/>
      <c r="J93" s="68"/>
      <c r="K93" s="68"/>
      <c r="L93" s="68"/>
      <c r="M93" s="68"/>
      <c r="N93" s="68"/>
    </row>
    <row r="94" spans="1:14" ht="17.25" x14ac:dyDescent="0.35">
      <c r="A94" s="68"/>
      <c r="B94" s="68"/>
      <c r="C94" s="68"/>
      <c r="D94" s="68"/>
      <c r="E94" s="68"/>
      <c r="F94" s="68"/>
      <c r="G94" s="68"/>
      <c r="H94" s="68"/>
      <c r="I94" s="68"/>
      <c r="J94" s="68"/>
      <c r="K94" s="68"/>
      <c r="L94" s="68"/>
      <c r="M94" s="68"/>
      <c r="N94" s="68"/>
    </row>
    <row r="95" spans="1:14" ht="17.25" x14ac:dyDescent="0.35">
      <c r="A95" s="68"/>
      <c r="B95" s="68"/>
      <c r="C95" s="68"/>
      <c r="D95" s="68"/>
      <c r="E95" s="68"/>
      <c r="F95" s="68"/>
      <c r="G95" s="68"/>
      <c r="H95" s="68"/>
      <c r="I95" s="68"/>
      <c r="J95" s="68"/>
      <c r="K95" s="68"/>
      <c r="L95" s="68"/>
      <c r="M95" s="68"/>
      <c r="N95" s="68"/>
    </row>
    <row r="96" spans="1:14" ht="17.25" x14ac:dyDescent="0.35">
      <c r="A96" s="68"/>
      <c r="B96" s="68"/>
      <c r="C96" s="68"/>
      <c r="D96" s="68"/>
      <c r="E96" s="68"/>
      <c r="F96" s="68"/>
      <c r="G96" s="68"/>
      <c r="H96" s="68"/>
      <c r="I96" s="68"/>
      <c r="J96" s="68"/>
      <c r="K96" s="68"/>
      <c r="L96" s="68"/>
      <c r="M96" s="68"/>
      <c r="N96" s="68"/>
    </row>
    <row r="97" spans="1:14" ht="17.25" x14ac:dyDescent="0.35">
      <c r="A97" s="68"/>
      <c r="B97" s="68"/>
      <c r="C97" s="68"/>
      <c r="D97" s="68"/>
      <c r="E97" s="68"/>
      <c r="F97" s="68"/>
      <c r="G97" s="68"/>
      <c r="H97" s="68"/>
      <c r="I97" s="68"/>
      <c r="J97" s="68"/>
      <c r="K97" s="68"/>
      <c r="L97" s="68"/>
      <c r="M97" s="68"/>
      <c r="N97" s="68"/>
    </row>
    <row r="98" spans="1:14" ht="17.25" x14ac:dyDescent="0.35">
      <c r="A98" s="68"/>
      <c r="B98" s="68"/>
      <c r="C98" s="68"/>
      <c r="D98" s="68"/>
      <c r="E98" s="68"/>
      <c r="F98" s="68"/>
      <c r="G98" s="68"/>
      <c r="H98" s="68"/>
      <c r="I98" s="68"/>
      <c r="J98" s="68"/>
      <c r="K98" s="68"/>
      <c r="L98" s="68"/>
      <c r="M98" s="68"/>
      <c r="N98" s="68"/>
    </row>
    <row r="99" spans="1:14" ht="17.25" x14ac:dyDescent="0.35">
      <c r="A99" s="68"/>
      <c r="B99" s="68"/>
      <c r="C99" s="68"/>
      <c r="D99" s="68"/>
      <c r="E99" s="68"/>
      <c r="F99" s="68"/>
      <c r="G99" s="68"/>
      <c r="H99" s="68"/>
      <c r="I99" s="68"/>
      <c r="J99" s="68"/>
      <c r="K99" s="68"/>
      <c r="L99" s="68"/>
      <c r="M99" s="68"/>
      <c r="N99" s="68"/>
    </row>
    <row r="100" spans="1:14" ht="17.25" x14ac:dyDescent="0.35">
      <c r="A100" s="68"/>
      <c r="B100" s="68"/>
      <c r="C100" s="68"/>
      <c r="D100" s="68"/>
      <c r="E100" s="68"/>
      <c r="F100" s="68"/>
      <c r="G100" s="68"/>
      <c r="H100" s="68"/>
      <c r="I100" s="68"/>
      <c r="J100" s="68"/>
      <c r="K100" s="68"/>
      <c r="L100" s="68"/>
      <c r="M100" s="68"/>
      <c r="N100" s="68"/>
    </row>
    <row r="101" spans="1:14" ht="17.25" x14ac:dyDescent="0.35">
      <c r="A101" s="68"/>
      <c r="B101" s="68"/>
      <c r="C101" s="68"/>
      <c r="D101" s="68"/>
      <c r="E101" s="68"/>
      <c r="F101" s="68"/>
      <c r="G101" s="68"/>
      <c r="H101" s="68"/>
      <c r="I101" s="68"/>
      <c r="J101" s="68"/>
      <c r="K101" s="68"/>
      <c r="L101" s="68"/>
      <c r="M101" s="68"/>
      <c r="N101" s="68"/>
    </row>
  </sheetData>
  <sheetProtection selectLockedCells="1"/>
  <mergeCells count="3">
    <mergeCell ref="D22:I22"/>
    <mergeCell ref="E23:F23"/>
    <mergeCell ref="G23:I23"/>
  </mergeCells>
  <conditionalFormatting sqref="D33:H37">
    <cfRule type="cellIs" dxfId="239" priority="1" operator="equal">
      <formula>$H$4</formula>
    </cfRule>
    <cfRule type="cellIs" dxfId="238" priority="1583" operator="equal">
      <formula>$H$5</formula>
    </cfRule>
    <cfRule type="cellIs" dxfId="237" priority="1584" operator="equal">
      <formula>$H$6</formula>
    </cfRule>
    <cfRule type="cellIs" dxfId="236" priority="1585" operator="equal">
      <formula>$H$7</formula>
    </cfRule>
    <cfRule type="cellIs" dxfId="235" priority="1586" operator="equal">
      <formula>$H$8</formula>
    </cfRule>
  </conditionalFormatting>
  <dataValidations count="1">
    <dataValidation type="list" allowBlank="1" showInputMessage="1" showErrorMessage="1" error="Sett inn en verdi fra listen" sqref="D33:H37" xr:uid="{00000000-0002-0000-0100-000000000000}">
      <formula1>$H$4:$H$8</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3">
    <tabColor rgb="FF9FF0A4"/>
  </sheetPr>
  <dimension ref="A1:V302"/>
  <sheetViews>
    <sheetView showGridLines="0" showRowColHeaders="0" showZeros="0" zoomScale="81" zoomScaleNormal="81" workbookViewId="0">
      <pane ySplit="1" topLeftCell="A2" activePane="bottomLeft" state="frozen"/>
      <selection activeCell="Q17" sqref="Q17"/>
      <selection pane="bottomLeft" activeCell="P48" sqref="P48"/>
    </sheetView>
  </sheetViews>
  <sheetFormatPr baseColWidth="10" defaultColWidth="8.85546875" defaultRowHeight="15" x14ac:dyDescent="0.25"/>
  <cols>
    <col min="1" max="1" width="3.42578125" style="52" customWidth="1"/>
    <col min="2" max="2" width="34.7109375" style="19" customWidth="1"/>
    <col min="3" max="3" width="31.7109375" style="21" customWidth="1"/>
    <col min="4" max="4" width="17.42578125" style="19" customWidth="1"/>
    <col min="5" max="5" width="15.140625" style="19" customWidth="1"/>
    <col min="6" max="6" width="14.7109375" style="19" customWidth="1"/>
    <col min="7" max="8" width="5.7109375" style="19" hidden="1" customWidth="1"/>
    <col min="9" max="9" width="10.7109375" style="21" hidden="1" customWidth="1"/>
    <col min="10" max="10" width="10.7109375" style="19" hidden="1" customWidth="1"/>
    <col min="11" max="11" width="10.7109375" style="29" hidden="1" customWidth="1"/>
    <col min="12" max="12" width="5.140625" style="53" customWidth="1"/>
    <col min="13" max="13" width="31.140625" style="20" customWidth="1"/>
    <col min="14" max="14" width="2.85546875" style="20" customWidth="1"/>
    <col min="15" max="15" width="1.5703125" style="20" hidden="1" customWidth="1"/>
    <col min="16" max="16384" width="8.85546875" style="20"/>
  </cols>
  <sheetData>
    <row r="1" spans="1:22" s="18" customFormat="1" ht="93" x14ac:dyDescent="0.25">
      <c r="A1" s="179" t="s">
        <v>78</v>
      </c>
      <c r="B1" s="288" t="s">
        <v>79</v>
      </c>
      <c r="C1" s="288" t="s">
        <v>80</v>
      </c>
      <c r="D1" s="288" t="s">
        <v>82</v>
      </c>
      <c r="E1" s="288" t="s">
        <v>83</v>
      </c>
      <c r="F1" s="288" t="s">
        <v>84</v>
      </c>
      <c r="G1" s="180"/>
      <c r="H1" s="180"/>
      <c r="I1" s="180"/>
      <c r="J1" s="180" t="s">
        <v>85</v>
      </c>
      <c r="K1" s="181" t="s">
        <v>86</v>
      </c>
      <c r="L1" s="182"/>
      <c r="M1" s="183"/>
      <c r="N1" s="184"/>
      <c r="O1" s="184"/>
      <c r="P1" s="184"/>
      <c r="Q1" s="184"/>
      <c r="R1" s="184"/>
      <c r="S1" s="184"/>
      <c r="T1" s="184"/>
      <c r="U1" s="184"/>
      <c r="V1" s="184"/>
    </row>
    <row r="2" spans="1:22" ht="17.25" x14ac:dyDescent="0.25">
      <c r="A2" s="185">
        <v>1</v>
      </c>
      <c r="B2" s="186"/>
      <c r="C2" s="186"/>
      <c r="D2" s="187"/>
      <c r="E2" s="187"/>
      <c r="F2" s="187"/>
      <c r="G2" s="188" t="e">
        <f>VLOOKUP(D2,'Datasource 2'!$G$15:$H$19,2,FALSE)</f>
        <v>#N/A</v>
      </c>
      <c r="H2" s="188" t="e">
        <f>VLOOKUP(E2,'Datasource 2'!$G$15:$H$19,2,FALSE)</f>
        <v>#N/A</v>
      </c>
      <c r="I2" s="188" t="e">
        <f>VLOOKUP(F2,'Datasource 2'!$G$15:$H$19,2,FALSE)</f>
        <v>#N/A</v>
      </c>
      <c r="J2" s="188" t="e">
        <f>IF(MAX(G2:I2)&gt;0,MAX(G2:I2),"")</f>
        <v>#N/A</v>
      </c>
      <c r="K2" s="189" t="e">
        <f>_xlfn.IFNA(VLOOKUP(#REF!,'Datasource 2'!I$14:$J$18,2,FALSE),J2)</f>
        <v>#REF!</v>
      </c>
      <c r="L2" s="190"/>
      <c r="M2" s="191"/>
      <c r="N2" s="191"/>
      <c r="O2" s="191"/>
      <c r="P2" s="191"/>
      <c r="Q2" s="191"/>
      <c r="R2" s="191"/>
      <c r="S2" s="191"/>
      <c r="T2" s="191"/>
      <c r="U2" s="191"/>
      <c r="V2" s="191"/>
    </row>
    <row r="3" spans="1:22" ht="17.25" x14ac:dyDescent="0.25">
      <c r="A3" s="185">
        <v>2</v>
      </c>
      <c r="B3" s="186"/>
      <c r="C3" s="186"/>
      <c r="D3" s="187"/>
      <c r="E3" s="187"/>
      <c r="F3" s="187"/>
      <c r="G3" s="188" t="e">
        <f>VLOOKUP(D3,'Datasource 2'!$G$15:$H$19,2,FALSE)</f>
        <v>#N/A</v>
      </c>
      <c r="H3" s="188" t="e">
        <f>VLOOKUP(E3,'Datasource 2'!$G$15:$H$19,2,FALSE)</f>
        <v>#N/A</v>
      </c>
      <c r="I3" s="188" t="e">
        <f>VLOOKUP(F3,'Datasource 2'!$G$15:$H$19,2,FALSE)</f>
        <v>#N/A</v>
      </c>
      <c r="J3" s="188" t="e">
        <f t="shared" ref="J3:J66" si="0">IF(MAX(G3:I3)&gt;0,MAX(G3:I3),"")</f>
        <v>#N/A</v>
      </c>
      <c r="K3" s="189" t="e">
        <f>_xlfn.IFNA(VLOOKUP(#REF!,'Datasource 2'!I$14:$J$18,2,FALSE),J3)</f>
        <v>#REF!</v>
      </c>
      <c r="L3" s="190"/>
      <c r="M3" s="191"/>
      <c r="N3" s="191"/>
      <c r="O3" s="191"/>
      <c r="P3" s="191"/>
      <c r="Q3" s="191"/>
      <c r="R3" s="191"/>
      <c r="S3" s="191"/>
      <c r="T3" s="191"/>
      <c r="U3" s="191"/>
      <c r="V3" s="191"/>
    </row>
    <row r="4" spans="1:22" ht="17.25" x14ac:dyDescent="0.25">
      <c r="A4" s="185">
        <v>3</v>
      </c>
      <c r="B4" s="186"/>
      <c r="C4" s="186"/>
      <c r="D4" s="187"/>
      <c r="E4" s="187"/>
      <c r="F4" s="187"/>
      <c r="G4" s="188" t="e">
        <f>VLOOKUP(D4,'Datasource 2'!$G$15:$H$19,2,FALSE)</f>
        <v>#N/A</v>
      </c>
      <c r="H4" s="188" t="e">
        <f>VLOOKUP(E4,'Datasource 2'!$G$15:$H$19,2,FALSE)</f>
        <v>#N/A</v>
      </c>
      <c r="I4" s="188" t="e">
        <f>VLOOKUP(F4,'Datasource 2'!$G$15:$H$19,2,FALSE)</f>
        <v>#N/A</v>
      </c>
      <c r="J4" s="188" t="e">
        <f t="shared" si="0"/>
        <v>#N/A</v>
      </c>
      <c r="K4" s="189" t="e">
        <f>_xlfn.IFNA(VLOOKUP(#REF!,'Datasource 2'!I$14:$J$18,2,FALSE),J4)</f>
        <v>#REF!</v>
      </c>
      <c r="L4" s="190"/>
      <c r="M4" s="191"/>
      <c r="N4" s="191"/>
      <c r="O4" s="191"/>
      <c r="P4" s="191"/>
      <c r="Q4" s="191"/>
      <c r="R4" s="191"/>
      <c r="S4" s="191"/>
      <c r="T4" s="191"/>
      <c r="U4" s="191"/>
      <c r="V4" s="191"/>
    </row>
    <row r="5" spans="1:22" ht="17.25" x14ac:dyDescent="0.25">
      <c r="A5" s="185">
        <v>4</v>
      </c>
      <c r="B5" s="186"/>
      <c r="C5" s="186"/>
      <c r="D5" s="187"/>
      <c r="E5" s="187"/>
      <c r="F5" s="187"/>
      <c r="G5" s="188" t="e">
        <f>VLOOKUP(D5,'Datasource 2'!$G$15:$H$19,2,FALSE)</f>
        <v>#N/A</v>
      </c>
      <c r="H5" s="188" t="e">
        <f>VLOOKUP(E5,'Datasource 2'!$G$15:$H$19,2,FALSE)</f>
        <v>#N/A</v>
      </c>
      <c r="I5" s="188" t="e">
        <f>VLOOKUP(F5,'Datasource 2'!$G$15:$H$19,2,FALSE)</f>
        <v>#N/A</v>
      </c>
      <c r="J5" s="188" t="e">
        <f t="shared" si="0"/>
        <v>#N/A</v>
      </c>
      <c r="K5" s="189" t="e">
        <f>_xlfn.IFNA(VLOOKUP(#REF!,'Datasource 2'!I$14:$J$18,2,FALSE),J5)</f>
        <v>#REF!</v>
      </c>
      <c r="L5" s="190"/>
      <c r="M5" s="191"/>
      <c r="N5" s="191"/>
      <c r="O5" s="191"/>
      <c r="P5" s="191"/>
      <c r="Q5" s="191"/>
      <c r="R5" s="191"/>
      <c r="S5" s="191"/>
      <c r="T5" s="191"/>
      <c r="U5" s="191"/>
      <c r="V5" s="191"/>
    </row>
    <row r="6" spans="1:22" ht="17.25" x14ac:dyDescent="0.25">
      <c r="A6" s="185">
        <v>5</v>
      </c>
      <c r="B6" s="186"/>
      <c r="C6" s="186"/>
      <c r="D6" s="187"/>
      <c r="E6" s="187"/>
      <c r="F6" s="187"/>
      <c r="G6" s="188" t="e">
        <f>VLOOKUP(D6,'Datasource 2'!$G$15:$H$19,2,FALSE)</f>
        <v>#N/A</v>
      </c>
      <c r="H6" s="188" t="e">
        <f>VLOOKUP(E6,'Datasource 2'!$G$15:$H$19,2,FALSE)</f>
        <v>#N/A</v>
      </c>
      <c r="I6" s="188" t="e">
        <f>VLOOKUP(F6,'Datasource 2'!$G$15:$H$19,2,FALSE)</f>
        <v>#N/A</v>
      </c>
      <c r="J6" s="188" t="e">
        <f t="shared" si="0"/>
        <v>#N/A</v>
      </c>
      <c r="K6" s="189" t="e">
        <f>_xlfn.IFNA(VLOOKUP(#REF!,'Datasource 2'!I$14:$J$18,2,FALSE),J6)</f>
        <v>#REF!</v>
      </c>
      <c r="L6" s="190"/>
      <c r="M6" s="191"/>
      <c r="N6" s="191"/>
      <c r="O6" s="191"/>
      <c r="P6" s="191"/>
      <c r="Q6" s="191"/>
      <c r="R6" s="191"/>
      <c r="S6" s="191"/>
      <c r="T6" s="191"/>
      <c r="U6" s="191"/>
      <c r="V6" s="191"/>
    </row>
    <row r="7" spans="1:22" ht="17.25" x14ac:dyDescent="0.25">
      <c r="A7" s="185">
        <v>6</v>
      </c>
      <c r="B7" s="186"/>
      <c r="C7" s="186"/>
      <c r="D7" s="187"/>
      <c r="E7" s="187"/>
      <c r="F7" s="187"/>
      <c r="G7" s="188" t="e">
        <f>VLOOKUP(D7,'Datasource 2'!$G$15:$H$19,2,FALSE)</f>
        <v>#N/A</v>
      </c>
      <c r="H7" s="188" t="e">
        <f>VLOOKUP(E7,'Datasource 2'!$G$15:$H$19,2,FALSE)</f>
        <v>#N/A</v>
      </c>
      <c r="I7" s="188" t="e">
        <f>VLOOKUP(F7,'Datasource 2'!$G$15:$H$19,2,FALSE)</f>
        <v>#N/A</v>
      </c>
      <c r="J7" s="188" t="e">
        <f t="shared" si="0"/>
        <v>#N/A</v>
      </c>
      <c r="K7" s="189" t="e">
        <f>_xlfn.IFNA(VLOOKUP(#REF!,'Datasource 2'!I$14:$J$18,2,FALSE),J7)</f>
        <v>#REF!</v>
      </c>
      <c r="L7" s="190"/>
      <c r="M7" s="191"/>
      <c r="N7" s="191"/>
      <c r="O7" s="191"/>
      <c r="P7" s="191"/>
      <c r="Q7" s="191"/>
      <c r="R7" s="191"/>
      <c r="S7" s="191"/>
      <c r="T7" s="191"/>
      <c r="U7" s="191"/>
      <c r="V7" s="191"/>
    </row>
    <row r="8" spans="1:22" ht="17.25" x14ac:dyDescent="0.25">
      <c r="A8" s="185">
        <v>7</v>
      </c>
      <c r="B8" s="186"/>
      <c r="C8" s="186"/>
      <c r="D8" s="187"/>
      <c r="E8" s="187"/>
      <c r="F8" s="187"/>
      <c r="G8" s="188" t="e">
        <f>VLOOKUP(D8,'Datasource 2'!$G$15:$H$19,2,FALSE)</f>
        <v>#N/A</v>
      </c>
      <c r="H8" s="188" t="e">
        <f>VLOOKUP(E8,'Datasource 2'!$G$15:$H$19,2,FALSE)</f>
        <v>#N/A</v>
      </c>
      <c r="I8" s="188" t="e">
        <f>VLOOKUP(F8,'Datasource 2'!$G$15:$H$19,2,FALSE)</f>
        <v>#N/A</v>
      </c>
      <c r="J8" s="188" t="e">
        <f t="shared" si="0"/>
        <v>#N/A</v>
      </c>
      <c r="K8" s="189" t="e">
        <f>_xlfn.IFNA(VLOOKUP(#REF!,'Datasource 2'!I$14:$J$18,2,FALSE),J8)</f>
        <v>#REF!</v>
      </c>
      <c r="L8" s="190"/>
      <c r="M8" s="191"/>
      <c r="N8" s="191"/>
      <c r="O8" s="191"/>
      <c r="P8" s="191"/>
      <c r="Q8" s="191"/>
      <c r="R8" s="191"/>
      <c r="S8" s="191"/>
      <c r="T8" s="191"/>
      <c r="U8" s="191"/>
      <c r="V8" s="191"/>
    </row>
    <row r="9" spans="1:22" ht="17.25" x14ac:dyDescent="0.25">
      <c r="A9" s="185">
        <v>8</v>
      </c>
      <c r="B9" s="186"/>
      <c r="C9" s="186"/>
      <c r="D9" s="187"/>
      <c r="E9" s="187"/>
      <c r="F9" s="187"/>
      <c r="G9" s="188" t="e">
        <f>VLOOKUP(D9,'Datasource 2'!$G$15:$H$19,2,FALSE)</f>
        <v>#N/A</v>
      </c>
      <c r="H9" s="188" t="e">
        <f>VLOOKUP(E9,'Datasource 2'!$G$15:$H$19,2,FALSE)</f>
        <v>#N/A</v>
      </c>
      <c r="I9" s="188" t="e">
        <f>VLOOKUP(F9,'Datasource 2'!$G$15:$H$19,2,FALSE)</f>
        <v>#N/A</v>
      </c>
      <c r="J9" s="188" t="e">
        <f t="shared" si="0"/>
        <v>#N/A</v>
      </c>
      <c r="K9" s="189" t="e">
        <f>_xlfn.IFNA(VLOOKUP(#REF!,'Datasource 2'!I$14:$J$18,2,FALSE),J9)</f>
        <v>#REF!</v>
      </c>
      <c r="L9" s="190"/>
      <c r="M9" s="191"/>
      <c r="N9" s="191"/>
      <c r="O9" s="191"/>
      <c r="P9" s="191"/>
      <c r="Q9" s="191"/>
      <c r="R9" s="191"/>
      <c r="S9" s="191"/>
      <c r="T9" s="191"/>
      <c r="U9" s="191"/>
      <c r="V9" s="191"/>
    </row>
    <row r="10" spans="1:22" ht="17.25" x14ac:dyDescent="0.25">
      <c r="A10" s="185">
        <v>9</v>
      </c>
      <c r="B10" s="186"/>
      <c r="C10" s="186"/>
      <c r="D10" s="187"/>
      <c r="E10" s="187"/>
      <c r="F10" s="187"/>
      <c r="G10" s="188" t="e">
        <f>VLOOKUP(D10,'Datasource 2'!$G$15:$H$19,2,FALSE)</f>
        <v>#N/A</v>
      </c>
      <c r="H10" s="188" t="e">
        <f>VLOOKUP(E10,'Datasource 2'!$G$15:$H$19,2,FALSE)</f>
        <v>#N/A</v>
      </c>
      <c r="I10" s="188" t="e">
        <f>VLOOKUP(F10,'Datasource 2'!$G$15:$H$19,2,FALSE)</f>
        <v>#N/A</v>
      </c>
      <c r="J10" s="188" t="e">
        <f t="shared" si="0"/>
        <v>#N/A</v>
      </c>
      <c r="K10" s="189" t="e">
        <f>_xlfn.IFNA(VLOOKUP(#REF!,'Datasource 2'!I$14:$J$18,2,FALSE),J10)</f>
        <v>#REF!</v>
      </c>
      <c r="L10" s="190"/>
      <c r="M10" s="191"/>
      <c r="N10" s="191"/>
      <c r="O10" s="191"/>
      <c r="P10" s="191"/>
      <c r="Q10" s="191"/>
      <c r="R10" s="191"/>
      <c r="S10" s="191"/>
      <c r="T10" s="191"/>
      <c r="U10" s="191"/>
      <c r="V10" s="191"/>
    </row>
    <row r="11" spans="1:22" ht="17.25" x14ac:dyDescent="0.25">
      <c r="A11" s="185">
        <v>10</v>
      </c>
      <c r="B11" s="186"/>
      <c r="C11" s="186"/>
      <c r="D11" s="187"/>
      <c r="E11" s="187"/>
      <c r="F11" s="187"/>
      <c r="G11" s="188" t="e">
        <f>VLOOKUP(D11,'Datasource 2'!$G$15:$H$19,2,FALSE)</f>
        <v>#N/A</v>
      </c>
      <c r="H11" s="188" t="e">
        <f>VLOOKUP(E11,'Datasource 2'!$G$15:$H$19,2,FALSE)</f>
        <v>#N/A</v>
      </c>
      <c r="I11" s="188" t="e">
        <f>VLOOKUP(F11,'Datasource 2'!$G$15:$H$19,2,FALSE)</f>
        <v>#N/A</v>
      </c>
      <c r="J11" s="188" t="e">
        <f t="shared" si="0"/>
        <v>#N/A</v>
      </c>
      <c r="K11" s="189" t="e">
        <f>_xlfn.IFNA(VLOOKUP(#REF!,'Datasource 2'!I$14:$J$18,2,FALSE),J11)</f>
        <v>#REF!</v>
      </c>
      <c r="L11" s="190"/>
      <c r="M11" s="191"/>
      <c r="N11" s="191"/>
      <c r="O11" s="191"/>
      <c r="P11" s="191"/>
      <c r="Q11" s="191"/>
      <c r="R11" s="191"/>
      <c r="S11" s="191"/>
      <c r="T11" s="191"/>
      <c r="U11" s="191"/>
      <c r="V11" s="191"/>
    </row>
    <row r="12" spans="1:22" ht="17.25" x14ac:dyDescent="0.25">
      <c r="A12" s="185">
        <v>11</v>
      </c>
      <c r="B12" s="186"/>
      <c r="C12" s="186"/>
      <c r="D12" s="187"/>
      <c r="E12" s="187"/>
      <c r="F12" s="187"/>
      <c r="G12" s="188" t="e">
        <f>VLOOKUP(D12,'Datasource 2'!$G$15:$H$19,2,FALSE)</f>
        <v>#N/A</v>
      </c>
      <c r="H12" s="188" t="e">
        <f>VLOOKUP(E12,'Datasource 2'!$G$15:$H$19,2,FALSE)</f>
        <v>#N/A</v>
      </c>
      <c r="I12" s="188" t="e">
        <f>VLOOKUP(F12,'Datasource 2'!$G$15:$H$19,2,FALSE)</f>
        <v>#N/A</v>
      </c>
      <c r="J12" s="188" t="e">
        <f t="shared" si="0"/>
        <v>#N/A</v>
      </c>
      <c r="K12" s="189" t="e">
        <f>_xlfn.IFNA(VLOOKUP(#REF!,'Datasource 2'!I$14:$J$18,2,FALSE),J12)</f>
        <v>#REF!</v>
      </c>
      <c r="L12" s="190"/>
      <c r="M12" s="191"/>
      <c r="N12" s="191"/>
      <c r="O12" s="191"/>
      <c r="P12" s="191"/>
      <c r="Q12" s="191"/>
      <c r="R12" s="191"/>
      <c r="S12" s="191"/>
      <c r="T12" s="191"/>
      <c r="U12" s="191"/>
      <c r="V12" s="191"/>
    </row>
    <row r="13" spans="1:22" ht="17.25" x14ac:dyDescent="0.25">
      <c r="A13" s="185">
        <v>12</v>
      </c>
      <c r="B13" s="186"/>
      <c r="C13" s="186"/>
      <c r="D13" s="187"/>
      <c r="E13" s="187"/>
      <c r="F13" s="187"/>
      <c r="G13" s="188" t="e">
        <f>VLOOKUP(D13,'Datasource 2'!$G$15:$H$19,2,FALSE)</f>
        <v>#N/A</v>
      </c>
      <c r="H13" s="188" t="e">
        <f>VLOOKUP(E13,'Datasource 2'!$G$15:$H$19,2,FALSE)</f>
        <v>#N/A</v>
      </c>
      <c r="I13" s="188" t="e">
        <f>VLOOKUP(F13,'Datasource 2'!$G$15:$H$19,2,FALSE)</f>
        <v>#N/A</v>
      </c>
      <c r="J13" s="188" t="e">
        <f t="shared" si="0"/>
        <v>#N/A</v>
      </c>
      <c r="K13" s="189" t="e">
        <f>_xlfn.IFNA(VLOOKUP(#REF!,'Datasource 2'!I$14:$J$18,2,FALSE),J13)</f>
        <v>#REF!</v>
      </c>
      <c r="L13" s="190"/>
      <c r="M13" s="191"/>
      <c r="N13" s="191"/>
      <c r="O13" s="191"/>
      <c r="P13" s="191"/>
      <c r="Q13" s="191"/>
      <c r="R13" s="191"/>
      <c r="S13" s="191"/>
      <c r="T13" s="191"/>
      <c r="U13" s="191"/>
      <c r="V13" s="191"/>
    </row>
    <row r="14" spans="1:22" ht="17.25" x14ac:dyDescent="0.25">
      <c r="A14" s="185">
        <v>13</v>
      </c>
      <c r="B14" s="186"/>
      <c r="C14" s="186"/>
      <c r="D14" s="187"/>
      <c r="E14" s="187"/>
      <c r="F14" s="187"/>
      <c r="G14" s="188" t="e">
        <f>VLOOKUP(D14,'Datasource 2'!$G$15:$H$19,2,FALSE)</f>
        <v>#N/A</v>
      </c>
      <c r="H14" s="188" t="e">
        <f>VLOOKUP(E14,'Datasource 2'!$G$15:$H$19,2,FALSE)</f>
        <v>#N/A</v>
      </c>
      <c r="I14" s="188" t="e">
        <f>VLOOKUP(F14,'Datasource 2'!$G$15:$H$19,2,FALSE)</f>
        <v>#N/A</v>
      </c>
      <c r="J14" s="188" t="e">
        <f t="shared" si="0"/>
        <v>#N/A</v>
      </c>
      <c r="K14" s="189" t="e">
        <f>_xlfn.IFNA(VLOOKUP(#REF!,'Datasource 2'!I$14:$J$18,2,FALSE),J14)</f>
        <v>#REF!</v>
      </c>
      <c r="L14" s="190"/>
      <c r="M14" s="191"/>
      <c r="N14" s="191"/>
      <c r="O14" s="191"/>
      <c r="P14" s="191"/>
      <c r="Q14" s="191"/>
      <c r="R14" s="191"/>
      <c r="S14" s="191"/>
      <c r="T14" s="191"/>
      <c r="U14" s="191"/>
      <c r="V14" s="191"/>
    </row>
    <row r="15" spans="1:22" ht="17.25" x14ac:dyDescent="0.25">
      <c r="A15" s="185">
        <v>14</v>
      </c>
      <c r="B15" s="186"/>
      <c r="C15" s="186"/>
      <c r="D15" s="187"/>
      <c r="E15" s="187"/>
      <c r="F15" s="187"/>
      <c r="G15" s="188" t="e">
        <f>VLOOKUP(D15,'Datasource 2'!$G$15:$H$19,2,FALSE)</f>
        <v>#N/A</v>
      </c>
      <c r="H15" s="188" t="e">
        <f>VLOOKUP(E15,'Datasource 2'!$G$15:$H$19,2,FALSE)</f>
        <v>#N/A</v>
      </c>
      <c r="I15" s="188" t="e">
        <f>VLOOKUP(F15,'Datasource 2'!$G$15:$H$19,2,FALSE)</f>
        <v>#N/A</v>
      </c>
      <c r="J15" s="188" t="e">
        <f t="shared" si="0"/>
        <v>#N/A</v>
      </c>
      <c r="K15" s="189" t="e">
        <f>_xlfn.IFNA(VLOOKUP(#REF!,'Datasource 2'!I$14:$J$18,2,FALSE),J15)</f>
        <v>#REF!</v>
      </c>
      <c r="L15" s="190"/>
      <c r="M15" s="191"/>
      <c r="N15" s="191"/>
      <c r="O15" s="191"/>
      <c r="P15" s="191"/>
      <c r="Q15" s="191"/>
      <c r="R15" s="191"/>
      <c r="S15" s="191"/>
      <c r="T15" s="191"/>
      <c r="U15" s="191"/>
      <c r="V15" s="191"/>
    </row>
    <row r="16" spans="1:22" ht="17.25" x14ac:dyDescent="0.25">
      <c r="A16" s="185">
        <v>15</v>
      </c>
      <c r="B16" s="186"/>
      <c r="C16" s="186"/>
      <c r="D16" s="187"/>
      <c r="E16" s="187"/>
      <c r="F16" s="187"/>
      <c r="G16" s="188" t="e">
        <f>VLOOKUP(D16,'Datasource 2'!$G$15:$H$19,2,FALSE)</f>
        <v>#N/A</v>
      </c>
      <c r="H16" s="188" t="e">
        <f>VLOOKUP(E16,'Datasource 2'!$G$15:$H$19,2,FALSE)</f>
        <v>#N/A</v>
      </c>
      <c r="I16" s="188" t="e">
        <f>VLOOKUP(F16,'Datasource 2'!$G$15:$H$19,2,FALSE)</f>
        <v>#N/A</v>
      </c>
      <c r="J16" s="188" t="e">
        <f t="shared" si="0"/>
        <v>#N/A</v>
      </c>
      <c r="K16" s="189" t="e">
        <f>_xlfn.IFNA(VLOOKUP(#REF!,'Datasource 2'!I$14:$J$18,2,FALSE),J16)</f>
        <v>#REF!</v>
      </c>
      <c r="L16" s="190"/>
      <c r="M16" s="191"/>
      <c r="N16" s="191"/>
      <c r="O16" s="191"/>
      <c r="P16" s="191"/>
      <c r="Q16" s="191"/>
      <c r="R16" s="191"/>
      <c r="S16" s="191"/>
      <c r="T16" s="191"/>
      <c r="U16" s="191"/>
      <c r="V16" s="191"/>
    </row>
    <row r="17" spans="1:22" ht="17.25" x14ac:dyDescent="0.25">
      <c r="A17" s="185">
        <v>16</v>
      </c>
      <c r="B17" s="186"/>
      <c r="C17" s="186"/>
      <c r="D17" s="187"/>
      <c r="E17" s="187"/>
      <c r="F17" s="187"/>
      <c r="G17" s="188" t="e">
        <f>VLOOKUP(D17,'Datasource 2'!$G$15:$H$19,2,FALSE)</f>
        <v>#N/A</v>
      </c>
      <c r="H17" s="188" t="e">
        <f>VLOOKUP(E17,'Datasource 2'!$G$15:$H$19,2,FALSE)</f>
        <v>#N/A</v>
      </c>
      <c r="I17" s="188" t="e">
        <f>VLOOKUP(F17,'Datasource 2'!$G$15:$H$19,2,FALSE)</f>
        <v>#N/A</v>
      </c>
      <c r="J17" s="188" t="e">
        <f t="shared" si="0"/>
        <v>#N/A</v>
      </c>
      <c r="K17" s="189" t="e">
        <f>_xlfn.IFNA(VLOOKUP(#REF!,'Datasource 2'!I$14:$J$18,2,FALSE),J17)</f>
        <v>#REF!</v>
      </c>
      <c r="L17" s="190"/>
      <c r="M17" s="191"/>
      <c r="N17" s="191"/>
      <c r="O17" s="191"/>
      <c r="P17" s="191"/>
      <c r="Q17" s="191"/>
      <c r="R17" s="191"/>
      <c r="S17" s="191"/>
      <c r="T17" s="191"/>
      <c r="U17" s="191"/>
      <c r="V17" s="191"/>
    </row>
    <row r="18" spans="1:22" ht="17.25" x14ac:dyDescent="0.25">
      <c r="A18" s="185">
        <v>17</v>
      </c>
      <c r="B18" s="186"/>
      <c r="C18" s="186"/>
      <c r="D18" s="187"/>
      <c r="E18" s="187"/>
      <c r="F18" s="187"/>
      <c r="G18" s="188" t="e">
        <f>VLOOKUP(D18,'Datasource 2'!$G$15:$H$19,2,FALSE)</f>
        <v>#N/A</v>
      </c>
      <c r="H18" s="188" t="e">
        <f>VLOOKUP(E18,'Datasource 2'!$G$15:$H$19,2,FALSE)</f>
        <v>#N/A</v>
      </c>
      <c r="I18" s="188" t="e">
        <f>VLOOKUP(F18,'Datasource 2'!$G$15:$H$19,2,FALSE)</f>
        <v>#N/A</v>
      </c>
      <c r="J18" s="188" t="e">
        <f t="shared" si="0"/>
        <v>#N/A</v>
      </c>
      <c r="K18" s="189" t="e">
        <f>_xlfn.IFNA(VLOOKUP(#REF!,'Datasource 2'!I$14:$J$18,2,FALSE),J18)</f>
        <v>#REF!</v>
      </c>
      <c r="L18" s="190"/>
      <c r="M18" s="191"/>
      <c r="N18" s="191"/>
      <c r="O18" s="191"/>
      <c r="P18" s="191"/>
      <c r="Q18" s="191"/>
      <c r="R18" s="191"/>
      <c r="S18" s="191"/>
      <c r="T18" s="191"/>
      <c r="U18" s="191"/>
      <c r="V18" s="191"/>
    </row>
    <row r="19" spans="1:22" ht="17.25" x14ac:dyDescent="0.25">
      <c r="A19" s="185">
        <v>18</v>
      </c>
      <c r="B19" s="186"/>
      <c r="C19" s="186"/>
      <c r="D19" s="187"/>
      <c r="E19" s="187"/>
      <c r="F19" s="187"/>
      <c r="G19" s="188" t="e">
        <f>VLOOKUP(D19,'Datasource 2'!$G$15:$H$19,2,FALSE)</f>
        <v>#N/A</v>
      </c>
      <c r="H19" s="188" t="e">
        <f>VLOOKUP(E19,'Datasource 2'!$G$15:$H$19,2,FALSE)</f>
        <v>#N/A</v>
      </c>
      <c r="I19" s="188" t="e">
        <f>VLOOKUP(F19,'Datasource 2'!$G$15:$H$19,2,FALSE)</f>
        <v>#N/A</v>
      </c>
      <c r="J19" s="188" t="e">
        <f t="shared" si="0"/>
        <v>#N/A</v>
      </c>
      <c r="K19" s="189" t="e">
        <f>_xlfn.IFNA(VLOOKUP(#REF!,'Datasource 2'!I$14:$J$18,2,FALSE),J19)</f>
        <v>#REF!</v>
      </c>
      <c r="L19" s="190"/>
      <c r="M19" s="191"/>
      <c r="N19" s="191"/>
      <c r="O19" s="191"/>
      <c r="P19" s="191"/>
      <c r="Q19" s="191"/>
      <c r="R19" s="191"/>
      <c r="S19" s="191"/>
      <c r="T19" s="191"/>
      <c r="U19" s="191"/>
      <c r="V19" s="191"/>
    </row>
    <row r="20" spans="1:22" ht="17.25" x14ac:dyDescent="0.25">
      <c r="A20" s="185">
        <v>19</v>
      </c>
      <c r="B20" s="186"/>
      <c r="C20" s="186"/>
      <c r="D20" s="187"/>
      <c r="E20" s="187"/>
      <c r="F20" s="187"/>
      <c r="G20" s="188" t="e">
        <f>VLOOKUP(D20,'Datasource 2'!$G$15:$H$19,2,FALSE)</f>
        <v>#N/A</v>
      </c>
      <c r="H20" s="188" t="e">
        <f>VLOOKUP(E20,'Datasource 2'!$G$15:$H$19,2,FALSE)</f>
        <v>#N/A</v>
      </c>
      <c r="I20" s="188" t="e">
        <f>VLOOKUP(F20,'Datasource 2'!$G$15:$H$19,2,FALSE)</f>
        <v>#N/A</v>
      </c>
      <c r="J20" s="188" t="e">
        <f t="shared" si="0"/>
        <v>#N/A</v>
      </c>
      <c r="K20" s="189" t="e">
        <f>_xlfn.IFNA(VLOOKUP(#REF!,'Datasource 2'!I$14:$J$18,2,FALSE),J20)</f>
        <v>#REF!</v>
      </c>
      <c r="L20" s="190"/>
      <c r="M20" s="191"/>
      <c r="N20" s="191"/>
      <c r="O20" s="191"/>
      <c r="P20" s="191"/>
      <c r="Q20" s="191"/>
      <c r="R20" s="191"/>
      <c r="S20" s="191"/>
      <c r="T20" s="191"/>
      <c r="U20" s="191"/>
      <c r="V20" s="191"/>
    </row>
    <row r="21" spans="1:22" ht="17.25" x14ac:dyDescent="0.25">
      <c r="A21" s="185">
        <v>20</v>
      </c>
      <c r="B21" s="186"/>
      <c r="C21" s="186"/>
      <c r="D21" s="187"/>
      <c r="E21" s="187"/>
      <c r="F21" s="187"/>
      <c r="G21" s="188" t="e">
        <f>VLOOKUP(D21,'Datasource 2'!$G$15:$H$19,2,FALSE)</f>
        <v>#N/A</v>
      </c>
      <c r="H21" s="188" t="e">
        <f>VLOOKUP(E21,'Datasource 2'!$G$15:$H$19,2,FALSE)</f>
        <v>#N/A</v>
      </c>
      <c r="I21" s="188" t="e">
        <f>VLOOKUP(F21,'Datasource 2'!$G$15:$H$19,2,FALSE)</f>
        <v>#N/A</v>
      </c>
      <c r="J21" s="188" t="e">
        <f t="shared" si="0"/>
        <v>#N/A</v>
      </c>
      <c r="K21" s="189" t="e">
        <f>_xlfn.IFNA(VLOOKUP(#REF!,'Datasource 2'!I$14:$J$18,2,FALSE),J21)</f>
        <v>#REF!</v>
      </c>
      <c r="L21" s="190"/>
      <c r="M21" s="191"/>
      <c r="N21" s="191"/>
      <c r="O21" s="191"/>
      <c r="P21" s="191"/>
      <c r="Q21" s="191"/>
      <c r="R21" s="191"/>
      <c r="S21" s="191"/>
      <c r="T21" s="191"/>
      <c r="U21" s="191"/>
      <c r="V21" s="191"/>
    </row>
    <row r="22" spans="1:22" ht="17.25" x14ac:dyDescent="0.25">
      <c r="A22" s="185">
        <v>21</v>
      </c>
      <c r="B22" s="186"/>
      <c r="C22" s="186"/>
      <c r="D22" s="187"/>
      <c r="E22" s="187"/>
      <c r="F22" s="187"/>
      <c r="G22" s="188" t="e">
        <f>VLOOKUP(D22,'Datasource 2'!$G$15:$H$19,2,FALSE)</f>
        <v>#N/A</v>
      </c>
      <c r="H22" s="188" t="e">
        <f>VLOOKUP(E22,'Datasource 2'!$G$15:$H$19,2,FALSE)</f>
        <v>#N/A</v>
      </c>
      <c r="I22" s="188" t="e">
        <f>VLOOKUP(F22,'Datasource 2'!$G$15:$H$19,2,FALSE)</f>
        <v>#N/A</v>
      </c>
      <c r="J22" s="188" t="e">
        <f t="shared" si="0"/>
        <v>#N/A</v>
      </c>
      <c r="K22" s="189" t="e">
        <f>_xlfn.IFNA(VLOOKUP(#REF!,'Datasource 2'!I$14:$J$18,2,FALSE),J22)</f>
        <v>#REF!</v>
      </c>
      <c r="L22" s="190"/>
      <c r="M22" s="191"/>
      <c r="N22" s="191"/>
      <c r="O22" s="191"/>
      <c r="P22" s="191"/>
      <c r="Q22" s="191"/>
      <c r="R22" s="191"/>
      <c r="S22" s="191"/>
      <c r="T22" s="191"/>
      <c r="U22" s="191"/>
      <c r="V22" s="191"/>
    </row>
    <row r="23" spans="1:22" ht="17.25" x14ac:dyDescent="0.25">
      <c r="A23" s="185">
        <v>22</v>
      </c>
      <c r="B23" s="186"/>
      <c r="C23" s="186"/>
      <c r="D23" s="187"/>
      <c r="E23" s="187"/>
      <c r="F23" s="187"/>
      <c r="G23" s="188" t="e">
        <f>VLOOKUP(D23,'Datasource 2'!$G$15:$H$19,2,FALSE)</f>
        <v>#N/A</v>
      </c>
      <c r="H23" s="188" t="e">
        <f>VLOOKUP(E23,'Datasource 2'!$G$15:$H$19,2,FALSE)</f>
        <v>#N/A</v>
      </c>
      <c r="I23" s="188" t="e">
        <f>VLOOKUP(F23,'Datasource 2'!$G$15:$H$19,2,FALSE)</f>
        <v>#N/A</v>
      </c>
      <c r="J23" s="188" t="e">
        <f t="shared" si="0"/>
        <v>#N/A</v>
      </c>
      <c r="K23" s="189" t="e">
        <f>_xlfn.IFNA(VLOOKUP(#REF!,'Datasource 2'!I$14:$J$18,2,FALSE),J23)</f>
        <v>#REF!</v>
      </c>
      <c r="L23" s="190"/>
      <c r="M23" s="191"/>
      <c r="N23" s="191"/>
      <c r="O23" s="191"/>
      <c r="P23" s="191"/>
      <c r="Q23" s="191"/>
      <c r="R23" s="191"/>
      <c r="S23" s="191"/>
      <c r="T23" s="191"/>
      <c r="U23" s="191"/>
      <c r="V23" s="191"/>
    </row>
    <row r="24" spans="1:22" ht="17.25" x14ac:dyDescent="0.25">
      <c r="A24" s="185">
        <v>23</v>
      </c>
      <c r="B24" s="186"/>
      <c r="C24" s="186"/>
      <c r="D24" s="187"/>
      <c r="E24" s="187"/>
      <c r="F24" s="187"/>
      <c r="G24" s="188" t="e">
        <f>VLOOKUP(D24,'Datasource 2'!$G$15:$H$19,2,FALSE)</f>
        <v>#N/A</v>
      </c>
      <c r="H24" s="188" t="e">
        <f>VLOOKUP(E24,'Datasource 2'!$G$15:$H$19,2,FALSE)</f>
        <v>#N/A</v>
      </c>
      <c r="I24" s="188" t="e">
        <f>VLOOKUP(F24,'Datasource 2'!$G$15:$H$19,2,FALSE)</f>
        <v>#N/A</v>
      </c>
      <c r="J24" s="188" t="e">
        <f t="shared" si="0"/>
        <v>#N/A</v>
      </c>
      <c r="K24" s="189" t="e">
        <f>_xlfn.IFNA(VLOOKUP(#REF!,'Datasource 2'!I$14:$J$18,2,FALSE),J24)</f>
        <v>#REF!</v>
      </c>
      <c r="L24" s="190"/>
      <c r="M24" s="191"/>
      <c r="N24" s="191"/>
      <c r="O24" s="191"/>
      <c r="P24" s="191"/>
      <c r="Q24" s="191"/>
      <c r="R24" s="191"/>
      <c r="S24" s="191"/>
      <c r="T24" s="191"/>
      <c r="U24" s="191"/>
      <c r="V24" s="191"/>
    </row>
    <row r="25" spans="1:22" ht="17.25" x14ac:dyDescent="0.25">
      <c r="A25" s="185">
        <v>24</v>
      </c>
      <c r="B25" s="186"/>
      <c r="C25" s="186"/>
      <c r="D25" s="187"/>
      <c r="E25" s="187"/>
      <c r="F25" s="187"/>
      <c r="G25" s="188" t="e">
        <f>VLOOKUP(D25,'Datasource 2'!$G$15:$H$19,2,FALSE)</f>
        <v>#N/A</v>
      </c>
      <c r="H25" s="188" t="e">
        <f>VLOOKUP(E25,'Datasource 2'!$G$15:$H$19,2,FALSE)</f>
        <v>#N/A</v>
      </c>
      <c r="I25" s="188" t="e">
        <f>VLOOKUP(F25,'Datasource 2'!$G$15:$H$19,2,FALSE)</f>
        <v>#N/A</v>
      </c>
      <c r="J25" s="188" t="e">
        <f t="shared" si="0"/>
        <v>#N/A</v>
      </c>
      <c r="K25" s="189" t="e">
        <f>_xlfn.IFNA(VLOOKUP(#REF!,'Datasource 2'!I$14:$J$18,2,FALSE),J25)</f>
        <v>#REF!</v>
      </c>
      <c r="L25" s="190"/>
      <c r="M25" s="191"/>
      <c r="N25" s="191"/>
      <c r="O25" s="191"/>
      <c r="P25" s="191"/>
      <c r="Q25" s="191"/>
      <c r="R25" s="191"/>
      <c r="S25" s="191"/>
      <c r="T25" s="191"/>
      <c r="U25" s="191"/>
      <c r="V25" s="191"/>
    </row>
    <row r="26" spans="1:22" ht="17.25" x14ac:dyDescent="0.25">
      <c r="A26" s="185">
        <v>25</v>
      </c>
      <c r="B26" s="186"/>
      <c r="C26" s="186"/>
      <c r="D26" s="187"/>
      <c r="E26" s="187"/>
      <c r="F26" s="187"/>
      <c r="G26" s="188" t="e">
        <f>VLOOKUP(D26,'Datasource 2'!$G$15:$H$19,2,FALSE)</f>
        <v>#N/A</v>
      </c>
      <c r="H26" s="188" t="e">
        <f>VLOOKUP(E26,'Datasource 2'!$G$15:$H$19,2,FALSE)</f>
        <v>#N/A</v>
      </c>
      <c r="I26" s="188" t="e">
        <f>VLOOKUP(F26,'Datasource 2'!$G$15:$H$19,2,FALSE)</f>
        <v>#N/A</v>
      </c>
      <c r="J26" s="188" t="e">
        <f t="shared" si="0"/>
        <v>#N/A</v>
      </c>
      <c r="K26" s="189" t="e">
        <f>_xlfn.IFNA(VLOOKUP(#REF!,'Datasource 2'!I$14:$J$18,2,FALSE),J26)</f>
        <v>#REF!</v>
      </c>
      <c r="L26" s="190"/>
      <c r="M26" s="191"/>
      <c r="N26" s="191"/>
      <c r="O26" s="191"/>
      <c r="P26" s="191"/>
      <c r="Q26" s="191"/>
      <c r="R26" s="191"/>
      <c r="S26" s="191"/>
      <c r="T26" s="191"/>
      <c r="U26" s="191"/>
      <c r="V26" s="191"/>
    </row>
    <row r="27" spans="1:22" ht="17.25" x14ac:dyDescent="0.25">
      <c r="A27" s="185">
        <v>26</v>
      </c>
      <c r="B27" s="186"/>
      <c r="C27" s="186"/>
      <c r="D27" s="187"/>
      <c r="E27" s="187"/>
      <c r="F27" s="187"/>
      <c r="G27" s="188" t="e">
        <f>VLOOKUP(D27,'Datasource 2'!$G$15:$H$19,2,FALSE)</f>
        <v>#N/A</v>
      </c>
      <c r="H27" s="188" t="e">
        <f>VLOOKUP(E27,'Datasource 2'!$G$15:$H$19,2,FALSE)</f>
        <v>#N/A</v>
      </c>
      <c r="I27" s="188" t="e">
        <f>VLOOKUP(F27,'Datasource 2'!$G$15:$H$19,2,FALSE)</f>
        <v>#N/A</v>
      </c>
      <c r="J27" s="188" t="e">
        <f t="shared" si="0"/>
        <v>#N/A</v>
      </c>
      <c r="K27" s="189" t="e">
        <f>_xlfn.IFNA(VLOOKUP(#REF!,'Datasource 2'!I$14:$J$18,2,FALSE),J27)</f>
        <v>#REF!</v>
      </c>
      <c r="L27" s="190"/>
      <c r="M27" s="191"/>
      <c r="N27" s="191"/>
      <c r="O27" s="191"/>
      <c r="P27" s="191"/>
      <c r="Q27" s="191"/>
      <c r="R27" s="191"/>
      <c r="S27" s="191"/>
      <c r="T27" s="191"/>
      <c r="U27" s="191"/>
      <c r="V27" s="191"/>
    </row>
    <row r="28" spans="1:22" ht="17.25" x14ac:dyDescent="0.25">
      <c r="A28" s="185">
        <v>27</v>
      </c>
      <c r="B28" s="186"/>
      <c r="C28" s="186"/>
      <c r="D28" s="187"/>
      <c r="E28" s="187"/>
      <c r="F28" s="187"/>
      <c r="G28" s="188" t="e">
        <f>VLOOKUP(D28,'Datasource 2'!$G$15:$H$19,2,FALSE)</f>
        <v>#N/A</v>
      </c>
      <c r="H28" s="188" t="e">
        <f>VLOOKUP(E28,'Datasource 2'!$G$15:$H$19,2,FALSE)</f>
        <v>#N/A</v>
      </c>
      <c r="I28" s="188" t="e">
        <f>VLOOKUP(F28,'Datasource 2'!$G$15:$H$19,2,FALSE)</f>
        <v>#N/A</v>
      </c>
      <c r="J28" s="188" t="e">
        <f t="shared" si="0"/>
        <v>#N/A</v>
      </c>
      <c r="K28" s="189" t="e">
        <f>_xlfn.IFNA(VLOOKUP(#REF!,'Datasource 2'!I$14:$J$18,2,FALSE),J28)</f>
        <v>#REF!</v>
      </c>
      <c r="L28" s="190"/>
      <c r="M28" s="191"/>
      <c r="N28" s="191"/>
      <c r="O28" s="191"/>
      <c r="P28" s="191"/>
      <c r="Q28" s="191"/>
      <c r="R28" s="191"/>
      <c r="S28" s="191"/>
      <c r="T28" s="191"/>
      <c r="U28" s="191"/>
      <c r="V28" s="191"/>
    </row>
    <row r="29" spans="1:22" ht="17.25" x14ac:dyDescent="0.25">
      <c r="A29" s="185">
        <v>28</v>
      </c>
      <c r="B29" s="186"/>
      <c r="C29" s="186"/>
      <c r="D29" s="187"/>
      <c r="E29" s="187"/>
      <c r="F29" s="187"/>
      <c r="G29" s="188" t="e">
        <f>VLOOKUP(D29,'Datasource 2'!$G$15:$H$19,2,FALSE)</f>
        <v>#N/A</v>
      </c>
      <c r="H29" s="188" t="e">
        <f>VLOOKUP(E29,'Datasource 2'!$G$15:$H$19,2,FALSE)</f>
        <v>#N/A</v>
      </c>
      <c r="I29" s="188" t="e">
        <f>VLOOKUP(F29,'Datasource 2'!$G$15:$H$19,2,FALSE)</f>
        <v>#N/A</v>
      </c>
      <c r="J29" s="188" t="e">
        <f t="shared" si="0"/>
        <v>#N/A</v>
      </c>
      <c r="K29" s="189" t="e">
        <f>_xlfn.IFNA(VLOOKUP(#REF!,'Datasource 2'!I$14:$J$18,2,FALSE),J29)</f>
        <v>#REF!</v>
      </c>
      <c r="L29" s="190"/>
      <c r="M29" s="191"/>
      <c r="N29" s="191"/>
      <c r="O29" s="191"/>
      <c r="P29" s="191"/>
      <c r="Q29" s="191"/>
      <c r="R29" s="191"/>
      <c r="S29" s="191"/>
      <c r="T29" s="191"/>
      <c r="U29" s="191"/>
      <c r="V29" s="191"/>
    </row>
    <row r="30" spans="1:22" ht="17.25" x14ac:dyDescent="0.25">
      <c r="A30" s="185">
        <v>29</v>
      </c>
      <c r="B30" s="186"/>
      <c r="C30" s="186"/>
      <c r="D30" s="187"/>
      <c r="E30" s="187"/>
      <c r="F30" s="187"/>
      <c r="G30" s="188" t="e">
        <f>VLOOKUP(D30,'Datasource 2'!$G$15:$H$19,2,FALSE)</f>
        <v>#N/A</v>
      </c>
      <c r="H30" s="188" t="e">
        <f>VLOOKUP(E30,'Datasource 2'!$G$15:$H$19,2,FALSE)</f>
        <v>#N/A</v>
      </c>
      <c r="I30" s="188" t="e">
        <f>VLOOKUP(F30,'Datasource 2'!$G$15:$H$19,2,FALSE)</f>
        <v>#N/A</v>
      </c>
      <c r="J30" s="188" t="e">
        <f t="shared" si="0"/>
        <v>#N/A</v>
      </c>
      <c r="K30" s="189" t="e">
        <f>_xlfn.IFNA(VLOOKUP(#REF!,'Datasource 2'!I$14:$J$18,2,FALSE),J30)</f>
        <v>#REF!</v>
      </c>
      <c r="L30" s="190"/>
      <c r="M30" s="191"/>
      <c r="N30" s="191"/>
      <c r="O30" s="191"/>
      <c r="P30" s="191"/>
      <c r="Q30" s="191"/>
      <c r="R30" s="191"/>
      <c r="S30" s="191"/>
      <c r="T30" s="191"/>
      <c r="U30" s="191"/>
      <c r="V30" s="191"/>
    </row>
    <row r="31" spans="1:22" ht="17.25" x14ac:dyDescent="0.25">
      <c r="A31" s="185">
        <v>30</v>
      </c>
      <c r="B31" s="186"/>
      <c r="C31" s="186"/>
      <c r="D31" s="187"/>
      <c r="E31" s="187"/>
      <c r="F31" s="187"/>
      <c r="G31" s="188" t="e">
        <f>VLOOKUP(D31,'Datasource 2'!$G$15:$H$19,2,FALSE)</f>
        <v>#N/A</v>
      </c>
      <c r="H31" s="188" t="e">
        <f>VLOOKUP(E31,'Datasource 2'!$G$15:$H$19,2,FALSE)</f>
        <v>#N/A</v>
      </c>
      <c r="I31" s="188" t="e">
        <f>VLOOKUP(F31,'Datasource 2'!$G$15:$H$19,2,FALSE)</f>
        <v>#N/A</v>
      </c>
      <c r="J31" s="188" t="e">
        <f t="shared" si="0"/>
        <v>#N/A</v>
      </c>
      <c r="K31" s="189" t="e">
        <f>_xlfn.IFNA(VLOOKUP(#REF!,'Datasource 2'!I$14:$J$18,2,FALSE),J31)</f>
        <v>#REF!</v>
      </c>
      <c r="L31" s="190"/>
      <c r="M31" s="191"/>
      <c r="N31" s="191"/>
      <c r="O31" s="191"/>
      <c r="P31" s="191"/>
      <c r="Q31" s="191"/>
      <c r="R31" s="191"/>
      <c r="S31" s="191"/>
      <c r="T31" s="191"/>
      <c r="U31" s="191"/>
      <c r="V31" s="191"/>
    </row>
    <row r="32" spans="1:22" ht="17.25" x14ac:dyDescent="0.25">
      <c r="A32" s="185">
        <v>31</v>
      </c>
      <c r="B32" s="186"/>
      <c r="C32" s="186"/>
      <c r="D32" s="187"/>
      <c r="E32" s="187"/>
      <c r="F32" s="187"/>
      <c r="G32" s="188" t="e">
        <f>VLOOKUP(D32,'Datasource 2'!$G$15:$H$19,2,FALSE)</f>
        <v>#N/A</v>
      </c>
      <c r="H32" s="188" t="e">
        <f>VLOOKUP(E32,'Datasource 2'!$G$15:$H$19,2,FALSE)</f>
        <v>#N/A</v>
      </c>
      <c r="I32" s="188" t="e">
        <f>VLOOKUP(F32,'Datasource 2'!$G$15:$H$19,2,FALSE)</f>
        <v>#N/A</v>
      </c>
      <c r="J32" s="188" t="e">
        <f t="shared" si="0"/>
        <v>#N/A</v>
      </c>
      <c r="K32" s="189" t="e">
        <f>_xlfn.IFNA(VLOOKUP(#REF!,'Datasource 2'!I$14:$J$18,2,FALSE),J32)</f>
        <v>#REF!</v>
      </c>
      <c r="L32" s="190"/>
      <c r="M32" s="191"/>
      <c r="N32" s="191"/>
      <c r="O32" s="191"/>
      <c r="P32" s="191"/>
      <c r="Q32" s="191"/>
      <c r="R32" s="191"/>
      <c r="S32" s="191"/>
      <c r="T32" s="191"/>
      <c r="U32" s="191"/>
      <c r="V32" s="191"/>
    </row>
    <row r="33" spans="1:22" ht="17.25" x14ac:dyDescent="0.25">
      <c r="A33" s="185">
        <v>32</v>
      </c>
      <c r="B33" s="186"/>
      <c r="C33" s="186"/>
      <c r="D33" s="187"/>
      <c r="E33" s="187"/>
      <c r="F33" s="187"/>
      <c r="G33" s="188" t="e">
        <f>VLOOKUP(D33,'Datasource 2'!$G$15:$H$19,2,FALSE)</f>
        <v>#N/A</v>
      </c>
      <c r="H33" s="188" t="e">
        <f>VLOOKUP(E33,'Datasource 2'!$G$15:$H$19,2,FALSE)</f>
        <v>#N/A</v>
      </c>
      <c r="I33" s="188" t="e">
        <f>VLOOKUP(F33,'Datasource 2'!$G$15:$H$19,2,FALSE)</f>
        <v>#N/A</v>
      </c>
      <c r="J33" s="188" t="e">
        <f t="shared" si="0"/>
        <v>#N/A</v>
      </c>
      <c r="K33" s="189" t="e">
        <f>_xlfn.IFNA(VLOOKUP(#REF!,'Datasource 2'!I$14:$J$18,2,FALSE),J33)</f>
        <v>#REF!</v>
      </c>
      <c r="L33" s="190"/>
      <c r="M33" s="191"/>
      <c r="N33" s="191"/>
      <c r="O33" s="191"/>
      <c r="P33" s="191"/>
      <c r="Q33" s="191"/>
      <c r="R33" s="191"/>
      <c r="S33" s="191"/>
      <c r="T33" s="191"/>
      <c r="U33" s="191"/>
      <c r="V33" s="191"/>
    </row>
    <row r="34" spans="1:22" ht="17.25" x14ac:dyDescent="0.25">
      <c r="A34" s="185">
        <v>33</v>
      </c>
      <c r="B34" s="186"/>
      <c r="C34" s="186"/>
      <c r="D34" s="187"/>
      <c r="E34" s="187"/>
      <c r="F34" s="187"/>
      <c r="G34" s="188" t="e">
        <f>VLOOKUP(D34,'Datasource 2'!$G$15:$H$19,2,FALSE)</f>
        <v>#N/A</v>
      </c>
      <c r="H34" s="188" t="e">
        <f>VLOOKUP(E34,'Datasource 2'!$G$15:$H$19,2,FALSE)</f>
        <v>#N/A</v>
      </c>
      <c r="I34" s="188" t="e">
        <f>VLOOKUP(F34,'Datasource 2'!$G$15:$H$19,2,FALSE)</f>
        <v>#N/A</v>
      </c>
      <c r="J34" s="188" t="e">
        <f t="shared" si="0"/>
        <v>#N/A</v>
      </c>
      <c r="K34" s="189" t="e">
        <f>_xlfn.IFNA(VLOOKUP(#REF!,'Datasource 2'!I$14:$J$18,2,FALSE),J34)</f>
        <v>#REF!</v>
      </c>
      <c r="L34" s="190"/>
      <c r="M34" s="191"/>
      <c r="N34" s="191"/>
      <c r="O34" s="191"/>
      <c r="P34" s="191"/>
      <c r="Q34" s="191"/>
      <c r="R34" s="191"/>
      <c r="S34" s="191"/>
      <c r="T34" s="191"/>
      <c r="U34" s="191"/>
      <c r="V34" s="191"/>
    </row>
    <row r="35" spans="1:22" ht="17.25" x14ac:dyDescent="0.25">
      <c r="A35" s="185">
        <v>34</v>
      </c>
      <c r="B35" s="186"/>
      <c r="C35" s="186"/>
      <c r="D35" s="187"/>
      <c r="E35" s="187"/>
      <c r="F35" s="187"/>
      <c r="G35" s="188" t="e">
        <f>VLOOKUP(D35,'Datasource 2'!$G$15:$H$19,2,FALSE)</f>
        <v>#N/A</v>
      </c>
      <c r="H35" s="188" t="e">
        <f>VLOOKUP(E35,'Datasource 2'!$G$15:$H$19,2,FALSE)</f>
        <v>#N/A</v>
      </c>
      <c r="I35" s="188" t="e">
        <f>VLOOKUP(F35,'Datasource 2'!$G$15:$H$19,2,FALSE)</f>
        <v>#N/A</v>
      </c>
      <c r="J35" s="188" t="e">
        <f t="shared" si="0"/>
        <v>#N/A</v>
      </c>
      <c r="K35" s="189" t="e">
        <f>_xlfn.IFNA(VLOOKUP(#REF!,'Datasource 2'!I$14:$J$18,2,FALSE),J35)</f>
        <v>#REF!</v>
      </c>
      <c r="L35" s="190"/>
      <c r="M35" s="191"/>
      <c r="N35" s="191"/>
      <c r="O35" s="191"/>
      <c r="P35" s="191"/>
      <c r="Q35" s="191"/>
      <c r="R35" s="191"/>
      <c r="S35" s="191"/>
      <c r="T35" s="191"/>
      <c r="U35" s="191"/>
      <c r="V35" s="191"/>
    </row>
    <row r="36" spans="1:22" ht="17.25" x14ac:dyDescent="0.25">
      <c r="A36" s="185"/>
      <c r="B36" s="187"/>
      <c r="C36" s="186"/>
      <c r="D36" s="187"/>
      <c r="E36" s="187"/>
      <c r="F36" s="187"/>
      <c r="G36" s="188" t="e">
        <f>VLOOKUP(D36,'Datasource 2'!$G$15:$H$19,2,FALSE)</f>
        <v>#N/A</v>
      </c>
      <c r="H36" s="188" t="e">
        <f>VLOOKUP(E36,'Datasource 2'!$G$15:$H$19,2,FALSE)</f>
        <v>#N/A</v>
      </c>
      <c r="I36" s="188" t="e">
        <f>VLOOKUP(F36,'Datasource 2'!$G$15:$H$19,2,FALSE)</f>
        <v>#N/A</v>
      </c>
      <c r="J36" s="188" t="e">
        <f t="shared" si="0"/>
        <v>#N/A</v>
      </c>
      <c r="K36" s="189" t="e">
        <f>_xlfn.IFNA(VLOOKUP(#REF!,'Datasource 2'!I$14:$J$18,2,FALSE),J36)</f>
        <v>#REF!</v>
      </c>
      <c r="L36" s="190"/>
      <c r="M36" s="191"/>
      <c r="N36" s="191"/>
      <c r="O36" s="191"/>
      <c r="P36" s="191"/>
      <c r="Q36" s="191"/>
      <c r="R36" s="191"/>
      <c r="S36" s="191"/>
      <c r="T36" s="191"/>
      <c r="U36" s="191"/>
      <c r="V36" s="191"/>
    </row>
    <row r="37" spans="1:22" ht="17.25" x14ac:dyDescent="0.25">
      <c r="A37" s="185"/>
      <c r="B37" s="187"/>
      <c r="C37" s="186"/>
      <c r="D37" s="187"/>
      <c r="E37" s="187"/>
      <c r="F37" s="187"/>
      <c r="G37" s="188" t="e">
        <f>VLOOKUP(D37,'Datasource 2'!$G$15:$H$19,2,FALSE)</f>
        <v>#N/A</v>
      </c>
      <c r="H37" s="188" t="e">
        <f>VLOOKUP(E37,'Datasource 2'!$G$15:$H$19,2,FALSE)</f>
        <v>#N/A</v>
      </c>
      <c r="I37" s="188" t="e">
        <f>VLOOKUP(F37,'Datasource 2'!$G$15:$H$19,2,FALSE)</f>
        <v>#N/A</v>
      </c>
      <c r="J37" s="188" t="e">
        <f t="shared" si="0"/>
        <v>#N/A</v>
      </c>
      <c r="K37" s="189" t="e">
        <f>_xlfn.IFNA(VLOOKUP(#REF!,'Datasource 2'!I$14:$J$18,2,FALSE),J37)</f>
        <v>#REF!</v>
      </c>
      <c r="L37" s="190"/>
      <c r="M37" s="191"/>
      <c r="N37" s="191"/>
      <c r="O37" s="191"/>
      <c r="P37" s="191"/>
      <c r="Q37" s="191"/>
      <c r="R37" s="191"/>
      <c r="S37" s="191"/>
      <c r="T37" s="191"/>
      <c r="U37" s="191"/>
      <c r="V37" s="191"/>
    </row>
    <row r="38" spans="1:22" ht="17.25" x14ac:dyDescent="0.25">
      <c r="A38" s="185"/>
      <c r="B38" s="187"/>
      <c r="C38" s="186"/>
      <c r="D38" s="187"/>
      <c r="E38" s="187"/>
      <c r="F38" s="187"/>
      <c r="G38" s="188" t="e">
        <f>VLOOKUP(D38,'Datasource 2'!$G$15:$H$19,2,FALSE)</f>
        <v>#N/A</v>
      </c>
      <c r="H38" s="188" t="e">
        <f>VLOOKUP(E38,'Datasource 2'!$G$15:$H$19,2,FALSE)</f>
        <v>#N/A</v>
      </c>
      <c r="I38" s="188" t="e">
        <f>VLOOKUP(F38,'Datasource 2'!$G$15:$H$19,2,FALSE)</f>
        <v>#N/A</v>
      </c>
      <c r="J38" s="188" t="e">
        <f t="shared" si="0"/>
        <v>#N/A</v>
      </c>
      <c r="K38" s="189" t="e">
        <f>_xlfn.IFNA(VLOOKUP(#REF!,'Datasource 2'!I$14:$J$18,2,FALSE),J38)</f>
        <v>#REF!</v>
      </c>
      <c r="L38" s="190"/>
      <c r="M38" s="191"/>
      <c r="N38" s="191"/>
      <c r="O38" s="191"/>
      <c r="P38" s="191"/>
      <c r="Q38" s="191"/>
      <c r="R38" s="191"/>
      <c r="S38" s="191"/>
      <c r="T38" s="191"/>
      <c r="U38" s="191"/>
      <c r="V38" s="191"/>
    </row>
    <row r="39" spans="1:22" ht="17.25" x14ac:dyDescent="0.25">
      <c r="A39" s="185"/>
      <c r="B39" s="187"/>
      <c r="C39" s="186"/>
      <c r="D39" s="187"/>
      <c r="E39" s="187"/>
      <c r="F39" s="187"/>
      <c r="G39" s="188" t="e">
        <f>VLOOKUP(D39,'Datasource 2'!$G$15:$H$19,2,FALSE)</f>
        <v>#N/A</v>
      </c>
      <c r="H39" s="188" t="e">
        <f>VLOOKUP(E39,'Datasource 2'!$G$15:$H$19,2,FALSE)</f>
        <v>#N/A</v>
      </c>
      <c r="I39" s="188" t="e">
        <f>VLOOKUP(F39,'Datasource 2'!$G$15:$H$19,2,FALSE)</f>
        <v>#N/A</v>
      </c>
      <c r="J39" s="188" t="e">
        <f t="shared" si="0"/>
        <v>#N/A</v>
      </c>
      <c r="K39" s="189" t="e">
        <f>_xlfn.IFNA(VLOOKUP(#REF!,'Datasource 2'!I$14:$J$18,2,FALSE),J39)</f>
        <v>#REF!</v>
      </c>
      <c r="L39" s="190"/>
      <c r="M39" s="191"/>
      <c r="N39" s="191"/>
      <c r="O39" s="191"/>
      <c r="P39" s="191"/>
      <c r="Q39" s="191"/>
      <c r="R39" s="191"/>
      <c r="S39" s="191"/>
      <c r="T39" s="191"/>
      <c r="U39" s="191"/>
      <c r="V39" s="191"/>
    </row>
    <row r="40" spans="1:22" ht="17.25" x14ac:dyDescent="0.25">
      <c r="A40" s="185"/>
      <c r="B40" s="187"/>
      <c r="C40" s="186"/>
      <c r="D40" s="187"/>
      <c r="E40" s="187"/>
      <c r="F40" s="187"/>
      <c r="G40" s="188" t="e">
        <f>VLOOKUP(D40,'Datasource 2'!$G$15:$H$19,2,FALSE)</f>
        <v>#N/A</v>
      </c>
      <c r="H40" s="188" t="e">
        <f>VLOOKUP(E40,'Datasource 2'!$G$15:$H$19,2,FALSE)</f>
        <v>#N/A</v>
      </c>
      <c r="I40" s="188" t="e">
        <f>VLOOKUP(F40,'Datasource 2'!$G$15:$H$19,2,FALSE)</f>
        <v>#N/A</v>
      </c>
      <c r="J40" s="188" t="e">
        <f t="shared" si="0"/>
        <v>#N/A</v>
      </c>
      <c r="K40" s="189" t="e">
        <f>_xlfn.IFNA(VLOOKUP(#REF!,'Datasource 2'!I$14:$J$18,2,FALSE),J40)</f>
        <v>#REF!</v>
      </c>
      <c r="L40" s="190"/>
      <c r="M40" s="191"/>
      <c r="N40" s="191"/>
      <c r="O40" s="191"/>
      <c r="P40" s="191"/>
      <c r="Q40" s="191"/>
      <c r="R40" s="191"/>
      <c r="S40" s="191"/>
      <c r="T40" s="191"/>
      <c r="U40" s="191"/>
      <c r="V40" s="191"/>
    </row>
    <row r="41" spans="1:22" ht="17.25" x14ac:dyDescent="0.25">
      <c r="A41" s="185"/>
      <c r="B41" s="187"/>
      <c r="C41" s="186"/>
      <c r="D41" s="187"/>
      <c r="E41" s="187"/>
      <c r="F41" s="187"/>
      <c r="G41" s="188" t="e">
        <f>VLOOKUP(D41,'Datasource 2'!$G$15:$H$19,2,FALSE)</f>
        <v>#N/A</v>
      </c>
      <c r="H41" s="188" t="e">
        <f>VLOOKUP(E41,'Datasource 2'!$G$15:$H$19,2,FALSE)</f>
        <v>#N/A</v>
      </c>
      <c r="I41" s="188" t="e">
        <f>VLOOKUP(F41,'Datasource 2'!$G$15:$H$19,2,FALSE)</f>
        <v>#N/A</v>
      </c>
      <c r="J41" s="188" t="e">
        <f t="shared" si="0"/>
        <v>#N/A</v>
      </c>
      <c r="K41" s="189" t="e">
        <f>_xlfn.IFNA(VLOOKUP(#REF!,'Datasource 2'!I$14:$J$18,2,FALSE),J41)</f>
        <v>#REF!</v>
      </c>
      <c r="L41" s="190"/>
      <c r="M41" s="191"/>
      <c r="N41" s="191"/>
      <c r="O41" s="191"/>
      <c r="P41" s="191"/>
      <c r="Q41" s="191"/>
      <c r="R41" s="191"/>
      <c r="S41" s="191"/>
      <c r="T41" s="191"/>
      <c r="U41" s="191"/>
      <c r="V41" s="191"/>
    </row>
    <row r="42" spans="1:22" ht="17.25" x14ac:dyDescent="0.25">
      <c r="A42" s="185"/>
      <c r="B42" s="187"/>
      <c r="C42" s="186"/>
      <c r="D42" s="187"/>
      <c r="E42" s="187"/>
      <c r="F42" s="187"/>
      <c r="G42" s="188" t="e">
        <f>VLOOKUP(D42,'Datasource 2'!$G$15:$H$19,2,FALSE)</f>
        <v>#N/A</v>
      </c>
      <c r="H42" s="188" t="e">
        <f>VLOOKUP(E42,'Datasource 2'!$G$15:$H$19,2,FALSE)</f>
        <v>#N/A</v>
      </c>
      <c r="I42" s="188" t="e">
        <f>VLOOKUP(F42,'Datasource 2'!$G$15:$H$19,2,FALSE)</f>
        <v>#N/A</v>
      </c>
      <c r="J42" s="188" t="e">
        <f t="shared" si="0"/>
        <v>#N/A</v>
      </c>
      <c r="K42" s="189" t="e">
        <f>_xlfn.IFNA(VLOOKUP(#REF!,'Datasource 2'!I$14:$J$18,2,FALSE),J42)</f>
        <v>#REF!</v>
      </c>
      <c r="L42" s="190"/>
      <c r="M42" s="191"/>
      <c r="N42" s="191"/>
      <c r="O42" s="191"/>
      <c r="P42" s="191"/>
      <c r="Q42" s="191"/>
      <c r="R42" s="191"/>
      <c r="S42" s="191"/>
      <c r="T42" s="191"/>
      <c r="U42" s="191"/>
      <c r="V42" s="191"/>
    </row>
    <row r="43" spans="1:22" ht="17.25" x14ac:dyDescent="0.25">
      <c r="A43" s="185"/>
      <c r="B43" s="187"/>
      <c r="C43" s="186"/>
      <c r="D43" s="187"/>
      <c r="E43" s="187"/>
      <c r="F43" s="187"/>
      <c r="G43" s="188" t="e">
        <f>VLOOKUP(D43,'Datasource 2'!$G$15:$H$19,2,FALSE)</f>
        <v>#N/A</v>
      </c>
      <c r="H43" s="188" t="e">
        <f>VLOOKUP(E43,'Datasource 2'!$G$15:$H$19,2,FALSE)</f>
        <v>#N/A</v>
      </c>
      <c r="I43" s="188" t="e">
        <f>VLOOKUP(F43,'Datasource 2'!$G$15:$H$19,2,FALSE)</f>
        <v>#N/A</v>
      </c>
      <c r="J43" s="188" t="e">
        <f t="shared" si="0"/>
        <v>#N/A</v>
      </c>
      <c r="K43" s="189" t="e">
        <f>_xlfn.IFNA(VLOOKUP(#REF!,'Datasource 2'!I$14:$J$18,2,FALSE),J43)</f>
        <v>#REF!</v>
      </c>
      <c r="L43" s="190"/>
      <c r="M43" s="191"/>
      <c r="N43" s="191"/>
      <c r="O43" s="191"/>
      <c r="P43" s="191"/>
      <c r="Q43" s="191"/>
      <c r="R43" s="191"/>
      <c r="S43" s="191"/>
      <c r="T43" s="191"/>
      <c r="U43" s="191"/>
      <c r="V43" s="191"/>
    </row>
    <row r="44" spans="1:22" ht="17.25" x14ac:dyDescent="0.25">
      <c r="A44" s="185"/>
      <c r="B44" s="187"/>
      <c r="C44" s="186"/>
      <c r="D44" s="187"/>
      <c r="E44" s="187"/>
      <c r="F44" s="187"/>
      <c r="G44" s="188" t="e">
        <f>VLOOKUP(D44,'Datasource 2'!$G$15:$H$19,2,FALSE)</f>
        <v>#N/A</v>
      </c>
      <c r="H44" s="188" t="e">
        <f>VLOOKUP(E44,'Datasource 2'!$G$15:$H$19,2,FALSE)</f>
        <v>#N/A</v>
      </c>
      <c r="I44" s="188" t="e">
        <f>VLOOKUP(F44,'Datasource 2'!$G$15:$H$19,2,FALSE)</f>
        <v>#N/A</v>
      </c>
      <c r="J44" s="188" t="e">
        <f t="shared" si="0"/>
        <v>#N/A</v>
      </c>
      <c r="K44" s="189" t="e">
        <f>_xlfn.IFNA(VLOOKUP(#REF!,'Datasource 2'!I$14:$J$18,2,FALSE),J44)</f>
        <v>#REF!</v>
      </c>
      <c r="L44" s="190"/>
      <c r="M44" s="191"/>
      <c r="N44" s="191"/>
      <c r="O44" s="191"/>
      <c r="P44" s="191"/>
      <c r="Q44" s="191"/>
      <c r="R44" s="191"/>
      <c r="S44" s="191"/>
      <c r="T44" s="191"/>
      <c r="U44" s="191"/>
      <c r="V44" s="191"/>
    </row>
    <row r="45" spans="1:22" ht="17.25" x14ac:dyDescent="0.25">
      <c r="A45" s="185"/>
      <c r="B45" s="187"/>
      <c r="C45" s="186"/>
      <c r="D45" s="187"/>
      <c r="E45" s="187"/>
      <c r="F45" s="187"/>
      <c r="G45" s="188" t="e">
        <f>VLOOKUP(D45,'Datasource 2'!$G$15:$H$19,2,FALSE)</f>
        <v>#N/A</v>
      </c>
      <c r="H45" s="188" t="e">
        <f>VLOOKUP(E45,'Datasource 2'!$G$15:$H$19,2,FALSE)</f>
        <v>#N/A</v>
      </c>
      <c r="I45" s="188" t="e">
        <f>VLOOKUP(F45,'Datasource 2'!$G$15:$H$19,2,FALSE)</f>
        <v>#N/A</v>
      </c>
      <c r="J45" s="188" t="e">
        <f t="shared" si="0"/>
        <v>#N/A</v>
      </c>
      <c r="K45" s="189" t="e">
        <f>_xlfn.IFNA(VLOOKUP(#REF!,'Datasource 2'!I$14:$J$18,2,FALSE),J45)</f>
        <v>#REF!</v>
      </c>
      <c r="L45" s="190"/>
      <c r="M45" s="191"/>
      <c r="N45" s="191"/>
      <c r="O45" s="191"/>
      <c r="P45" s="191"/>
      <c r="Q45" s="191"/>
      <c r="R45" s="191"/>
      <c r="S45" s="191"/>
      <c r="T45" s="191"/>
      <c r="U45" s="191"/>
      <c r="V45" s="191"/>
    </row>
    <row r="46" spans="1:22" ht="17.25" x14ac:dyDescent="0.25">
      <c r="A46" s="185"/>
      <c r="B46" s="187"/>
      <c r="C46" s="186"/>
      <c r="D46" s="187"/>
      <c r="E46" s="187"/>
      <c r="F46" s="187"/>
      <c r="G46" s="188" t="e">
        <f>VLOOKUP(D46,'Datasource 2'!$G$15:$H$19,2,FALSE)</f>
        <v>#N/A</v>
      </c>
      <c r="H46" s="188" t="e">
        <f>VLOOKUP(E46,'Datasource 2'!$G$15:$H$19,2,FALSE)</f>
        <v>#N/A</v>
      </c>
      <c r="I46" s="188" t="e">
        <f>VLOOKUP(F46,'Datasource 2'!$G$15:$H$19,2,FALSE)</f>
        <v>#N/A</v>
      </c>
      <c r="J46" s="188" t="e">
        <f t="shared" si="0"/>
        <v>#N/A</v>
      </c>
      <c r="K46" s="189" t="e">
        <f>_xlfn.IFNA(VLOOKUP(#REF!,'Datasource 2'!I$14:$J$18,2,FALSE),J46)</f>
        <v>#REF!</v>
      </c>
      <c r="L46" s="190"/>
      <c r="M46" s="191"/>
      <c r="N46" s="191"/>
      <c r="O46" s="191"/>
      <c r="P46" s="191"/>
      <c r="Q46" s="191"/>
      <c r="R46" s="191"/>
      <c r="S46" s="191"/>
      <c r="T46" s="191"/>
      <c r="U46" s="191"/>
      <c r="V46" s="191"/>
    </row>
    <row r="47" spans="1:22" ht="17.25" x14ac:dyDescent="0.25">
      <c r="A47" s="185"/>
      <c r="B47" s="187"/>
      <c r="C47" s="186"/>
      <c r="D47" s="187"/>
      <c r="E47" s="187"/>
      <c r="F47" s="187"/>
      <c r="G47" s="188" t="e">
        <f>VLOOKUP(D47,'Datasource 2'!$G$15:$H$19,2,FALSE)</f>
        <v>#N/A</v>
      </c>
      <c r="H47" s="188" t="e">
        <f>VLOOKUP(E47,'Datasource 2'!$G$15:$H$19,2,FALSE)</f>
        <v>#N/A</v>
      </c>
      <c r="I47" s="188" t="e">
        <f>VLOOKUP(F47,'Datasource 2'!$G$15:$H$19,2,FALSE)</f>
        <v>#N/A</v>
      </c>
      <c r="J47" s="188" t="e">
        <f t="shared" si="0"/>
        <v>#N/A</v>
      </c>
      <c r="K47" s="189" t="e">
        <f>_xlfn.IFNA(VLOOKUP(#REF!,'Datasource 2'!I$14:$J$18,2,FALSE),J47)</f>
        <v>#REF!</v>
      </c>
      <c r="L47" s="190"/>
      <c r="M47" s="191"/>
      <c r="N47" s="191"/>
      <c r="O47" s="191"/>
      <c r="P47" s="191"/>
      <c r="Q47" s="191"/>
      <c r="R47" s="191"/>
      <c r="S47" s="191"/>
      <c r="T47" s="191"/>
      <c r="U47" s="191"/>
      <c r="V47" s="191"/>
    </row>
    <row r="48" spans="1:22" ht="17.25" x14ac:dyDescent="0.25">
      <c r="A48" s="185"/>
      <c r="B48" s="187"/>
      <c r="C48" s="186"/>
      <c r="D48" s="187"/>
      <c r="E48" s="187"/>
      <c r="F48" s="187"/>
      <c r="G48" s="188" t="e">
        <f>VLOOKUP(D48,'Datasource 2'!$G$15:$H$19,2,FALSE)</f>
        <v>#N/A</v>
      </c>
      <c r="H48" s="188" t="e">
        <f>VLOOKUP(E48,'Datasource 2'!$G$15:$H$19,2,FALSE)</f>
        <v>#N/A</v>
      </c>
      <c r="I48" s="188" t="e">
        <f>VLOOKUP(F48,'Datasource 2'!$G$15:$H$19,2,FALSE)</f>
        <v>#N/A</v>
      </c>
      <c r="J48" s="188" t="e">
        <f t="shared" si="0"/>
        <v>#N/A</v>
      </c>
      <c r="K48" s="189" t="e">
        <f>_xlfn.IFNA(VLOOKUP(#REF!,'Datasource 2'!I$14:$J$18,2,FALSE),J48)</f>
        <v>#REF!</v>
      </c>
      <c r="L48" s="190"/>
      <c r="M48" s="191"/>
      <c r="N48" s="191"/>
      <c r="O48" s="191"/>
      <c r="P48" s="191"/>
      <c r="Q48" s="191"/>
      <c r="R48" s="191"/>
      <c r="S48" s="191"/>
      <c r="T48" s="191"/>
      <c r="U48" s="191"/>
      <c r="V48" s="191"/>
    </row>
    <row r="49" spans="1:22" ht="17.25" x14ac:dyDescent="0.25">
      <c r="A49" s="185"/>
      <c r="B49" s="187"/>
      <c r="C49" s="186"/>
      <c r="D49" s="187"/>
      <c r="E49" s="187"/>
      <c r="F49" s="187"/>
      <c r="G49" s="188" t="e">
        <f>VLOOKUP(D49,'Datasource 2'!$G$15:$H$19,2,FALSE)</f>
        <v>#N/A</v>
      </c>
      <c r="H49" s="188" t="e">
        <f>VLOOKUP(E49,'Datasource 2'!$G$15:$H$19,2,FALSE)</f>
        <v>#N/A</v>
      </c>
      <c r="I49" s="188" t="e">
        <f>VLOOKUP(F49,'Datasource 2'!$G$15:$H$19,2,FALSE)</f>
        <v>#N/A</v>
      </c>
      <c r="J49" s="188" t="e">
        <f t="shared" si="0"/>
        <v>#N/A</v>
      </c>
      <c r="K49" s="189" t="e">
        <f>_xlfn.IFNA(VLOOKUP(#REF!,'Datasource 2'!I$14:$J$18,2,FALSE),J49)</f>
        <v>#REF!</v>
      </c>
      <c r="L49" s="190"/>
      <c r="M49" s="191"/>
      <c r="N49" s="191"/>
      <c r="O49" s="191"/>
      <c r="P49" s="191"/>
      <c r="Q49" s="191"/>
      <c r="R49" s="191"/>
      <c r="S49" s="191"/>
      <c r="T49" s="191"/>
      <c r="U49" s="191"/>
      <c r="V49" s="191"/>
    </row>
    <row r="50" spans="1:22" ht="17.25" x14ac:dyDescent="0.25">
      <c r="A50" s="185"/>
      <c r="B50" s="187"/>
      <c r="C50" s="186"/>
      <c r="D50" s="187"/>
      <c r="E50" s="187"/>
      <c r="F50" s="187"/>
      <c r="G50" s="188" t="e">
        <f>VLOOKUP(D50,'Datasource 2'!$G$15:$H$19,2,FALSE)</f>
        <v>#N/A</v>
      </c>
      <c r="H50" s="188" t="e">
        <f>VLOOKUP(E50,'Datasource 2'!$G$15:$H$19,2,FALSE)</f>
        <v>#N/A</v>
      </c>
      <c r="I50" s="188" t="e">
        <f>VLOOKUP(F50,'Datasource 2'!$G$15:$H$19,2,FALSE)</f>
        <v>#N/A</v>
      </c>
      <c r="J50" s="188" t="e">
        <f t="shared" si="0"/>
        <v>#N/A</v>
      </c>
      <c r="K50" s="189" t="e">
        <f>_xlfn.IFNA(VLOOKUP(#REF!,'Datasource 2'!I$14:$J$18,2,FALSE),J50)</f>
        <v>#REF!</v>
      </c>
      <c r="L50" s="190"/>
      <c r="M50" s="191"/>
      <c r="N50" s="191"/>
      <c r="O50" s="191"/>
      <c r="P50" s="191"/>
      <c r="Q50" s="191"/>
      <c r="R50" s="191"/>
      <c r="S50" s="191"/>
      <c r="T50" s="191"/>
      <c r="U50" s="191"/>
      <c r="V50" s="191"/>
    </row>
    <row r="51" spans="1:22" ht="17.25" x14ac:dyDescent="0.25">
      <c r="A51" s="185"/>
      <c r="B51" s="187"/>
      <c r="C51" s="186"/>
      <c r="D51" s="187"/>
      <c r="E51" s="187"/>
      <c r="F51" s="187"/>
      <c r="G51" s="188" t="e">
        <f>VLOOKUP(D51,'Datasource 2'!$G$15:$H$19,2,FALSE)</f>
        <v>#N/A</v>
      </c>
      <c r="H51" s="188" t="e">
        <f>VLOOKUP(E51,'Datasource 2'!$G$15:$H$19,2,FALSE)</f>
        <v>#N/A</v>
      </c>
      <c r="I51" s="188" t="e">
        <f>VLOOKUP(F51,'Datasource 2'!$G$15:$H$19,2,FALSE)</f>
        <v>#N/A</v>
      </c>
      <c r="J51" s="188" t="e">
        <f t="shared" si="0"/>
        <v>#N/A</v>
      </c>
      <c r="K51" s="189" t="e">
        <f>_xlfn.IFNA(VLOOKUP(#REF!,'Datasource 2'!I$14:$J$18,2,FALSE),J51)</f>
        <v>#REF!</v>
      </c>
      <c r="L51" s="190"/>
      <c r="M51" s="191"/>
      <c r="N51" s="191"/>
      <c r="O51" s="191"/>
      <c r="P51" s="191"/>
      <c r="Q51" s="191"/>
      <c r="R51" s="191"/>
      <c r="S51" s="191"/>
      <c r="T51" s="191"/>
      <c r="U51" s="191"/>
      <c r="V51" s="191"/>
    </row>
    <row r="52" spans="1:22" ht="17.25" x14ac:dyDescent="0.25">
      <c r="A52" s="185"/>
      <c r="B52" s="187"/>
      <c r="C52" s="186"/>
      <c r="D52" s="187"/>
      <c r="E52" s="187"/>
      <c r="F52" s="187"/>
      <c r="G52" s="188" t="e">
        <f>VLOOKUP(D52,'Datasource 2'!$G$15:$H$19,2,FALSE)</f>
        <v>#N/A</v>
      </c>
      <c r="H52" s="188" t="e">
        <f>VLOOKUP(E52,'Datasource 2'!$G$15:$H$19,2,FALSE)</f>
        <v>#N/A</v>
      </c>
      <c r="I52" s="188" t="e">
        <f>VLOOKUP(F52,'Datasource 2'!$G$15:$H$19,2,FALSE)</f>
        <v>#N/A</v>
      </c>
      <c r="J52" s="188" t="e">
        <f t="shared" si="0"/>
        <v>#N/A</v>
      </c>
      <c r="K52" s="189" t="e">
        <f>_xlfn.IFNA(VLOOKUP(#REF!,'Datasource 2'!I$14:$J$18,2,FALSE),J52)</f>
        <v>#REF!</v>
      </c>
      <c r="L52" s="190"/>
      <c r="M52" s="191"/>
      <c r="N52" s="191"/>
      <c r="O52" s="191"/>
      <c r="P52" s="191"/>
      <c r="Q52" s="191"/>
      <c r="R52" s="191"/>
      <c r="S52" s="191"/>
      <c r="T52" s="191"/>
      <c r="U52" s="191"/>
      <c r="V52" s="191"/>
    </row>
    <row r="53" spans="1:22" ht="17.25" x14ac:dyDescent="0.25">
      <c r="A53" s="185"/>
      <c r="B53" s="187"/>
      <c r="C53" s="186"/>
      <c r="D53" s="187"/>
      <c r="E53" s="187"/>
      <c r="F53" s="187"/>
      <c r="G53" s="188" t="e">
        <f>VLOOKUP(D53,'Datasource 2'!$G$15:$H$19,2,FALSE)</f>
        <v>#N/A</v>
      </c>
      <c r="H53" s="188" t="e">
        <f>VLOOKUP(E53,'Datasource 2'!$G$15:$H$19,2,FALSE)</f>
        <v>#N/A</v>
      </c>
      <c r="I53" s="188" t="e">
        <f>VLOOKUP(F53,'Datasource 2'!$G$15:$H$19,2,FALSE)</f>
        <v>#N/A</v>
      </c>
      <c r="J53" s="188" t="e">
        <f t="shared" si="0"/>
        <v>#N/A</v>
      </c>
      <c r="K53" s="189" t="e">
        <f>_xlfn.IFNA(VLOOKUP(#REF!,'Datasource 2'!I$14:$J$18,2,FALSE),J53)</f>
        <v>#REF!</v>
      </c>
      <c r="L53" s="190"/>
      <c r="M53" s="191"/>
      <c r="N53" s="191"/>
      <c r="O53" s="191"/>
      <c r="P53" s="191"/>
      <c r="Q53" s="191"/>
      <c r="R53" s="191"/>
      <c r="S53" s="191"/>
      <c r="T53" s="191"/>
      <c r="U53" s="191"/>
      <c r="V53" s="191"/>
    </row>
    <row r="54" spans="1:22" ht="17.25" x14ac:dyDescent="0.25">
      <c r="A54" s="185"/>
      <c r="B54" s="187"/>
      <c r="C54" s="186"/>
      <c r="D54" s="187"/>
      <c r="E54" s="187"/>
      <c r="F54" s="187"/>
      <c r="G54" s="188" t="e">
        <f>VLOOKUP(D54,'Datasource 2'!$G$15:$H$19,2,FALSE)</f>
        <v>#N/A</v>
      </c>
      <c r="H54" s="188" t="e">
        <f>VLOOKUP(E54,'Datasource 2'!$G$15:$H$19,2,FALSE)</f>
        <v>#N/A</v>
      </c>
      <c r="I54" s="188" t="e">
        <f>VLOOKUP(F54,'Datasource 2'!$G$15:$H$19,2,FALSE)</f>
        <v>#N/A</v>
      </c>
      <c r="J54" s="188" t="e">
        <f t="shared" si="0"/>
        <v>#N/A</v>
      </c>
      <c r="K54" s="189" t="e">
        <f>_xlfn.IFNA(VLOOKUP(#REF!,'Datasource 2'!I$14:$J$18,2,FALSE),J54)</f>
        <v>#REF!</v>
      </c>
      <c r="L54" s="190"/>
      <c r="M54" s="191"/>
      <c r="N54" s="191"/>
      <c r="O54" s="191"/>
      <c r="P54" s="191"/>
      <c r="Q54" s="191"/>
      <c r="R54" s="191"/>
      <c r="S54" s="191"/>
      <c r="T54" s="191"/>
      <c r="U54" s="191"/>
      <c r="V54" s="191"/>
    </row>
    <row r="55" spans="1:22" ht="17.25" x14ac:dyDescent="0.25">
      <c r="A55" s="185"/>
      <c r="B55" s="187"/>
      <c r="C55" s="186"/>
      <c r="D55" s="187"/>
      <c r="E55" s="187"/>
      <c r="F55" s="187"/>
      <c r="G55" s="188" t="e">
        <f>VLOOKUP(D55,'Datasource 2'!$G$15:$H$19,2,FALSE)</f>
        <v>#N/A</v>
      </c>
      <c r="H55" s="188" t="e">
        <f>VLOOKUP(E55,'Datasource 2'!$G$15:$H$19,2,FALSE)</f>
        <v>#N/A</v>
      </c>
      <c r="I55" s="188" t="e">
        <f>VLOOKUP(F55,'Datasource 2'!$G$15:$H$19,2,FALSE)</f>
        <v>#N/A</v>
      </c>
      <c r="J55" s="188" t="e">
        <f t="shared" si="0"/>
        <v>#N/A</v>
      </c>
      <c r="K55" s="189" t="e">
        <f>_xlfn.IFNA(VLOOKUP(#REF!,'Datasource 2'!I$14:$J$18,2,FALSE),J55)</f>
        <v>#REF!</v>
      </c>
      <c r="L55" s="190"/>
      <c r="M55" s="191"/>
      <c r="N55" s="191"/>
      <c r="O55" s="191"/>
      <c r="P55" s="191"/>
      <c r="Q55" s="191"/>
      <c r="R55" s="191"/>
      <c r="S55" s="191"/>
      <c r="T55" s="191"/>
      <c r="U55" s="191"/>
      <c r="V55" s="191"/>
    </row>
    <row r="56" spans="1:22" ht="17.25" x14ac:dyDescent="0.25">
      <c r="A56" s="185"/>
      <c r="B56" s="187"/>
      <c r="C56" s="186"/>
      <c r="D56" s="187"/>
      <c r="E56" s="187"/>
      <c r="F56" s="187"/>
      <c r="G56" s="188" t="e">
        <f>VLOOKUP(D56,'Datasource 2'!$G$15:$H$19,2,FALSE)</f>
        <v>#N/A</v>
      </c>
      <c r="H56" s="188" t="e">
        <f>VLOOKUP(E56,'Datasource 2'!$G$15:$H$19,2,FALSE)</f>
        <v>#N/A</v>
      </c>
      <c r="I56" s="188" t="e">
        <f>VLOOKUP(F56,'Datasource 2'!$G$15:$H$19,2,FALSE)</f>
        <v>#N/A</v>
      </c>
      <c r="J56" s="188" t="e">
        <f t="shared" si="0"/>
        <v>#N/A</v>
      </c>
      <c r="K56" s="189" t="e">
        <f>_xlfn.IFNA(VLOOKUP(#REF!,'Datasource 2'!I$14:$J$18,2,FALSE),J56)</f>
        <v>#REF!</v>
      </c>
      <c r="L56" s="190"/>
      <c r="M56" s="191"/>
      <c r="N56" s="191"/>
      <c r="O56" s="191"/>
      <c r="P56" s="191"/>
      <c r="Q56" s="191"/>
      <c r="R56" s="191"/>
      <c r="S56" s="191"/>
      <c r="T56" s="191"/>
      <c r="U56" s="191"/>
      <c r="V56" s="191"/>
    </row>
    <row r="57" spans="1:22" ht="17.25" x14ac:dyDescent="0.25">
      <c r="A57" s="185"/>
      <c r="B57" s="187"/>
      <c r="C57" s="186"/>
      <c r="D57" s="187"/>
      <c r="E57" s="187"/>
      <c r="F57" s="187"/>
      <c r="G57" s="188" t="e">
        <f>VLOOKUP(D57,'Datasource 2'!$G$15:$H$19,2,FALSE)</f>
        <v>#N/A</v>
      </c>
      <c r="H57" s="188" t="e">
        <f>VLOOKUP(E57,'Datasource 2'!$G$15:$H$19,2,FALSE)</f>
        <v>#N/A</v>
      </c>
      <c r="I57" s="188" t="e">
        <f>VLOOKUP(F57,'Datasource 2'!$G$15:$H$19,2,FALSE)</f>
        <v>#N/A</v>
      </c>
      <c r="J57" s="188" t="e">
        <f t="shared" si="0"/>
        <v>#N/A</v>
      </c>
      <c r="K57" s="189" t="e">
        <f>_xlfn.IFNA(VLOOKUP(#REF!,'Datasource 2'!I$14:$J$18,2,FALSE),J57)</f>
        <v>#REF!</v>
      </c>
      <c r="L57" s="190"/>
      <c r="M57" s="191"/>
      <c r="N57" s="191"/>
      <c r="O57" s="191"/>
      <c r="P57" s="191"/>
      <c r="Q57" s="191"/>
      <c r="R57" s="191"/>
      <c r="S57" s="191"/>
      <c r="T57" s="191"/>
      <c r="U57" s="191"/>
      <c r="V57" s="191"/>
    </row>
    <row r="58" spans="1:22" ht="17.25" x14ac:dyDescent="0.25">
      <c r="A58" s="185"/>
      <c r="B58" s="187"/>
      <c r="C58" s="186"/>
      <c r="D58" s="187"/>
      <c r="E58" s="187"/>
      <c r="F58" s="187"/>
      <c r="G58" s="188" t="e">
        <f>VLOOKUP(D58,'Datasource 2'!$G$15:$H$19,2,FALSE)</f>
        <v>#N/A</v>
      </c>
      <c r="H58" s="188" t="e">
        <f>VLOOKUP(E58,'Datasource 2'!$G$15:$H$19,2,FALSE)</f>
        <v>#N/A</v>
      </c>
      <c r="I58" s="188" t="e">
        <f>VLOOKUP(F58,'Datasource 2'!$G$15:$H$19,2,FALSE)</f>
        <v>#N/A</v>
      </c>
      <c r="J58" s="188" t="e">
        <f t="shared" si="0"/>
        <v>#N/A</v>
      </c>
      <c r="K58" s="189" t="e">
        <f>_xlfn.IFNA(VLOOKUP(#REF!,'Datasource 2'!I$14:$J$18,2,FALSE),J58)</f>
        <v>#REF!</v>
      </c>
      <c r="L58" s="190"/>
      <c r="M58" s="191"/>
      <c r="N58" s="191"/>
      <c r="O58" s="191"/>
      <c r="P58" s="191"/>
      <c r="Q58" s="191"/>
      <c r="R58" s="191"/>
      <c r="S58" s="191"/>
      <c r="T58" s="191"/>
      <c r="U58" s="191"/>
      <c r="V58" s="191"/>
    </row>
    <row r="59" spans="1:22" ht="17.25" x14ac:dyDescent="0.25">
      <c r="A59" s="185"/>
      <c r="B59" s="187"/>
      <c r="C59" s="186"/>
      <c r="D59" s="187"/>
      <c r="E59" s="187"/>
      <c r="F59" s="187"/>
      <c r="G59" s="188" t="e">
        <f>VLOOKUP(D59,'Datasource 2'!$G$15:$H$19,2,FALSE)</f>
        <v>#N/A</v>
      </c>
      <c r="H59" s="188" t="e">
        <f>VLOOKUP(E59,'Datasource 2'!$G$15:$H$19,2,FALSE)</f>
        <v>#N/A</v>
      </c>
      <c r="I59" s="188" t="e">
        <f>VLOOKUP(F59,'Datasource 2'!$G$15:$H$19,2,FALSE)</f>
        <v>#N/A</v>
      </c>
      <c r="J59" s="188" t="e">
        <f t="shared" si="0"/>
        <v>#N/A</v>
      </c>
      <c r="K59" s="189" t="e">
        <f>_xlfn.IFNA(VLOOKUP(#REF!,'Datasource 2'!I$14:$J$18,2,FALSE),J59)</f>
        <v>#REF!</v>
      </c>
      <c r="L59" s="190"/>
      <c r="M59" s="191"/>
      <c r="N59" s="191"/>
      <c r="O59" s="191"/>
      <c r="P59" s="191"/>
      <c r="Q59" s="191"/>
      <c r="R59" s="191"/>
      <c r="S59" s="191"/>
      <c r="T59" s="191"/>
      <c r="U59" s="191"/>
      <c r="V59" s="191"/>
    </row>
    <row r="60" spans="1:22" ht="17.25" x14ac:dyDescent="0.25">
      <c r="A60" s="185"/>
      <c r="B60" s="187"/>
      <c r="C60" s="186"/>
      <c r="D60" s="187"/>
      <c r="E60" s="187"/>
      <c r="F60" s="187"/>
      <c r="G60" s="188" t="e">
        <f>VLOOKUP(D60,'Datasource 2'!$G$15:$H$19,2,FALSE)</f>
        <v>#N/A</v>
      </c>
      <c r="H60" s="188" t="e">
        <f>VLOOKUP(E60,'Datasource 2'!$G$15:$H$19,2,FALSE)</f>
        <v>#N/A</v>
      </c>
      <c r="I60" s="188" t="e">
        <f>VLOOKUP(F60,'Datasource 2'!$G$15:$H$19,2,FALSE)</f>
        <v>#N/A</v>
      </c>
      <c r="J60" s="188" t="e">
        <f t="shared" si="0"/>
        <v>#N/A</v>
      </c>
      <c r="K60" s="189" t="e">
        <f>_xlfn.IFNA(VLOOKUP(#REF!,'Datasource 2'!I$14:$J$18,2,FALSE),J60)</f>
        <v>#REF!</v>
      </c>
      <c r="L60" s="190"/>
      <c r="M60" s="191"/>
      <c r="N60" s="191"/>
      <c r="O60" s="191"/>
      <c r="P60" s="191"/>
      <c r="Q60" s="191"/>
      <c r="R60" s="191"/>
      <c r="S60" s="191"/>
      <c r="T60" s="191"/>
      <c r="U60" s="191"/>
      <c r="V60" s="191"/>
    </row>
    <row r="61" spans="1:22" ht="17.25" x14ac:dyDescent="0.25">
      <c r="A61" s="185"/>
      <c r="B61" s="187"/>
      <c r="C61" s="186"/>
      <c r="D61" s="187"/>
      <c r="E61" s="187"/>
      <c r="F61" s="187"/>
      <c r="G61" s="188" t="e">
        <f>VLOOKUP(D61,'Datasource 2'!$G$15:$H$19,2,FALSE)</f>
        <v>#N/A</v>
      </c>
      <c r="H61" s="188" t="e">
        <f>VLOOKUP(E61,'Datasource 2'!$G$15:$H$19,2,FALSE)</f>
        <v>#N/A</v>
      </c>
      <c r="I61" s="188" t="e">
        <f>VLOOKUP(F61,'Datasource 2'!$G$15:$H$19,2,FALSE)</f>
        <v>#N/A</v>
      </c>
      <c r="J61" s="188" t="e">
        <f t="shared" si="0"/>
        <v>#N/A</v>
      </c>
      <c r="K61" s="189" t="e">
        <f>_xlfn.IFNA(VLOOKUP(#REF!,'Datasource 2'!I$14:$J$18,2,FALSE),J61)</f>
        <v>#REF!</v>
      </c>
      <c r="L61" s="190"/>
      <c r="M61" s="191"/>
      <c r="N61" s="191"/>
      <c r="O61" s="191"/>
      <c r="P61" s="191"/>
      <c r="Q61" s="191"/>
      <c r="R61" s="191"/>
      <c r="S61" s="191"/>
      <c r="T61" s="191"/>
      <c r="U61" s="191"/>
      <c r="V61" s="191"/>
    </row>
    <row r="62" spans="1:22" ht="17.25" x14ac:dyDescent="0.25">
      <c r="A62" s="185"/>
      <c r="B62" s="187"/>
      <c r="C62" s="186"/>
      <c r="D62" s="187"/>
      <c r="E62" s="187"/>
      <c r="F62" s="187"/>
      <c r="G62" s="188" t="e">
        <f>VLOOKUP(D62,'Datasource 2'!$G$15:$H$19,2,FALSE)</f>
        <v>#N/A</v>
      </c>
      <c r="H62" s="188" t="e">
        <f>VLOOKUP(E62,'Datasource 2'!$G$15:$H$19,2,FALSE)</f>
        <v>#N/A</v>
      </c>
      <c r="I62" s="188" t="e">
        <f>VLOOKUP(F62,'Datasource 2'!$G$15:$H$19,2,FALSE)</f>
        <v>#N/A</v>
      </c>
      <c r="J62" s="188" t="e">
        <f t="shared" si="0"/>
        <v>#N/A</v>
      </c>
      <c r="K62" s="189" t="e">
        <f>_xlfn.IFNA(VLOOKUP(#REF!,'Datasource 2'!I$14:$J$18,2,FALSE),J62)</f>
        <v>#REF!</v>
      </c>
      <c r="L62" s="190"/>
      <c r="M62" s="191"/>
      <c r="N62" s="191"/>
      <c r="O62" s="191"/>
      <c r="P62" s="191"/>
      <c r="Q62" s="191"/>
      <c r="R62" s="191"/>
      <c r="S62" s="191"/>
      <c r="T62" s="191"/>
      <c r="U62" s="191"/>
      <c r="V62" s="191"/>
    </row>
    <row r="63" spans="1:22" ht="17.25" x14ac:dyDescent="0.25">
      <c r="A63" s="185"/>
      <c r="B63" s="187"/>
      <c r="C63" s="186"/>
      <c r="D63" s="187"/>
      <c r="E63" s="187"/>
      <c r="F63" s="187"/>
      <c r="G63" s="188" t="e">
        <f>VLOOKUP(D63,'Datasource 2'!$G$15:$H$19,2,FALSE)</f>
        <v>#N/A</v>
      </c>
      <c r="H63" s="188" t="e">
        <f>VLOOKUP(E63,'Datasource 2'!$G$15:$H$19,2,FALSE)</f>
        <v>#N/A</v>
      </c>
      <c r="I63" s="188" t="e">
        <f>VLOOKUP(F63,'Datasource 2'!$G$15:$H$19,2,FALSE)</f>
        <v>#N/A</v>
      </c>
      <c r="J63" s="188" t="e">
        <f t="shared" si="0"/>
        <v>#N/A</v>
      </c>
      <c r="K63" s="189" t="e">
        <f>_xlfn.IFNA(VLOOKUP(#REF!,'Datasource 2'!I$14:$J$18,2,FALSE),J63)</f>
        <v>#REF!</v>
      </c>
      <c r="L63" s="190"/>
      <c r="M63" s="191"/>
      <c r="N63" s="191"/>
      <c r="O63" s="191"/>
      <c r="P63" s="191"/>
      <c r="Q63" s="191"/>
      <c r="R63" s="191"/>
      <c r="S63" s="191"/>
      <c r="T63" s="191"/>
      <c r="U63" s="191"/>
      <c r="V63" s="191"/>
    </row>
    <row r="64" spans="1:22" ht="17.25" x14ac:dyDescent="0.25">
      <c r="A64" s="185"/>
      <c r="B64" s="187"/>
      <c r="C64" s="186"/>
      <c r="D64" s="187"/>
      <c r="E64" s="187"/>
      <c r="F64" s="187"/>
      <c r="G64" s="188" t="e">
        <f>VLOOKUP(D64,'Datasource 2'!$G$15:$H$19,2,FALSE)</f>
        <v>#N/A</v>
      </c>
      <c r="H64" s="188" t="e">
        <f>VLOOKUP(E64,'Datasource 2'!$G$15:$H$19,2,FALSE)</f>
        <v>#N/A</v>
      </c>
      <c r="I64" s="188" t="e">
        <f>VLOOKUP(F64,'Datasource 2'!$G$15:$H$19,2,FALSE)</f>
        <v>#N/A</v>
      </c>
      <c r="J64" s="188" t="e">
        <f t="shared" si="0"/>
        <v>#N/A</v>
      </c>
      <c r="K64" s="189" t="e">
        <f>_xlfn.IFNA(VLOOKUP(#REF!,'Datasource 2'!I$14:$J$18,2,FALSE),J64)</f>
        <v>#REF!</v>
      </c>
      <c r="L64" s="190"/>
      <c r="M64" s="191"/>
      <c r="N64" s="191"/>
      <c r="O64" s="191"/>
      <c r="P64" s="191"/>
      <c r="Q64" s="191"/>
      <c r="R64" s="191"/>
      <c r="S64" s="191"/>
      <c r="T64" s="191"/>
      <c r="U64" s="191"/>
      <c r="V64" s="191"/>
    </row>
    <row r="65" spans="1:22" ht="17.25" x14ac:dyDescent="0.25">
      <c r="A65" s="185"/>
      <c r="B65" s="187"/>
      <c r="C65" s="186"/>
      <c r="D65" s="187"/>
      <c r="E65" s="187"/>
      <c r="F65" s="187"/>
      <c r="G65" s="188" t="e">
        <f>VLOOKUP(D65,'Datasource 2'!$G$15:$H$19,2,FALSE)</f>
        <v>#N/A</v>
      </c>
      <c r="H65" s="188" t="e">
        <f>VLOOKUP(E65,'Datasource 2'!$G$15:$H$19,2,FALSE)</f>
        <v>#N/A</v>
      </c>
      <c r="I65" s="188" t="e">
        <f>VLOOKUP(F65,'Datasource 2'!$G$15:$H$19,2,FALSE)</f>
        <v>#N/A</v>
      </c>
      <c r="J65" s="188" t="e">
        <f t="shared" si="0"/>
        <v>#N/A</v>
      </c>
      <c r="K65" s="189" t="e">
        <f>_xlfn.IFNA(VLOOKUP(#REF!,'Datasource 2'!I$14:$J$18,2,FALSE),J65)</f>
        <v>#REF!</v>
      </c>
      <c r="L65" s="190"/>
      <c r="M65" s="191"/>
      <c r="N65" s="191"/>
      <c r="O65" s="191"/>
      <c r="P65" s="191"/>
      <c r="Q65" s="191"/>
      <c r="R65" s="191"/>
      <c r="S65" s="191"/>
      <c r="T65" s="191"/>
      <c r="U65" s="191"/>
      <c r="V65" s="191"/>
    </row>
    <row r="66" spans="1:22" ht="17.25" x14ac:dyDescent="0.25">
      <c r="A66" s="185"/>
      <c r="B66" s="187"/>
      <c r="C66" s="186"/>
      <c r="D66" s="187"/>
      <c r="E66" s="187"/>
      <c r="F66" s="187"/>
      <c r="G66" s="188" t="e">
        <f>VLOOKUP(D66,'Datasource 2'!$G$15:$H$19,2,FALSE)</f>
        <v>#N/A</v>
      </c>
      <c r="H66" s="188" t="e">
        <f>VLOOKUP(E66,'Datasource 2'!$G$15:$H$19,2,FALSE)</f>
        <v>#N/A</v>
      </c>
      <c r="I66" s="188" t="e">
        <f>VLOOKUP(F66,'Datasource 2'!$G$15:$H$19,2,FALSE)</f>
        <v>#N/A</v>
      </c>
      <c r="J66" s="188" t="e">
        <f t="shared" si="0"/>
        <v>#N/A</v>
      </c>
      <c r="K66" s="189" t="e">
        <f>_xlfn.IFNA(VLOOKUP(#REF!,'Datasource 2'!I$14:$J$18,2,FALSE),J66)</f>
        <v>#REF!</v>
      </c>
      <c r="L66" s="190"/>
      <c r="M66" s="191"/>
      <c r="N66" s="191"/>
      <c r="O66" s="191"/>
      <c r="P66" s="191"/>
      <c r="Q66" s="191"/>
      <c r="R66" s="191"/>
      <c r="S66" s="191"/>
      <c r="T66" s="191"/>
      <c r="U66" s="191"/>
      <c r="V66" s="191"/>
    </row>
    <row r="67" spans="1:22" ht="17.25" x14ac:dyDescent="0.25">
      <c r="A67" s="185"/>
      <c r="B67" s="187"/>
      <c r="C67" s="186"/>
      <c r="D67" s="187"/>
      <c r="E67" s="187"/>
      <c r="F67" s="187"/>
      <c r="G67" s="188" t="e">
        <f>VLOOKUP(D67,'Datasource 2'!$G$15:$H$19,2,FALSE)</f>
        <v>#N/A</v>
      </c>
      <c r="H67" s="188" t="e">
        <f>VLOOKUP(E67,'Datasource 2'!$G$15:$H$19,2,FALSE)</f>
        <v>#N/A</v>
      </c>
      <c r="I67" s="188" t="e">
        <f>VLOOKUP(F67,'Datasource 2'!$G$15:$H$19,2,FALSE)</f>
        <v>#N/A</v>
      </c>
      <c r="J67" s="188" t="e">
        <f t="shared" ref="J67:J78" si="1">IF(MAX(G67:I67)&gt;0,MAX(G67:I67),"")</f>
        <v>#N/A</v>
      </c>
      <c r="K67" s="189" t="e">
        <f>_xlfn.IFNA(VLOOKUP(#REF!,'Datasource 2'!I$14:$J$18,2,FALSE),J67)</f>
        <v>#REF!</v>
      </c>
      <c r="L67" s="190"/>
      <c r="M67" s="191"/>
      <c r="N67" s="191"/>
      <c r="O67" s="191"/>
      <c r="P67" s="191"/>
      <c r="Q67" s="191"/>
      <c r="R67" s="191"/>
      <c r="S67" s="191"/>
      <c r="T67" s="191"/>
      <c r="U67" s="191"/>
      <c r="V67" s="191"/>
    </row>
    <row r="68" spans="1:22" ht="17.25" x14ac:dyDescent="0.25">
      <c r="A68" s="185"/>
      <c r="B68" s="187"/>
      <c r="C68" s="186"/>
      <c r="D68" s="187"/>
      <c r="E68" s="187"/>
      <c r="F68" s="187"/>
      <c r="G68" s="188" t="e">
        <f>VLOOKUP(D68,'Datasource 2'!$G$15:$H$19,2,FALSE)</f>
        <v>#N/A</v>
      </c>
      <c r="H68" s="188" t="e">
        <f>VLOOKUP(E68,'Datasource 2'!$G$15:$H$19,2,FALSE)</f>
        <v>#N/A</v>
      </c>
      <c r="I68" s="188" t="e">
        <f>VLOOKUP(F68,'Datasource 2'!$G$15:$H$19,2,FALSE)</f>
        <v>#N/A</v>
      </c>
      <c r="J68" s="188" t="e">
        <f t="shared" si="1"/>
        <v>#N/A</v>
      </c>
      <c r="K68" s="189" t="e">
        <f>_xlfn.IFNA(VLOOKUP(#REF!,'Datasource 2'!I$14:$J$18,2,FALSE),J68)</f>
        <v>#REF!</v>
      </c>
      <c r="L68" s="190"/>
      <c r="M68" s="191"/>
      <c r="N68" s="191"/>
      <c r="O68" s="191"/>
      <c r="P68" s="191"/>
      <c r="Q68" s="191"/>
      <c r="R68" s="191"/>
      <c r="S68" s="191"/>
      <c r="T68" s="191"/>
      <c r="U68" s="191"/>
      <c r="V68" s="191"/>
    </row>
    <row r="69" spans="1:22" ht="17.25" x14ac:dyDescent="0.25">
      <c r="A69" s="185"/>
      <c r="B69" s="187"/>
      <c r="C69" s="186"/>
      <c r="D69" s="187"/>
      <c r="E69" s="187"/>
      <c r="F69" s="187"/>
      <c r="G69" s="188" t="e">
        <f>VLOOKUP(D69,'Datasource 2'!$G$15:$H$19,2,FALSE)</f>
        <v>#N/A</v>
      </c>
      <c r="H69" s="188" t="e">
        <f>VLOOKUP(E69,'Datasource 2'!$G$15:$H$19,2,FALSE)</f>
        <v>#N/A</v>
      </c>
      <c r="I69" s="188" t="e">
        <f>VLOOKUP(F69,'Datasource 2'!$G$15:$H$19,2,FALSE)</f>
        <v>#N/A</v>
      </c>
      <c r="J69" s="188" t="e">
        <f t="shared" si="1"/>
        <v>#N/A</v>
      </c>
      <c r="K69" s="189" t="e">
        <f>_xlfn.IFNA(VLOOKUP(#REF!,'Datasource 2'!I$14:$J$18,2,FALSE),J69)</f>
        <v>#REF!</v>
      </c>
      <c r="L69" s="190"/>
      <c r="M69" s="191"/>
      <c r="N69" s="191"/>
      <c r="O69" s="191"/>
      <c r="P69" s="191"/>
      <c r="Q69" s="191"/>
      <c r="R69" s="191"/>
      <c r="S69" s="191"/>
      <c r="T69" s="191"/>
      <c r="U69" s="191"/>
      <c r="V69" s="191"/>
    </row>
    <row r="70" spans="1:22" ht="17.25" x14ac:dyDescent="0.25">
      <c r="A70" s="185"/>
      <c r="B70" s="187"/>
      <c r="C70" s="186"/>
      <c r="D70" s="187"/>
      <c r="E70" s="187"/>
      <c r="F70" s="187"/>
      <c r="G70" s="188" t="e">
        <f>VLOOKUP(D70,'Datasource 2'!$G$15:$H$19,2,FALSE)</f>
        <v>#N/A</v>
      </c>
      <c r="H70" s="188" t="e">
        <f>VLOOKUP(E70,'Datasource 2'!$G$15:$H$19,2,FALSE)</f>
        <v>#N/A</v>
      </c>
      <c r="I70" s="188" t="e">
        <f>VLOOKUP(F70,'Datasource 2'!$G$15:$H$19,2,FALSE)</f>
        <v>#N/A</v>
      </c>
      <c r="J70" s="188" t="e">
        <f t="shared" si="1"/>
        <v>#N/A</v>
      </c>
      <c r="K70" s="189" t="e">
        <f>_xlfn.IFNA(VLOOKUP(#REF!,'Datasource 2'!I$14:$J$18,2,FALSE),J70)</f>
        <v>#REF!</v>
      </c>
      <c r="L70" s="190"/>
      <c r="M70" s="191"/>
      <c r="N70" s="191"/>
      <c r="O70" s="191"/>
      <c r="P70" s="191"/>
      <c r="Q70" s="191"/>
      <c r="R70" s="191"/>
      <c r="S70" s="191"/>
      <c r="T70" s="191"/>
      <c r="U70" s="191"/>
      <c r="V70" s="191"/>
    </row>
    <row r="71" spans="1:22" ht="17.25" x14ac:dyDescent="0.25">
      <c r="A71" s="185"/>
      <c r="B71" s="187"/>
      <c r="C71" s="186"/>
      <c r="D71" s="187"/>
      <c r="E71" s="187"/>
      <c r="F71" s="187"/>
      <c r="G71" s="188" t="e">
        <f>VLOOKUP(D71,'Datasource 2'!$G$15:$H$19,2,FALSE)</f>
        <v>#N/A</v>
      </c>
      <c r="H71" s="188" t="e">
        <f>VLOOKUP(E71,'Datasource 2'!$G$15:$H$19,2,FALSE)</f>
        <v>#N/A</v>
      </c>
      <c r="I71" s="188" t="e">
        <f>VLOOKUP(F71,'Datasource 2'!$G$15:$H$19,2,FALSE)</f>
        <v>#N/A</v>
      </c>
      <c r="J71" s="188" t="e">
        <f t="shared" si="1"/>
        <v>#N/A</v>
      </c>
      <c r="K71" s="189" t="e">
        <f>_xlfn.IFNA(VLOOKUP(#REF!,'Datasource 2'!I$14:$J$18,2,FALSE),J71)</f>
        <v>#REF!</v>
      </c>
      <c r="L71" s="190"/>
      <c r="M71" s="191"/>
      <c r="N71" s="191"/>
      <c r="O71" s="191"/>
      <c r="P71" s="191"/>
      <c r="Q71" s="191"/>
      <c r="R71" s="191"/>
      <c r="S71" s="191"/>
      <c r="T71" s="191"/>
      <c r="U71" s="191"/>
      <c r="V71" s="191"/>
    </row>
    <row r="72" spans="1:22" ht="17.25" x14ac:dyDescent="0.25">
      <c r="A72" s="185"/>
      <c r="B72" s="187"/>
      <c r="C72" s="186"/>
      <c r="D72" s="187"/>
      <c r="E72" s="187"/>
      <c r="F72" s="187"/>
      <c r="G72" s="188" t="e">
        <f>VLOOKUP(D72,'Datasource 2'!$G$15:$H$19,2,FALSE)</f>
        <v>#N/A</v>
      </c>
      <c r="H72" s="188" t="e">
        <f>VLOOKUP(E72,'Datasource 2'!$G$15:$H$19,2,FALSE)</f>
        <v>#N/A</v>
      </c>
      <c r="I72" s="188" t="e">
        <f>VLOOKUP(F72,'Datasource 2'!$G$15:$H$19,2,FALSE)</f>
        <v>#N/A</v>
      </c>
      <c r="J72" s="188" t="e">
        <f t="shared" si="1"/>
        <v>#N/A</v>
      </c>
      <c r="K72" s="189" t="e">
        <f>_xlfn.IFNA(VLOOKUP(#REF!,'Datasource 2'!I$14:$J$18,2,FALSE),J72)</f>
        <v>#REF!</v>
      </c>
      <c r="L72" s="190"/>
      <c r="M72" s="191"/>
      <c r="N72" s="191"/>
      <c r="O72" s="191"/>
      <c r="P72" s="191"/>
      <c r="Q72" s="191"/>
      <c r="R72" s="191"/>
      <c r="S72" s="191"/>
      <c r="T72" s="191"/>
      <c r="U72" s="191"/>
      <c r="V72" s="191"/>
    </row>
    <row r="73" spans="1:22" ht="17.25" x14ac:dyDescent="0.25">
      <c r="A73" s="185"/>
      <c r="B73" s="187"/>
      <c r="C73" s="186"/>
      <c r="D73" s="187"/>
      <c r="E73" s="187"/>
      <c r="F73" s="187"/>
      <c r="G73" s="188" t="e">
        <f>VLOOKUP(D73,'Datasource 2'!$G$15:$H$19,2,FALSE)</f>
        <v>#N/A</v>
      </c>
      <c r="H73" s="188" t="e">
        <f>VLOOKUP(E73,'Datasource 2'!$G$15:$H$19,2,FALSE)</f>
        <v>#N/A</v>
      </c>
      <c r="I73" s="188" t="e">
        <f>VLOOKUP(F73,'Datasource 2'!$G$15:$H$19,2,FALSE)</f>
        <v>#N/A</v>
      </c>
      <c r="J73" s="188" t="e">
        <f t="shared" si="1"/>
        <v>#N/A</v>
      </c>
      <c r="K73" s="189" t="e">
        <f>_xlfn.IFNA(VLOOKUP(#REF!,'Datasource 2'!I$14:$J$18,2,FALSE),J73)</f>
        <v>#REF!</v>
      </c>
      <c r="L73" s="190"/>
      <c r="M73" s="191"/>
      <c r="N73" s="191"/>
      <c r="O73" s="191"/>
      <c r="P73" s="191"/>
      <c r="Q73" s="191"/>
      <c r="R73" s="191"/>
      <c r="S73" s="191"/>
      <c r="T73" s="191"/>
      <c r="U73" s="191"/>
      <c r="V73" s="191"/>
    </row>
    <row r="74" spans="1:22" ht="17.25" x14ac:dyDescent="0.25">
      <c r="A74" s="185"/>
      <c r="B74" s="187"/>
      <c r="C74" s="186"/>
      <c r="D74" s="187"/>
      <c r="E74" s="187"/>
      <c r="F74" s="187"/>
      <c r="G74" s="188" t="e">
        <f>VLOOKUP(D74,'Datasource 2'!$G$15:$H$19,2,FALSE)</f>
        <v>#N/A</v>
      </c>
      <c r="H74" s="188" t="e">
        <f>VLOOKUP(E74,'Datasource 2'!$G$15:$H$19,2,FALSE)</f>
        <v>#N/A</v>
      </c>
      <c r="I74" s="188" t="e">
        <f>VLOOKUP(F74,'Datasource 2'!$G$15:$H$19,2,FALSE)</f>
        <v>#N/A</v>
      </c>
      <c r="J74" s="188" t="e">
        <f t="shared" si="1"/>
        <v>#N/A</v>
      </c>
      <c r="K74" s="189" t="e">
        <f>_xlfn.IFNA(VLOOKUP(#REF!,'Datasource 2'!I$14:$J$18,2,FALSE),J74)</f>
        <v>#REF!</v>
      </c>
      <c r="L74" s="190"/>
      <c r="M74" s="191"/>
      <c r="N74" s="191"/>
      <c r="O74" s="191"/>
      <c r="P74" s="191"/>
      <c r="Q74" s="191"/>
      <c r="R74" s="191"/>
      <c r="S74" s="191"/>
      <c r="T74" s="191"/>
      <c r="U74" s="191"/>
      <c r="V74" s="191"/>
    </row>
    <row r="75" spans="1:22" ht="17.25" x14ac:dyDescent="0.25">
      <c r="A75" s="185"/>
      <c r="B75" s="187"/>
      <c r="C75" s="186"/>
      <c r="D75" s="187"/>
      <c r="E75" s="187"/>
      <c r="F75" s="187"/>
      <c r="G75" s="188" t="e">
        <f>VLOOKUP(D75,'Datasource 2'!$G$15:$H$19,2,FALSE)</f>
        <v>#N/A</v>
      </c>
      <c r="H75" s="188" t="e">
        <f>VLOOKUP(E75,'Datasource 2'!$G$15:$H$19,2,FALSE)</f>
        <v>#N/A</v>
      </c>
      <c r="I75" s="188" t="e">
        <f>VLOOKUP(F75,'Datasource 2'!$G$15:$H$19,2,FALSE)</f>
        <v>#N/A</v>
      </c>
      <c r="J75" s="188" t="e">
        <f t="shared" si="1"/>
        <v>#N/A</v>
      </c>
      <c r="K75" s="189" t="e">
        <f>_xlfn.IFNA(VLOOKUP(#REF!,'Datasource 2'!I$14:$J$18,2,FALSE),J75)</f>
        <v>#REF!</v>
      </c>
      <c r="L75" s="190"/>
      <c r="M75" s="191"/>
      <c r="N75" s="191"/>
      <c r="O75" s="191"/>
      <c r="P75" s="191"/>
      <c r="Q75" s="191"/>
      <c r="R75" s="191"/>
      <c r="S75" s="191"/>
      <c r="T75" s="191"/>
      <c r="U75" s="191"/>
      <c r="V75" s="191"/>
    </row>
    <row r="76" spans="1:22" ht="17.25" x14ac:dyDescent="0.25">
      <c r="A76" s="185"/>
      <c r="B76" s="187"/>
      <c r="C76" s="186"/>
      <c r="D76" s="187"/>
      <c r="E76" s="187"/>
      <c r="F76" s="187"/>
      <c r="G76" s="188" t="e">
        <f>VLOOKUP(D76,'Datasource 2'!$G$15:$H$19,2,FALSE)</f>
        <v>#N/A</v>
      </c>
      <c r="H76" s="188" t="e">
        <f>VLOOKUP(E76,'Datasource 2'!$G$15:$H$19,2,FALSE)</f>
        <v>#N/A</v>
      </c>
      <c r="I76" s="188" t="e">
        <f>VLOOKUP(F76,'Datasource 2'!$G$15:$H$19,2,FALSE)</f>
        <v>#N/A</v>
      </c>
      <c r="J76" s="188" t="e">
        <f t="shared" si="1"/>
        <v>#N/A</v>
      </c>
      <c r="K76" s="189" t="e">
        <f>_xlfn.IFNA(VLOOKUP(#REF!,'Datasource 2'!I$14:$J$18,2,FALSE),J76)</f>
        <v>#REF!</v>
      </c>
      <c r="L76" s="190"/>
      <c r="M76" s="191"/>
      <c r="N76" s="191"/>
      <c r="O76" s="191"/>
      <c r="P76" s="191"/>
      <c r="Q76" s="191"/>
      <c r="R76" s="191"/>
      <c r="S76" s="191"/>
      <c r="T76" s="191"/>
      <c r="U76" s="191"/>
      <c r="V76" s="191"/>
    </row>
    <row r="77" spans="1:22" ht="17.25" x14ac:dyDescent="0.25">
      <c r="A77" s="185"/>
      <c r="B77" s="187"/>
      <c r="C77" s="186"/>
      <c r="D77" s="187"/>
      <c r="E77" s="187"/>
      <c r="F77" s="187"/>
      <c r="G77" s="188" t="e">
        <f>VLOOKUP(D77,'Datasource 2'!$G$15:$H$19,2,FALSE)</f>
        <v>#N/A</v>
      </c>
      <c r="H77" s="188" t="e">
        <f>VLOOKUP(E77,'Datasource 2'!$G$15:$H$19,2,FALSE)</f>
        <v>#N/A</v>
      </c>
      <c r="I77" s="188" t="e">
        <f>VLOOKUP(F77,'Datasource 2'!$G$15:$H$19,2,FALSE)</f>
        <v>#N/A</v>
      </c>
      <c r="J77" s="188" t="e">
        <f t="shared" si="1"/>
        <v>#N/A</v>
      </c>
      <c r="K77" s="189" t="e">
        <f>_xlfn.IFNA(VLOOKUP(#REF!,'Datasource 2'!I$14:$J$18,2,FALSE),J77)</f>
        <v>#REF!</v>
      </c>
      <c r="L77" s="190"/>
      <c r="M77" s="191"/>
      <c r="N77" s="191"/>
      <c r="O77" s="191"/>
      <c r="P77" s="191"/>
      <c r="Q77" s="191"/>
      <c r="R77" s="191"/>
      <c r="S77" s="191"/>
      <c r="T77" s="191"/>
      <c r="U77" s="191"/>
      <c r="V77" s="191"/>
    </row>
    <row r="78" spans="1:22" ht="17.25" x14ac:dyDescent="0.25">
      <c r="A78" s="185"/>
      <c r="B78" s="187"/>
      <c r="C78" s="186"/>
      <c r="D78" s="187"/>
      <c r="E78" s="187"/>
      <c r="F78" s="187"/>
      <c r="G78" s="188" t="e">
        <f>VLOOKUP(D78,'Datasource 2'!$G$15:$H$19,2,FALSE)</f>
        <v>#N/A</v>
      </c>
      <c r="H78" s="188" t="e">
        <f>VLOOKUP(E78,'Datasource 2'!$G$15:$H$19,2,FALSE)</f>
        <v>#N/A</v>
      </c>
      <c r="I78" s="188" t="e">
        <f>VLOOKUP(F78,'Datasource 2'!$G$15:$H$19,2,FALSE)</f>
        <v>#N/A</v>
      </c>
      <c r="J78" s="188" t="e">
        <f t="shared" si="1"/>
        <v>#N/A</v>
      </c>
      <c r="K78" s="189" t="e">
        <f>_xlfn.IFNA(VLOOKUP(#REF!,'Datasource 2'!I$14:$J$18,2,FALSE),J78)</f>
        <v>#REF!</v>
      </c>
      <c r="L78" s="190"/>
      <c r="M78" s="191"/>
      <c r="N78" s="191"/>
      <c r="O78" s="191"/>
      <c r="P78" s="191"/>
      <c r="Q78" s="191"/>
      <c r="R78" s="191"/>
      <c r="S78" s="191"/>
      <c r="T78" s="191"/>
      <c r="U78" s="191"/>
      <c r="V78" s="191"/>
    </row>
    <row r="79" spans="1:22" ht="17.25" x14ac:dyDescent="0.25">
      <c r="A79" s="185"/>
      <c r="B79" s="187"/>
      <c r="C79" s="186"/>
      <c r="D79" s="187"/>
      <c r="E79" s="187"/>
      <c r="F79" s="187"/>
      <c r="G79" s="188"/>
      <c r="H79" s="188"/>
      <c r="I79" s="192"/>
      <c r="J79" s="188" t="str">
        <f t="shared" ref="J79:J110" si="2">IF(MAX(D79:F79)&gt;0,MAX(D79:F79),"")</f>
        <v/>
      </c>
      <c r="K79" s="189"/>
      <c r="L79" s="190"/>
      <c r="M79" s="191"/>
      <c r="N79" s="191"/>
      <c r="O79" s="191"/>
      <c r="P79" s="191"/>
      <c r="Q79" s="191"/>
      <c r="R79" s="191"/>
      <c r="S79" s="191"/>
      <c r="T79" s="191"/>
      <c r="U79" s="191"/>
      <c r="V79" s="191"/>
    </row>
    <row r="80" spans="1:22" ht="17.25" x14ac:dyDescent="0.25">
      <c r="A80" s="185"/>
      <c r="B80" s="187"/>
      <c r="C80" s="186"/>
      <c r="D80" s="187"/>
      <c r="E80" s="187"/>
      <c r="F80" s="187"/>
      <c r="G80" s="188"/>
      <c r="H80" s="188"/>
      <c r="I80" s="192"/>
      <c r="J80" s="188" t="str">
        <f t="shared" si="2"/>
        <v/>
      </c>
      <c r="K80" s="189"/>
      <c r="L80" s="190"/>
      <c r="M80" s="191"/>
      <c r="N80" s="191"/>
      <c r="O80" s="191"/>
      <c r="P80" s="191"/>
      <c r="Q80" s="191"/>
      <c r="R80" s="191"/>
      <c r="S80" s="191"/>
      <c r="T80" s="191"/>
      <c r="U80" s="191"/>
      <c r="V80" s="191"/>
    </row>
    <row r="81" spans="1:22" ht="17.25" x14ac:dyDescent="0.25">
      <c r="A81" s="185"/>
      <c r="B81" s="187"/>
      <c r="C81" s="186"/>
      <c r="D81" s="187"/>
      <c r="E81" s="187"/>
      <c r="F81" s="187"/>
      <c r="G81" s="188"/>
      <c r="H81" s="188"/>
      <c r="I81" s="192"/>
      <c r="J81" s="188" t="str">
        <f t="shared" si="2"/>
        <v/>
      </c>
      <c r="K81" s="189"/>
      <c r="L81" s="190"/>
      <c r="M81" s="191"/>
      <c r="N81" s="191"/>
      <c r="O81" s="191"/>
      <c r="P81" s="191"/>
      <c r="Q81" s="191"/>
      <c r="R81" s="191"/>
      <c r="S81" s="191"/>
      <c r="T81" s="191"/>
      <c r="U81" s="191"/>
      <c r="V81" s="191"/>
    </row>
    <row r="82" spans="1:22" ht="17.25" x14ac:dyDescent="0.25">
      <c r="A82" s="185"/>
      <c r="B82" s="187"/>
      <c r="C82" s="186"/>
      <c r="D82" s="187"/>
      <c r="E82" s="187"/>
      <c r="F82" s="187"/>
      <c r="G82" s="188"/>
      <c r="H82" s="188"/>
      <c r="I82" s="192"/>
      <c r="J82" s="188" t="str">
        <f t="shared" si="2"/>
        <v/>
      </c>
      <c r="K82" s="189"/>
      <c r="L82" s="190"/>
      <c r="M82" s="191"/>
      <c r="N82" s="191"/>
      <c r="O82" s="191"/>
      <c r="P82" s="191"/>
      <c r="Q82" s="191"/>
      <c r="R82" s="191"/>
      <c r="S82" s="191"/>
      <c r="T82" s="191"/>
      <c r="U82" s="191"/>
      <c r="V82" s="191"/>
    </row>
    <row r="83" spans="1:22" ht="17.25" x14ac:dyDescent="0.25">
      <c r="A83" s="185"/>
      <c r="B83" s="187"/>
      <c r="C83" s="186"/>
      <c r="D83" s="187"/>
      <c r="E83" s="187"/>
      <c r="F83" s="187"/>
      <c r="G83" s="188"/>
      <c r="H83" s="188"/>
      <c r="I83" s="192"/>
      <c r="J83" s="188" t="str">
        <f t="shared" si="2"/>
        <v/>
      </c>
      <c r="K83" s="189"/>
      <c r="L83" s="190"/>
      <c r="M83" s="191"/>
      <c r="N83" s="191"/>
      <c r="O83" s="191"/>
      <c r="P83" s="191"/>
      <c r="Q83" s="191"/>
      <c r="R83" s="191"/>
      <c r="S83" s="191"/>
      <c r="T83" s="191"/>
      <c r="U83" s="191"/>
      <c r="V83" s="191"/>
    </row>
    <row r="84" spans="1:22" ht="17.25" x14ac:dyDescent="0.25">
      <c r="A84" s="185"/>
      <c r="B84" s="187"/>
      <c r="C84" s="186"/>
      <c r="D84" s="187"/>
      <c r="E84" s="187"/>
      <c r="F84" s="187"/>
      <c r="G84" s="188"/>
      <c r="H84" s="188"/>
      <c r="I84" s="192"/>
      <c r="J84" s="188" t="str">
        <f t="shared" si="2"/>
        <v/>
      </c>
      <c r="K84" s="189"/>
      <c r="L84" s="190"/>
      <c r="M84" s="191"/>
      <c r="N84" s="191"/>
      <c r="O84" s="191"/>
      <c r="P84" s="191"/>
      <c r="Q84" s="191"/>
      <c r="R84" s="191"/>
      <c r="S84" s="191"/>
      <c r="T84" s="191"/>
      <c r="U84" s="191"/>
      <c r="V84" s="191"/>
    </row>
    <row r="85" spans="1:22" ht="17.25" x14ac:dyDescent="0.25">
      <c r="A85" s="185"/>
      <c r="B85" s="187"/>
      <c r="C85" s="186"/>
      <c r="D85" s="187"/>
      <c r="E85" s="187"/>
      <c r="F85" s="187"/>
      <c r="G85" s="188"/>
      <c r="H85" s="188"/>
      <c r="I85" s="192"/>
      <c r="J85" s="188" t="str">
        <f t="shared" si="2"/>
        <v/>
      </c>
      <c r="K85" s="189"/>
      <c r="L85" s="190"/>
      <c r="M85" s="191"/>
      <c r="N85" s="191"/>
      <c r="O85" s="191"/>
      <c r="P85" s="191"/>
      <c r="Q85" s="191"/>
      <c r="R85" s="191"/>
      <c r="S85" s="191"/>
      <c r="T85" s="191"/>
      <c r="U85" s="191"/>
      <c r="V85" s="191"/>
    </row>
    <row r="86" spans="1:22" ht="17.25" x14ac:dyDescent="0.25">
      <c r="A86" s="185"/>
      <c r="B86" s="187"/>
      <c r="C86" s="186"/>
      <c r="D86" s="187"/>
      <c r="E86" s="187"/>
      <c r="F86" s="187"/>
      <c r="G86" s="188"/>
      <c r="H86" s="188"/>
      <c r="I86" s="192"/>
      <c r="J86" s="188" t="str">
        <f t="shared" si="2"/>
        <v/>
      </c>
      <c r="K86" s="189"/>
      <c r="L86" s="190"/>
      <c r="M86" s="191"/>
      <c r="N86" s="191"/>
      <c r="O86" s="191"/>
      <c r="P86" s="191"/>
      <c r="Q86" s="191"/>
      <c r="R86" s="191"/>
      <c r="S86" s="191"/>
      <c r="T86" s="191"/>
      <c r="U86" s="191"/>
      <c r="V86" s="191"/>
    </row>
    <row r="87" spans="1:22" ht="17.25" x14ac:dyDescent="0.25">
      <c r="A87" s="185"/>
      <c r="B87" s="187"/>
      <c r="C87" s="186"/>
      <c r="D87" s="187"/>
      <c r="E87" s="187"/>
      <c r="F87" s="187"/>
      <c r="G87" s="188"/>
      <c r="H87" s="188"/>
      <c r="I87" s="192"/>
      <c r="J87" s="188" t="str">
        <f t="shared" si="2"/>
        <v/>
      </c>
      <c r="K87" s="189"/>
      <c r="L87" s="190"/>
      <c r="M87" s="191"/>
      <c r="N87" s="191"/>
      <c r="O87" s="191"/>
      <c r="P87" s="191"/>
      <c r="Q87" s="191"/>
      <c r="R87" s="191"/>
      <c r="S87" s="191"/>
      <c r="T87" s="191"/>
      <c r="U87" s="191"/>
      <c r="V87" s="191"/>
    </row>
    <row r="88" spans="1:22" ht="17.25" x14ac:dyDescent="0.25">
      <c r="A88" s="185"/>
      <c r="B88" s="187"/>
      <c r="C88" s="186"/>
      <c r="D88" s="187"/>
      <c r="E88" s="187"/>
      <c r="F88" s="187"/>
      <c r="G88" s="188"/>
      <c r="H88" s="188"/>
      <c r="I88" s="192"/>
      <c r="J88" s="188" t="str">
        <f t="shared" si="2"/>
        <v/>
      </c>
      <c r="K88" s="189"/>
      <c r="L88" s="190"/>
      <c r="M88" s="191"/>
      <c r="N88" s="191"/>
      <c r="O88" s="191"/>
      <c r="P88" s="191"/>
      <c r="Q88" s="191"/>
      <c r="R88" s="191"/>
      <c r="S88" s="191"/>
      <c r="T88" s="191"/>
      <c r="U88" s="191"/>
      <c r="V88" s="191"/>
    </row>
    <row r="89" spans="1:22" ht="17.25" x14ac:dyDescent="0.25">
      <c r="A89" s="185"/>
      <c r="B89" s="187"/>
      <c r="C89" s="186"/>
      <c r="D89" s="187"/>
      <c r="E89" s="187"/>
      <c r="F89" s="187"/>
      <c r="G89" s="188"/>
      <c r="H89" s="188"/>
      <c r="I89" s="192"/>
      <c r="J89" s="188" t="str">
        <f t="shared" si="2"/>
        <v/>
      </c>
      <c r="K89" s="189"/>
      <c r="L89" s="190"/>
      <c r="M89" s="191"/>
      <c r="N89" s="191"/>
      <c r="O89" s="191"/>
      <c r="P89" s="191"/>
      <c r="Q89" s="191"/>
      <c r="R89" s="191"/>
      <c r="S89" s="191"/>
      <c r="T89" s="191"/>
      <c r="U89" s="191"/>
      <c r="V89" s="191"/>
    </row>
    <row r="90" spans="1:22" ht="17.25" x14ac:dyDescent="0.25">
      <c r="A90" s="185"/>
      <c r="B90" s="187"/>
      <c r="C90" s="186"/>
      <c r="D90" s="187"/>
      <c r="E90" s="187"/>
      <c r="F90" s="187"/>
      <c r="G90" s="188"/>
      <c r="H90" s="188"/>
      <c r="I90" s="192"/>
      <c r="J90" s="188" t="str">
        <f t="shared" si="2"/>
        <v/>
      </c>
      <c r="K90" s="189"/>
      <c r="L90" s="190"/>
      <c r="M90" s="191"/>
      <c r="N90" s="191"/>
      <c r="O90" s="191"/>
      <c r="P90" s="191"/>
      <c r="Q90" s="191"/>
      <c r="R90" s="191"/>
      <c r="S90" s="191"/>
      <c r="T90" s="191"/>
      <c r="U90" s="191"/>
      <c r="V90" s="191"/>
    </row>
    <row r="91" spans="1:22" ht="17.25" x14ac:dyDescent="0.25">
      <c r="A91" s="185"/>
      <c r="B91" s="187"/>
      <c r="C91" s="186"/>
      <c r="D91" s="187"/>
      <c r="E91" s="187"/>
      <c r="F91" s="187"/>
      <c r="G91" s="188"/>
      <c r="H91" s="188"/>
      <c r="I91" s="192"/>
      <c r="J91" s="188" t="str">
        <f t="shared" si="2"/>
        <v/>
      </c>
      <c r="K91" s="189"/>
      <c r="L91" s="190"/>
      <c r="M91" s="191"/>
      <c r="N91" s="191"/>
      <c r="O91" s="191"/>
      <c r="P91" s="191"/>
      <c r="Q91" s="191"/>
      <c r="R91" s="191"/>
      <c r="S91" s="191"/>
      <c r="T91" s="191"/>
      <c r="U91" s="191"/>
      <c r="V91" s="191"/>
    </row>
    <row r="92" spans="1:22" ht="17.25" x14ac:dyDescent="0.25">
      <c r="A92" s="185"/>
      <c r="B92" s="187"/>
      <c r="C92" s="186"/>
      <c r="D92" s="187"/>
      <c r="E92" s="187"/>
      <c r="F92" s="187"/>
      <c r="G92" s="188"/>
      <c r="H92" s="188"/>
      <c r="I92" s="192"/>
      <c r="J92" s="188" t="str">
        <f t="shared" si="2"/>
        <v/>
      </c>
      <c r="K92" s="189"/>
      <c r="L92" s="190"/>
      <c r="M92" s="191"/>
      <c r="N92" s="191"/>
      <c r="O92" s="191"/>
      <c r="P92" s="191"/>
      <c r="Q92" s="191"/>
      <c r="R92" s="191"/>
      <c r="S92" s="191"/>
      <c r="T92" s="191"/>
      <c r="U92" s="191"/>
      <c r="V92" s="191"/>
    </row>
    <row r="93" spans="1:22" ht="17.25" x14ac:dyDescent="0.25">
      <c r="A93" s="185"/>
      <c r="B93" s="187"/>
      <c r="C93" s="186"/>
      <c r="D93" s="187"/>
      <c r="E93" s="187"/>
      <c r="F93" s="187"/>
      <c r="G93" s="188"/>
      <c r="H93" s="188"/>
      <c r="I93" s="192"/>
      <c r="J93" s="188" t="str">
        <f t="shared" si="2"/>
        <v/>
      </c>
      <c r="K93" s="189"/>
      <c r="L93" s="190"/>
      <c r="M93" s="191"/>
      <c r="N93" s="191"/>
      <c r="O93" s="191"/>
      <c r="P93" s="191"/>
      <c r="Q93" s="191"/>
      <c r="R93" s="191"/>
      <c r="S93" s="191"/>
      <c r="T93" s="191"/>
      <c r="U93" s="191"/>
      <c r="V93" s="191"/>
    </row>
    <row r="94" spans="1:22" ht="17.25" x14ac:dyDescent="0.25">
      <c r="A94" s="185"/>
      <c r="B94" s="187"/>
      <c r="C94" s="186"/>
      <c r="D94" s="187"/>
      <c r="E94" s="187"/>
      <c r="F94" s="187"/>
      <c r="G94" s="188"/>
      <c r="H94" s="188"/>
      <c r="I94" s="192"/>
      <c r="J94" s="188" t="str">
        <f t="shared" si="2"/>
        <v/>
      </c>
      <c r="K94" s="189"/>
      <c r="L94" s="190"/>
      <c r="M94" s="191"/>
      <c r="N94" s="191"/>
      <c r="O94" s="191"/>
      <c r="P94" s="191"/>
      <c r="Q94" s="191"/>
      <c r="R94" s="191"/>
      <c r="S94" s="191"/>
      <c r="T94" s="191"/>
      <c r="U94" s="191"/>
      <c r="V94" s="191"/>
    </row>
    <row r="95" spans="1:22" ht="17.25" x14ac:dyDescent="0.25">
      <c r="A95" s="185"/>
      <c r="B95" s="187"/>
      <c r="C95" s="186"/>
      <c r="D95" s="187"/>
      <c r="E95" s="187"/>
      <c r="F95" s="187"/>
      <c r="G95" s="188"/>
      <c r="H95" s="188"/>
      <c r="I95" s="192"/>
      <c r="J95" s="188" t="str">
        <f t="shared" si="2"/>
        <v/>
      </c>
      <c r="K95" s="189"/>
      <c r="L95" s="190"/>
      <c r="M95" s="191"/>
      <c r="N95" s="191"/>
      <c r="O95" s="191"/>
      <c r="P95" s="191"/>
      <c r="Q95" s="191"/>
      <c r="R95" s="191"/>
      <c r="S95" s="191"/>
      <c r="T95" s="191"/>
      <c r="U95" s="191"/>
      <c r="V95" s="191"/>
    </row>
    <row r="96" spans="1:22" ht="17.25" x14ac:dyDescent="0.25">
      <c r="A96" s="185"/>
      <c r="B96" s="187"/>
      <c r="C96" s="186"/>
      <c r="D96" s="187"/>
      <c r="E96" s="187"/>
      <c r="F96" s="187"/>
      <c r="G96" s="188"/>
      <c r="H96" s="188"/>
      <c r="I96" s="192"/>
      <c r="J96" s="188" t="str">
        <f t="shared" si="2"/>
        <v/>
      </c>
      <c r="K96" s="189"/>
      <c r="L96" s="190"/>
      <c r="M96" s="191"/>
      <c r="N96" s="191"/>
      <c r="O96" s="191"/>
      <c r="P96" s="191"/>
      <c r="Q96" s="191"/>
      <c r="R96" s="191"/>
      <c r="S96" s="191"/>
      <c r="T96" s="191"/>
      <c r="U96" s="191"/>
      <c r="V96" s="191"/>
    </row>
    <row r="97" spans="1:22" ht="17.25" x14ac:dyDescent="0.25">
      <c r="A97" s="185"/>
      <c r="B97" s="187"/>
      <c r="C97" s="186"/>
      <c r="D97" s="187"/>
      <c r="E97" s="187"/>
      <c r="F97" s="187"/>
      <c r="G97" s="188"/>
      <c r="H97" s="188"/>
      <c r="I97" s="192"/>
      <c r="J97" s="188" t="str">
        <f t="shared" si="2"/>
        <v/>
      </c>
      <c r="K97" s="189"/>
      <c r="L97" s="190"/>
      <c r="M97" s="191"/>
      <c r="N97" s="191"/>
      <c r="O97" s="191"/>
      <c r="P97" s="191"/>
      <c r="Q97" s="191"/>
      <c r="R97" s="191"/>
      <c r="S97" s="191"/>
      <c r="T97" s="191"/>
      <c r="U97" s="191"/>
      <c r="V97" s="191"/>
    </row>
    <row r="98" spans="1:22" ht="17.25" x14ac:dyDescent="0.25">
      <c r="A98" s="185"/>
      <c r="B98" s="187"/>
      <c r="C98" s="186"/>
      <c r="D98" s="187"/>
      <c r="E98" s="187"/>
      <c r="F98" s="187"/>
      <c r="G98" s="188"/>
      <c r="H98" s="188"/>
      <c r="I98" s="192"/>
      <c r="J98" s="188" t="str">
        <f t="shared" si="2"/>
        <v/>
      </c>
      <c r="K98" s="189"/>
      <c r="L98" s="190"/>
      <c r="M98" s="191"/>
      <c r="N98" s="191"/>
      <c r="O98" s="191"/>
      <c r="P98" s="191"/>
      <c r="Q98" s="191"/>
      <c r="R98" s="191"/>
      <c r="S98" s="191"/>
      <c r="T98" s="191"/>
      <c r="U98" s="191"/>
      <c r="V98" s="191"/>
    </row>
    <row r="99" spans="1:22" ht="17.25" x14ac:dyDescent="0.25">
      <c r="A99" s="185"/>
      <c r="B99" s="187"/>
      <c r="C99" s="186"/>
      <c r="D99" s="187"/>
      <c r="E99" s="187"/>
      <c r="F99" s="187"/>
      <c r="G99" s="188"/>
      <c r="H99" s="188"/>
      <c r="I99" s="192"/>
      <c r="J99" s="188" t="str">
        <f t="shared" si="2"/>
        <v/>
      </c>
      <c r="K99" s="189"/>
      <c r="L99" s="190"/>
      <c r="M99" s="191"/>
      <c r="N99" s="191"/>
      <c r="O99" s="191"/>
      <c r="P99" s="191"/>
      <c r="Q99" s="191"/>
      <c r="R99" s="191"/>
      <c r="S99" s="191"/>
      <c r="T99" s="191"/>
      <c r="U99" s="191"/>
      <c r="V99" s="191"/>
    </row>
    <row r="100" spans="1:22" ht="17.25" x14ac:dyDescent="0.25">
      <c r="A100" s="185"/>
      <c r="B100" s="187"/>
      <c r="C100" s="186"/>
      <c r="D100" s="187"/>
      <c r="E100" s="187"/>
      <c r="F100" s="187"/>
      <c r="G100" s="188"/>
      <c r="H100" s="188"/>
      <c r="I100" s="192"/>
      <c r="J100" s="188" t="str">
        <f t="shared" si="2"/>
        <v/>
      </c>
      <c r="K100" s="189"/>
      <c r="L100" s="190"/>
      <c r="M100" s="191"/>
      <c r="N100" s="191"/>
      <c r="O100" s="191"/>
      <c r="P100" s="191"/>
      <c r="Q100" s="191"/>
      <c r="R100" s="191"/>
      <c r="S100" s="191"/>
      <c r="T100" s="191"/>
      <c r="U100" s="191"/>
      <c r="V100" s="191"/>
    </row>
    <row r="101" spans="1:22" ht="17.25" x14ac:dyDescent="0.25">
      <c r="A101" s="185"/>
      <c r="B101" s="187"/>
      <c r="C101" s="186"/>
      <c r="D101" s="187"/>
      <c r="E101" s="187"/>
      <c r="F101" s="187"/>
      <c r="G101" s="188"/>
      <c r="H101" s="188"/>
      <c r="I101" s="192"/>
      <c r="J101" s="188" t="str">
        <f t="shared" si="2"/>
        <v/>
      </c>
      <c r="K101" s="189"/>
      <c r="L101" s="190"/>
      <c r="M101" s="191"/>
      <c r="N101" s="191"/>
      <c r="O101" s="191"/>
      <c r="P101" s="191"/>
      <c r="Q101" s="191"/>
      <c r="R101" s="191"/>
      <c r="S101" s="191"/>
      <c r="T101" s="191"/>
      <c r="U101" s="191"/>
      <c r="V101" s="191"/>
    </row>
    <row r="102" spans="1:22" ht="17.25" x14ac:dyDescent="0.25">
      <c r="A102" s="185"/>
      <c r="B102" s="187"/>
      <c r="C102" s="186"/>
      <c r="D102" s="187"/>
      <c r="E102" s="187"/>
      <c r="F102" s="187"/>
      <c r="G102" s="188"/>
      <c r="H102" s="188"/>
      <c r="I102" s="192"/>
      <c r="J102" s="188" t="str">
        <f t="shared" si="2"/>
        <v/>
      </c>
      <c r="K102" s="189"/>
      <c r="L102" s="190"/>
      <c r="M102" s="191"/>
      <c r="N102" s="191"/>
      <c r="O102" s="191"/>
      <c r="P102" s="191"/>
      <c r="Q102" s="191"/>
      <c r="R102" s="191"/>
      <c r="S102" s="191"/>
      <c r="T102" s="191"/>
      <c r="U102" s="191"/>
      <c r="V102" s="191"/>
    </row>
    <row r="103" spans="1:22" ht="17.25" x14ac:dyDescent="0.25">
      <c r="A103" s="185"/>
      <c r="B103" s="187"/>
      <c r="C103" s="186"/>
      <c r="D103" s="187"/>
      <c r="E103" s="187"/>
      <c r="F103" s="187"/>
      <c r="G103" s="188"/>
      <c r="H103" s="188"/>
      <c r="I103" s="192"/>
      <c r="J103" s="188" t="str">
        <f t="shared" si="2"/>
        <v/>
      </c>
      <c r="K103" s="189"/>
      <c r="L103" s="190"/>
      <c r="M103" s="191"/>
      <c r="N103" s="191"/>
      <c r="O103" s="191"/>
      <c r="P103" s="191"/>
      <c r="Q103" s="191"/>
      <c r="R103" s="191"/>
      <c r="S103" s="191"/>
      <c r="T103" s="191"/>
      <c r="U103" s="191"/>
      <c r="V103" s="191"/>
    </row>
    <row r="104" spans="1:22" ht="17.25" x14ac:dyDescent="0.25">
      <c r="A104" s="185"/>
      <c r="B104" s="187"/>
      <c r="C104" s="186"/>
      <c r="D104" s="187"/>
      <c r="E104" s="187"/>
      <c r="F104" s="187"/>
      <c r="G104" s="188"/>
      <c r="H104" s="188"/>
      <c r="I104" s="192"/>
      <c r="J104" s="188" t="str">
        <f t="shared" si="2"/>
        <v/>
      </c>
      <c r="K104" s="189"/>
      <c r="L104" s="190"/>
      <c r="M104" s="191"/>
      <c r="N104" s="191"/>
      <c r="O104" s="191"/>
      <c r="P104" s="191"/>
      <c r="Q104" s="191"/>
      <c r="R104" s="191"/>
      <c r="S104" s="191"/>
      <c r="T104" s="191"/>
      <c r="U104" s="191"/>
      <c r="V104" s="191"/>
    </row>
    <row r="105" spans="1:22" ht="17.25" x14ac:dyDescent="0.25">
      <c r="A105" s="185"/>
      <c r="B105" s="187"/>
      <c r="C105" s="186"/>
      <c r="D105" s="187"/>
      <c r="E105" s="187"/>
      <c r="F105" s="187"/>
      <c r="G105" s="188"/>
      <c r="H105" s="188"/>
      <c r="I105" s="192"/>
      <c r="J105" s="188" t="str">
        <f t="shared" si="2"/>
        <v/>
      </c>
      <c r="K105" s="189"/>
      <c r="L105" s="190"/>
      <c r="M105" s="191"/>
      <c r="N105" s="191"/>
      <c r="O105" s="191"/>
      <c r="P105" s="191"/>
      <c r="Q105" s="191"/>
      <c r="R105" s="191"/>
      <c r="S105" s="191"/>
      <c r="T105" s="191"/>
      <c r="U105" s="191"/>
      <c r="V105" s="191"/>
    </row>
    <row r="106" spans="1:22" ht="17.25" x14ac:dyDescent="0.25">
      <c r="A106" s="185"/>
      <c r="B106" s="187"/>
      <c r="C106" s="186"/>
      <c r="D106" s="187"/>
      <c r="E106" s="187"/>
      <c r="F106" s="187"/>
      <c r="G106" s="188"/>
      <c r="H106" s="188"/>
      <c r="I106" s="192"/>
      <c r="J106" s="188" t="str">
        <f t="shared" si="2"/>
        <v/>
      </c>
      <c r="K106" s="189"/>
      <c r="L106" s="190"/>
      <c r="M106" s="191"/>
      <c r="N106" s="191"/>
      <c r="O106" s="191"/>
      <c r="P106" s="191"/>
      <c r="Q106" s="191"/>
      <c r="R106" s="191"/>
      <c r="S106" s="191"/>
      <c r="T106" s="191"/>
      <c r="U106" s="191"/>
      <c r="V106" s="191"/>
    </row>
    <row r="107" spans="1:22" ht="17.25" x14ac:dyDescent="0.25">
      <c r="A107" s="185"/>
      <c r="B107" s="187"/>
      <c r="C107" s="186"/>
      <c r="D107" s="187"/>
      <c r="E107" s="187"/>
      <c r="F107" s="187"/>
      <c r="G107" s="188"/>
      <c r="H107" s="188"/>
      <c r="I107" s="192"/>
      <c r="J107" s="188" t="str">
        <f t="shared" si="2"/>
        <v/>
      </c>
      <c r="K107" s="189"/>
      <c r="L107" s="190"/>
      <c r="M107" s="191"/>
      <c r="N107" s="191"/>
      <c r="O107" s="191"/>
      <c r="P107" s="191"/>
      <c r="Q107" s="191"/>
      <c r="R107" s="191"/>
      <c r="S107" s="191"/>
      <c r="T107" s="191"/>
      <c r="U107" s="191"/>
      <c r="V107" s="191"/>
    </row>
    <row r="108" spans="1:22" ht="17.25" x14ac:dyDescent="0.25">
      <c r="A108" s="185"/>
      <c r="B108" s="187"/>
      <c r="C108" s="186"/>
      <c r="D108" s="187"/>
      <c r="E108" s="187"/>
      <c r="F108" s="187"/>
      <c r="G108" s="188"/>
      <c r="H108" s="188"/>
      <c r="I108" s="192"/>
      <c r="J108" s="188" t="str">
        <f t="shared" si="2"/>
        <v/>
      </c>
      <c r="K108" s="189"/>
      <c r="L108" s="190"/>
      <c r="M108" s="191"/>
      <c r="N108" s="191"/>
      <c r="O108" s="191"/>
      <c r="P108" s="191"/>
      <c r="Q108" s="191"/>
      <c r="R108" s="191"/>
      <c r="S108" s="191"/>
      <c r="T108" s="191"/>
      <c r="U108" s="191"/>
      <c r="V108" s="191"/>
    </row>
    <row r="109" spans="1:22" ht="17.25" x14ac:dyDescent="0.25">
      <c r="A109" s="185"/>
      <c r="B109" s="187"/>
      <c r="C109" s="186"/>
      <c r="D109" s="187"/>
      <c r="E109" s="187"/>
      <c r="F109" s="187"/>
      <c r="G109" s="188"/>
      <c r="H109" s="188"/>
      <c r="I109" s="192"/>
      <c r="J109" s="188" t="str">
        <f t="shared" si="2"/>
        <v/>
      </c>
      <c r="K109" s="189"/>
      <c r="L109" s="190"/>
      <c r="M109" s="191"/>
      <c r="N109" s="191"/>
      <c r="O109" s="191"/>
      <c r="P109" s="191"/>
      <c r="Q109" s="191"/>
      <c r="R109" s="191"/>
      <c r="S109" s="191"/>
      <c r="T109" s="191"/>
      <c r="U109" s="191"/>
      <c r="V109" s="191"/>
    </row>
    <row r="110" spans="1:22" ht="17.25" x14ac:dyDescent="0.25">
      <c r="A110" s="185"/>
      <c r="B110" s="187"/>
      <c r="C110" s="186"/>
      <c r="D110" s="187"/>
      <c r="E110" s="187"/>
      <c r="F110" s="187"/>
      <c r="G110" s="188"/>
      <c r="H110" s="188"/>
      <c r="I110" s="192"/>
      <c r="J110" s="188" t="str">
        <f t="shared" si="2"/>
        <v/>
      </c>
      <c r="K110" s="189"/>
      <c r="L110" s="190"/>
      <c r="M110" s="191"/>
      <c r="N110" s="191"/>
      <c r="O110" s="191"/>
      <c r="P110" s="191"/>
      <c r="Q110" s="191"/>
      <c r="R110" s="191"/>
      <c r="S110" s="191"/>
      <c r="T110" s="191"/>
      <c r="U110" s="191"/>
      <c r="V110" s="191"/>
    </row>
    <row r="111" spans="1:22" ht="17.25" x14ac:dyDescent="0.25">
      <c r="A111" s="185"/>
      <c r="B111" s="187"/>
      <c r="C111" s="186"/>
      <c r="D111" s="187"/>
      <c r="E111" s="187"/>
      <c r="F111" s="187"/>
      <c r="G111" s="188"/>
      <c r="H111" s="188"/>
      <c r="I111" s="192"/>
      <c r="J111" s="188" t="str">
        <f t="shared" ref="J111:J142" si="3">IF(MAX(D111:F111)&gt;0,MAX(D111:F111),"")</f>
        <v/>
      </c>
      <c r="K111" s="189"/>
      <c r="L111" s="190"/>
      <c r="M111" s="191"/>
      <c r="N111" s="191"/>
      <c r="O111" s="191"/>
      <c r="P111" s="191"/>
      <c r="Q111" s="191"/>
      <c r="R111" s="191"/>
      <c r="S111" s="191"/>
      <c r="T111" s="191"/>
      <c r="U111" s="191"/>
      <c r="V111" s="191"/>
    </row>
    <row r="112" spans="1:22" ht="17.25" x14ac:dyDescent="0.25">
      <c r="A112" s="185"/>
      <c r="B112" s="187"/>
      <c r="C112" s="186"/>
      <c r="D112" s="187"/>
      <c r="E112" s="187"/>
      <c r="F112" s="187"/>
      <c r="G112" s="188"/>
      <c r="H112" s="188"/>
      <c r="I112" s="192"/>
      <c r="J112" s="188" t="str">
        <f t="shared" si="3"/>
        <v/>
      </c>
      <c r="K112" s="189"/>
      <c r="L112" s="190"/>
      <c r="M112" s="191"/>
      <c r="N112" s="191"/>
      <c r="O112" s="191"/>
      <c r="P112" s="191"/>
      <c r="Q112" s="191"/>
      <c r="R112" s="191"/>
      <c r="S112" s="191"/>
      <c r="T112" s="191"/>
      <c r="U112" s="191"/>
      <c r="V112" s="191"/>
    </row>
    <row r="113" spans="1:22" ht="17.25" x14ac:dyDescent="0.25">
      <c r="A113" s="185"/>
      <c r="B113" s="187"/>
      <c r="C113" s="186"/>
      <c r="D113" s="187"/>
      <c r="E113" s="187"/>
      <c r="F113" s="187"/>
      <c r="G113" s="188"/>
      <c r="H113" s="188"/>
      <c r="I113" s="192"/>
      <c r="J113" s="188" t="str">
        <f t="shared" si="3"/>
        <v/>
      </c>
      <c r="K113" s="189"/>
      <c r="L113" s="190"/>
      <c r="M113" s="191"/>
      <c r="N113" s="191"/>
      <c r="O113" s="191"/>
      <c r="P113" s="191"/>
      <c r="Q113" s="191"/>
      <c r="R113" s="191"/>
      <c r="S113" s="191"/>
      <c r="T113" s="191"/>
      <c r="U113" s="191"/>
      <c r="V113" s="191"/>
    </row>
    <row r="114" spans="1:22" ht="17.25" x14ac:dyDescent="0.25">
      <c r="A114" s="185"/>
      <c r="B114" s="187"/>
      <c r="C114" s="186"/>
      <c r="D114" s="187"/>
      <c r="E114" s="187"/>
      <c r="F114" s="187"/>
      <c r="G114" s="188"/>
      <c r="H114" s="188"/>
      <c r="I114" s="192"/>
      <c r="J114" s="188" t="str">
        <f t="shared" si="3"/>
        <v/>
      </c>
      <c r="K114" s="189"/>
      <c r="L114" s="190"/>
      <c r="M114" s="191"/>
      <c r="N114" s="191"/>
      <c r="O114" s="191"/>
      <c r="P114" s="191"/>
      <c r="Q114" s="191"/>
      <c r="R114" s="191"/>
      <c r="S114" s="191"/>
      <c r="T114" s="191"/>
      <c r="U114" s="191"/>
      <c r="V114" s="191"/>
    </row>
    <row r="115" spans="1:22" ht="17.25" x14ac:dyDescent="0.25">
      <c r="A115" s="185"/>
      <c r="B115" s="187"/>
      <c r="C115" s="186"/>
      <c r="D115" s="187"/>
      <c r="E115" s="187"/>
      <c r="F115" s="187"/>
      <c r="G115" s="188"/>
      <c r="H115" s="188"/>
      <c r="I115" s="192"/>
      <c r="J115" s="188" t="str">
        <f t="shared" si="3"/>
        <v/>
      </c>
      <c r="K115" s="189"/>
      <c r="L115" s="190"/>
      <c r="M115" s="191"/>
      <c r="N115" s="191"/>
      <c r="O115" s="191"/>
      <c r="P115" s="191"/>
      <c r="Q115" s="191"/>
      <c r="R115" s="191"/>
      <c r="S115" s="191"/>
      <c r="T115" s="191"/>
      <c r="U115" s="191"/>
      <c r="V115" s="191"/>
    </row>
    <row r="116" spans="1:22" ht="17.25" x14ac:dyDescent="0.25">
      <c r="A116" s="185"/>
      <c r="B116" s="187"/>
      <c r="C116" s="186"/>
      <c r="D116" s="187"/>
      <c r="E116" s="187"/>
      <c r="F116" s="187"/>
      <c r="G116" s="188"/>
      <c r="H116" s="188"/>
      <c r="I116" s="192"/>
      <c r="J116" s="188" t="str">
        <f t="shared" si="3"/>
        <v/>
      </c>
      <c r="K116" s="189"/>
      <c r="L116" s="190"/>
      <c r="M116" s="191"/>
      <c r="N116" s="191"/>
      <c r="O116" s="191"/>
      <c r="P116" s="191"/>
      <c r="Q116" s="191"/>
      <c r="R116" s="191"/>
      <c r="S116" s="191"/>
      <c r="T116" s="191"/>
      <c r="U116" s="191"/>
      <c r="V116" s="191"/>
    </row>
    <row r="117" spans="1:22" ht="17.25" x14ac:dyDescent="0.25">
      <c r="A117" s="185"/>
      <c r="B117" s="187"/>
      <c r="C117" s="186"/>
      <c r="D117" s="187"/>
      <c r="E117" s="187"/>
      <c r="F117" s="187"/>
      <c r="G117" s="188"/>
      <c r="H117" s="188"/>
      <c r="I117" s="192"/>
      <c r="J117" s="188" t="str">
        <f t="shared" si="3"/>
        <v/>
      </c>
      <c r="K117" s="189"/>
      <c r="L117" s="190"/>
      <c r="M117" s="191"/>
      <c r="N117" s="191"/>
      <c r="O117" s="191"/>
      <c r="P117" s="191"/>
      <c r="Q117" s="191"/>
      <c r="R117" s="191"/>
      <c r="S117" s="191"/>
      <c r="T117" s="191"/>
      <c r="U117" s="191"/>
      <c r="V117" s="191"/>
    </row>
    <row r="118" spans="1:22" ht="17.25" x14ac:dyDescent="0.25">
      <c r="A118" s="185"/>
      <c r="B118" s="187"/>
      <c r="C118" s="186"/>
      <c r="D118" s="187"/>
      <c r="E118" s="187"/>
      <c r="F118" s="187"/>
      <c r="G118" s="188"/>
      <c r="H118" s="188"/>
      <c r="I118" s="192"/>
      <c r="J118" s="188" t="str">
        <f t="shared" si="3"/>
        <v/>
      </c>
      <c r="K118" s="189"/>
      <c r="L118" s="190"/>
      <c r="M118" s="191"/>
      <c r="N118" s="191"/>
      <c r="O118" s="191"/>
      <c r="P118" s="191"/>
      <c r="Q118" s="191"/>
      <c r="R118" s="191"/>
      <c r="S118" s="191"/>
      <c r="T118" s="191"/>
      <c r="U118" s="191"/>
      <c r="V118" s="191"/>
    </row>
    <row r="119" spans="1:22" ht="17.25" x14ac:dyDescent="0.25">
      <c r="A119" s="185"/>
      <c r="B119" s="187"/>
      <c r="C119" s="186"/>
      <c r="D119" s="187"/>
      <c r="E119" s="187"/>
      <c r="F119" s="187"/>
      <c r="G119" s="188"/>
      <c r="H119" s="188"/>
      <c r="I119" s="192"/>
      <c r="J119" s="188" t="str">
        <f t="shared" si="3"/>
        <v/>
      </c>
      <c r="K119" s="189"/>
      <c r="L119" s="190"/>
      <c r="M119" s="191"/>
      <c r="N119" s="191"/>
      <c r="O119" s="191"/>
      <c r="P119" s="191"/>
      <c r="Q119" s="191"/>
      <c r="R119" s="191"/>
      <c r="S119" s="191"/>
      <c r="T119" s="191"/>
      <c r="U119" s="191"/>
      <c r="V119" s="191"/>
    </row>
    <row r="120" spans="1:22" ht="17.25" x14ac:dyDescent="0.25">
      <c r="A120" s="185"/>
      <c r="B120" s="187"/>
      <c r="C120" s="186"/>
      <c r="D120" s="187"/>
      <c r="E120" s="187"/>
      <c r="F120" s="187"/>
      <c r="G120" s="188"/>
      <c r="H120" s="188"/>
      <c r="I120" s="192"/>
      <c r="J120" s="188" t="str">
        <f t="shared" si="3"/>
        <v/>
      </c>
      <c r="K120" s="189"/>
      <c r="L120" s="190"/>
      <c r="M120" s="191"/>
      <c r="N120" s="191"/>
      <c r="O120" s="191"/>
      <c r="P120" s="191"/>
      <c r="Q120" s="191"/>
      <c r="R120" s="191"/>
      <c r="S120" s="191"/>
      <c r="T120" s="191"/>
      <c r="U120" s="191"/>
      <c r="V120" s="191"/>
    </row>
    <row r="121" spans="1:22" ht="17.25" x14ac:dyDescent="0.25">
      <c r="A121" s="185"/>
      <c r="B121" s="187"/>
      <c r="C121" s="186"/>
      <c r="D121" s="187"/>
      <c r="E121" s="187"/>
      <c r="F121" s="187"/>
      <c r="G121" s="188"/>
      <c r="H121" s="188"/>
      <c r="I121" s="192"/>
      <c r="J121" s="188" t="str">
        <f t="shared" si="3"/>
        <v/>
      </c>
      <c r="K121" s="189"/>
      <c r="L121" s="190"/>
      <c r="M121" s="191"/>
      <c r="N121" s="191"/>
      <c r="O121" s="191"/>
      <c r="P121" s="191"/>
      <c r="Q121" s="191"/>
      <c r="R121" s="191"/>
      <c r="S121" s="191"/>
      <c r="T121" s="191"/>
      <c r="U121" s="191"/>
      <c r="V121" s="191"/>
    </row>
    <row r="122" spans="1:22" ht="17.25" x14ac:dyDescent="0.25">
      <c r="A122" s="185"/>
      <c r="B122" s="187"/>
      <c r="C122" s="186"/>
      <c r="D122" s="187"/>
      <c r="E122" s="187"/>
      <c r="F122" s="187"/>
      <c r="G122" s="188"/>
      <c r="H122" s="188"/>
      <c r="I122" s="192"/>
      <c r="J122" s="188" t="str">
        <f t="shared" si="3"/>
        <v/>
      </c>
      <c r="K122" s="189"/>
      <c r="L122" s="190"/>
      <c r="M122" s="191"/>
      <c r="N122" s="191"/>
      <c r="O122" s="191"/>
      <c r="P122" s="191"/>
      <c r="Q122" s="191"/>
      <c r="R122" s="191"/>
      <c r="S122" s="191"/>
      <c r="T122" s="191"/>
      <c r="U122" s="191"/>
      <c r="V122" s="191"/>
    </row>
    <row r="123" spans="1:22" ht="17.25" x14ac:dyDescent="0.25">
      <c r="A123" s="185"/>
      <c r="B123" s="187"/>
      <c r="C123" s="186"/>
      <c r="D123" s="187"/>
      <c r="E123" s="187"/>
      <c r="F123" s="187"/>
      <c r="G123" s="188"/>
      <c r="H123" s="188"/>
      <c r="I123" s="192"/>
      <c r="J123" s="188" t="str">
        <f t="shared" si="3"/>
        <v/>
      </c>
      <c r="K123" s="189"/>
      <c r="L123" s="190"/>
      <c r="M123" s="191"/>
      <c r="N123" s="191"/>
      <c r="O123" s="191"/>
      <c r="P123" s="191"/>
      <c r="Q123" s="191"/>
      <c r="R123" s="191"/>
      <c r="S123" s="191"/>
      <c r="T123" s="191"/>
      <c r="U123" s="191"/>
      <c r="V123" s="191"/>
    </row>
    <row r="124" spans="1:22" ht="17.25" x14ac:dyDescent="0.25">
      <c r="A124" s="185"/>
      <c r="B124" s="187"/>
      <c r="C124" s="186"/>
      <c r="D124" s="187"/>
      <c r="E124" s="187"/>
      <c r="F124" s="187"/>
      <c r="G124" s="188"/>
      <c r="H124" s="188"/>
      <c r="I124" s="192"/>
      <c r="J124" s="188" t="str">
        <f t="shared" si="3"/>
        <v/>
      </c>
      <c r="K124" s="189"/>
      <c r="L124" s="190"/>
      <c r="M124" s="191"/>
      <c r="N124" s="191"/>
      <c r="O124" s="191"/>
      <c r="P124" s="191"/>
      <c r="Q124" s="191"/>
      <c r="R124" s="191"/>
      <c r="S124" s="191"/>
      <c r="T124" s="191"/>
      <c r="U124" s="191"/>
      <c r="V124" s="191"/>
    </row>
    <row r="125" spans="1:22" ht="17.25" x14ac:dyDescent="0.25">
      <c r="A125" s="185"/>
      <c r="B125" s="187"/>
      <c r="C125" s="186"/>
      <c r="D125" s="187"/>
      <c r="E125" s="187"/>
      <c r="F125" s="187"/>
      <c r="G125" s="188"/>
      <c r="H125" s="188"/>
      <c r="I125" s="192"/>
      <c r="J125" s="188" t="str">
        <f t="shared" si="3"/>
        <v/>
      </c>
      <c r="K125" s="189"/>
      <c r="L125" s="190"/>
      <c r="M125" s="191"/>
      <c r="N125" s="191"/>
      <c r="O125" s="191"/>
      <c r="P125" s="191"/>
      <c r="Q125" s="191"/>
      <c r="R125" s="191"/>
      <c r="S125" s="191"/>
      <c r="T125" s="191"/>
      <c r="U125" s="191"/>
      <c r="V125" s="191"/>
    </row>
    <row r="126" spans="1:22" ht="17.25" x14ac:dyDescent="0.25">
      <c r="A126" s="185"/>
      <c r="B126" s="187"/>
      <c r="C126" s="186"/>
      <c r="D126" s="187"/>
      <c r="E126" s="187"/>
      <c r="F126" s="187"/>
      <c r="G126" s="188"/>
      <c r="H126" s="188"/>
      <c r="I126" s="192"/>
      <c r="J126" s="188" t="str">
        <f t="shared" si="3"/>
        <v/>
      </c>
      <c r="K126" s="189"/>
      <c r="L126" s="190"/>
      <c r="M126" s="191"/>
      <c r="N126" s="191"/>
      <c r="O126" s="191"/>
      <c r="P126" s="191"/>
      <c r="Q126" s="191"/>
      <c r="R126" s="191"/>
      <c r="S126" s="191"/>
      <c r="T126" s="191"/>
      <c r="U126" s="191"/>
      <c r="V126" s="191"/>
    </row>
    <row r="127" spans="1:22" ht="17.25" x14ac:dyDescent="0.25">
      <c r="A127" s="185"/>
      <c r="B127" s="187"/>
      <c r="C127" s="186"/>
      <c r="D127" s="187"/>
      <c r="E127" s="187"/>
      <c r="F127" s="187"/>
      <c r="G127" s="188"/>
      <c r="H127" s="188"/>
      <c r="I127" s="192"/>
      <c r="J127" s="188" t="str">
        <f t="shared" si="3"/>
        <v/>
      </c>
      <c r="K127" s="189"/>
      <c r="L127" s="190"/>
      <c r="M127" s="191"/>
      <c r="N127" s="191"/>
      <c r="O127" s="191"/>
      <c r="P127" s="191"/>
      <c r="Q127" s="191"/>
      <c r="R127" s="191"/>
      <c r="S127" s="191"/>
      <c r="T127" s="191"/>
      <c r="U127" s="191"/>
      <c r="V127" s="191"/>
    </row>
    <row r="128" spans="1:22" ht="17.25" x14ac:dyDescent="0.25">
      <c r="A128" s="185"/>
      <c r="B128" s="187"/>
      <c r="C128" s="186"/>
      <c r="D128" s="187"/>
      <c r="E128" s="187"/>
      <c r="F128" s="187"/>
      <c r="G128" s="188"/>
      <c r="H128" s="188"/>
      <c r="I128" s="192"/>
      <c r="J128" s="188" t="str">
        <f t="shared" si="3"/>
        <v/>
      </c>
      <c r="K128" s="189"/>
      <c r="L128" s="190"/>
      <c r="M128" s="191"/>
      <c r="N128" s="191"/>
      <c r="O128" s="191"/>
      <c r="P128" s="191"/>
      <c r="Q128" s="191"/>
      <c r="R128" s="191"/>
      <c r="S128" s="191"/>
      <c r="T128" s="191"/>
      <c r="U128" s="191"/>
      <c r="V128" s="191"/>
    </row>
    <row r="129" spans="1:22" ht="17.25" x14ac:dyDescent="0.25">
      <c r="A129" s="185"/>
      <c r="B129" s="187"/>
      <c r="C129" s="186"/>
      <c r="D129" s="187"/>
      <c r="E129" s="187"/>
      <c r="F129" s="187"/>
      <c r="G129" s="188"/>
      <c r="H129" s="188"/>
      <c r="I129" s="192"/>
      <c r="J129" s="188" t="str">
        <f t="shared" si="3"/>
        <v/>
      </c>
      <c r="K129" s="189"/>
      <c r="L129" s="190"/>
      <c r="M129" s="191"/>
      <c r="N129" s="191"/>
      <c r="O129" s="191"/>
      <c r="P129" s="191"/>
      <c r="Q129" s="191"/>
      <c r="R129" s="191"/>
      <c r="S129" s="191"/>
      <c r="T129" s="191"/>
      <c r="U129" s="191"/>
      <c r="V129" s="191"/>
    </row>
    <row r="130" spans="1:22" ht="17.25" x14ac:dyDescent="0.25">
      <c r="A130" s="185"/>
      <c r="B130" s="187"/>
      <c r="C130" s="186"/>
      <c r="D130" s="187"/>
      <c r="E130" s="187"/>
      <c r="F130" s="187"/>
      <c r="G130" s="188"/>
      <c r="H130" s="188"/>
      <c r="I130" s="192"/>
      <c r="J130" s="188" t="str">
        <f t="shared" si="3"/>
        <v/>
      </c>
      <c r="K130" s="189"/>
      <c r="L130" s="190"/>
      <c r="M130" s="191"/>
      <c r="N130" s="191"/>
      <c r="O130" s="191"/>
      <c r="P130" s="191"/>
      <c r="Q130" s="191"/>
      <c r="R130" s="191"/>
      <c r="S130" s="191"/>
      <c r="T130" s="191"/>
      <c r="U130" s="191"/>
      <c r="V130" s="191"/>
    </row>
    <row r="131" spans="1:22" ht="17.25" x14ac:dyDescent="0.25">
      <c r="A131" s="185"/>
      <c r="B131" s="187"/>
      <c r="C131" s="186"/>
      <c r="D131" s="187"/>
      <c r="E131" s="187"/>
      <c r="F131" s="187"/>
      <c r="G131" s="188"/>
      <c r="H131" s="188"/>
      <c r="I131" s="192"/>
      <c r="J131" s="188" t="str">
        <f t="shared" si="3"/>
        <v/>
      </c>
      <c r="K131" s="189"/>
      <c r="L131" s="190"/>
      <c r="M131" s="191"/>
      <c r="N131" s="191"/>
      <c r="O131" s="191"/>
      <c r="P131" s="191"/>
      <c r="Q131" s="191"/>
      <c r="R131" s="191"/>
      <c r="S131" s="191"/>
      <c r="T131" s="191"/>
      <c r="U131" s="191"/>
      <c r="V131" s="191"/>
    </row>
    <row r="132" spans="1:22" ht="17.25" x14ac:dyDescent="0.25">
      <c r="A132" s="185"/>
      <c r="B132" s="187"/>
      <c r="C132" s="186"/>
      <c r="D132" s="187"/>
      <c r="E132" s="187"/>
      <c r="F132" s="187"/>
      <c r="G132" s="188"/>
      <c r="H132" s="188"/>
      <c r="I132" s="192"/>
      <c r="J132" s="188" t="str">
        <f t="shared" si="3"/>
        <v/>
      </c>
      <c r="K132" s="189"/>
      <c r="L132" s="190"/>
      <c r="M132" s="191"/>
      <c r="N132" s="191"/>
      <c r="O132" s="191"/>
      <c r="P132" s="191"/>
      <c r="Q132" s="191"/>
      <c r="R132" s="191"/>
      <c r="S132" s="191"/>
      <c r="T132" s="191"/>
      <c r="U132" s="191"/>
      <c r="V132" s="191"/>
    </row>
    <row r="133" spans="1:22" ht="17.25" x14ac:dyDescent="0.25">
      <c r="A133" s="185"/>
      <c r="B133" s="187"/>
      <c r="C133" s="186"/>
      <c r="D133" s="187"/>
      <c r="E133" s="187"/>
      <c r="F133" s="187"/>
      <c r="G133" s="188"/>
      <c r="H133" s="188"/>
      <c r="I133" s="192"/>
      <c r="J133" s="188" t="str">
        <f t="shared" si="3"/>
        <v/>
      </c>
      <c r="K133" s="189"/>
      <c r="L133" s="190"/>
      <c r="M133" s="191"/>
      <c r="N133" s="191"/>
      <c r="O133" s="191"/>
      <c r="P133" s="191"/>
      <c r="Q133" s="191"/>
      <c r="R133" s="191"/>
      <c r="S133" s="191"/>
      <c r="T133" s="191"/>
      <c r="U133" s="191"/>
      <c r="V133" s="191"/>
    </row>
    <row r="134" spans="1:22" ht="17.25" x14ac:dyDescent="0.25">
      <c r="A134" s="185"/>
      <c r="B134" s="187"/>
      <c r="C134" s="186"/>
      <c r="D134" s="187"/>
      <c r="E134" s="187"/>
      <c r="F134" s="187"/>
      <c r="G134" s="188"/>
      <c r="H134" s="188"/>
      <c r="I134" s="192"/>
      <c r="J134" s="188" t="str">
        <f t="shared" si="3"/>
        <v/>
      </c>
      <c r="K134" s="189"/>
      <c r="L134" s="190"/>
      <c r="M134" s="191"/>
      <c r="N134" s="191"/>
      <c r="O134" s="191"/>
      <c r="P134" s="191"/>
      <c r="Q134" s="191"/>
      <c r="R134" s="191"/>
      <c r="S134" s="191"/>
      <c r="T134" s="191"/>
      <c r="U134" s="191"/>
      <c r="V134" s="191"/>
    </row>
    <row r="135" spans="1:22" ht="17.25" x14ac:dyDescent="0.25">
      <c r="A135" s="185"/>
      <c r="B135" s="187"/>
      <c r="C135" s="186"/>
      <c r="D135" s="187"/>
      <c r="E135" s="187"/>
      <c r="F135" s="187"/>
      <c r="G135" s="188"/>
      <c r="H135" s="188"/>
      <c r="I135" s="192"/>
      <c r="J135" s="188" t="str">
        <f t="shared" si="3"/>
        <v/>
      </c>
      <c r="K135" s="189"/>
      <c r="L135" s="190"/>
      <c r="M135" s="191"/>
      <c r="N135" s="191"/>
      <c r="O135" s="191"/>
      <c r="P135" s="191"/>
      <c r="Q135" s="191"/>
      <c r="R135" s="191"/>
      <c r="S135" s="191"/>
      <c r="T135" s="191"/>
      <c r="U135" s="191"/>
      <c r="V135" s="191"/>
    </row>
    <row r="136" spans="1:22" ht="17.25" x14ac:dyDescent="0.25">
      <c r="A136" s="185"/>
      <c r="B136" s="187"/>
      <c r="C136" s="186"/>
      <c r="D136" s="187"/>
      <c r="E136" s="187"/>
      <c r="F136" s="187"/>
      <c r="G136" s="188"/>
      <c r="H136" s="188"/>
      <c r="I136" s="192"/>
      <c r="J136" s="188" t="str">
        <f t="shared" si="3"/>
        <v/>
      </c>
      <c r="K136" s="189"/>
      <c r="L136" s="190"/>
      <c r="M136" s="191"/>
      <c r="N136" s="191"/>
      <c r="O136" s="191"/>
      <c r="P136" s="191"/>
      <c r="Q136" s="191"/>
      <c r="R136" s="191"/>
      <c r="S136" s="191"/>
      <c r="T136" s="191"/>
      <c r="U136" s="191"/>
      <c r="V136" s="191"/>
    </row>
    <row r="137" spans="1:22" ht="17.25" x14ac:dyDescent="0.25">
      <c r="A137" s="185"/>
      <c r="B137" s="187"/>
      <c r="C137" s="186"/>
      <c r="D137" s="187"/>
      <c r="E137" s="187"/>
      <c r="F137" s="187"/>
      <c r="G137" s="188"/>
      <c r="H137" s="188"/>
      <c r="I137" s="192"/>
      <c r="J137" s="188" t="str">
        <f t="shared" si="3"/>
        <v/>
      </c>
      <c r="K137" s="189"/>
      <c r="L137" s="190"/>
      <c r="M137" s="191"/>
      <c r="N137" s="191"/>
      <c r="O137" s="191"/>
      <c r="P137" s="191"/>
      <c r="Q137" s="191"/>
      <c r="R137" s="191"/>
      <c r="S137" s="191"/>
      <c r="T137" s="191"/>
      <c r="U137" s="191"/>
      <c r="V137" s="191"/>
    </row>
    <row r="138" spans="1:22" ht="17.25" x14ac:dyDescent="0.25">
      <c r="A138" s="185"/>
      <c r="B138" s="187"/>
      <c r="C138" s="186"/>
      <c r="D138" s="187"/>
      <c r="E138" s="187"/>
      <c r="F138" s="187"/>
      <c r="G138" s="188"/>
      <c r="H138" s="188"/>
      <c r="I138" s="192"/>
      <c r="J138" s="188" t="str">
        <f t="shared" si="3"/>
        <v/>
      </c>
      <c r="K138" s="189"/>
      <c r="L138" s="190"/>
      <c r="M138" s="191"/>
      <c r="N138" s="191"/>
      <c r="O138" s="191"/>
      <c r="P138" s="191"/>
      <c r="Q138" s="191"/>
      <c r="R138" s="191"/>
      <c r="S138" s="191"/>
      <c r="T138" s="191"/>
      <c r="U138" s="191"/>
      <c r="V138" s="191"/>
    </row>
    <row r="139" spans="1:22" ht="17.25" x14ac:dyDescent="0.25">
      <c r="A139" s="185"/>
      <c r="B139" s="187"/>
      <c r="C139" s="186"/>
      <c r="D139" s="187"/>
      <c r="E139" s="187"/>
      <c r="F139" s="187"/>
      <c r="G139" s="188"/>
      <c r="H139" s="188"/>
      <c r="I139" s="192"/>
      <c r="J139" s="188" t="str">
        <f t="shared" si="3"/>
        <v/>
      </c>
      <c r="K139" s="189"/>
      <c r="L139" s="190"/>
      <c r="M139" s="191"/>
      <c r="N139" s="191"/>
      <c r="O139" s="191"/>
      <c r="P139" s="191"/>
      <c r="Q139" s="191"/>
      <c r="R139" s="191"/>
      <c r="S139" s="191"/>
      <c r="T139" s="191"/>
      <c r="U139" s="191"/>
      <c r="V139" s="191"/>
    </row>
    <row r="140" spans="1:22" ht="17.25" x14ac:dyDescent="0.25">
      <c r="A140" s="185"/>
      <c r="B140" s="187"/>
      <c r="C140" s="186"/>
      <c r="D140" s="187"/>
      <c r="E140" s="187"/>
      <c r="F140" s="187"/>
      <c r="G140" s="188"/>
      <c r="H140" s="188"/>
      <c r="I140" s="192"/>
      <c r="J140" s="188" t="str">
        <f t="shared" si="3"/>
        <v/>
      </c>
      <c r="K140" s="189"/>
      <c r="L140" s="190"/>
      <c r="M140" s="191"/>
      <c r="N140" s="191"/>
      <c r="O140" s="191"/>
      <c r="P140" s="191"/>
      <c r="Q140" s="191"/>
      <c r="R140" s="191"/>
      <c r="S140" s="191"/>
      <c r="T140" s="191"/>
      <c r="U140" s="191"/>
      <c r="V140" s="191"/>
    </row>
    <row r="141" spans="1:22" ht="17.25" x14ac:dyDescent="0.25">
      <c r="A141" s="185"/>
      <c r="B141" s="187"/>
      <c r="C141" s="186"/>
      <c r="D141" s="187"/>
      <c r="E141" s="187"/>
      <c r="F141" s="187"/>
      <c r="G141" s="188"/>
      <c r="H141" s="188"/>
      <c r="I141" s="192"/>
      <c r="J141" s="188" t="str">
        <f t="shared" si="3"/>
        <v/>
      </c>
      <c r="K141" s="189"/>
      <c r="L141" s="190"/>
      <c r="M141" s="191"/>
      <c r="N141" s="191"/>
      <c r="O141" s="191"/>
      <c r="P141" s="191"/>
      <c r="Q141" s="191"/>
      <c r="R141" s="191"/>
      <c r="S141" s="191"/>
      <c r="T141" s="191"/>
      <c r="U141" s="191"/>
      <c r="V141" s="191"/>
    </row>
    <row r="142" spans="1:22" ht="17.25" x14ac:dyDescent="0.25">
      <c r="A142" s="185"/>
      <c r="B142" s="187"/>
      <c r="C142" s="186"/>
      <c r="D142" s="187"/>
      <c r="E142" s="187"/>
      <c r="F142" s="187"/>
      <c r="G142" s="188"/>
      <c r="H142" s="188"/>
      <c r="I142" s="192"/>
      <c r="J142" s="188" t="str">
        <f t="shared" si="3"/>
        <v/>
      </c>
      <c r="K142" s="189"/>
      <c r="L142" s="190"/>
      <c r="M142" s="191"/>
      <c r="N142" s="191"/>
      <c r="O142" s="191"/>
      <c r="P142" s="191"/>
      <c r="Q142" s="191"/>
      <c r="R142" s="191"/>
      <c r="S142" s="191"/>
      <c r="T142" s="191"/>
      <c r="U142" s="191"/>
      <c r="V142" s="191"/>
    </row>
    <row r="143" spans="1:22" ht="17.25" x14ac:dyDescent="0.25">
      <c r="A143" s="185"/>
      <c r="B143" s="187"/>
      <c r="C143" s="186"/>
      <c r="D143" s="187"/>
      <c r="E143" s="187"/>
      <c r="F143" s="187"/>
      <c r="G143" s="188"/>
      <c r="H143" s="188"/>
      <c r="I143" s="192"/>
      <c r="J143" s="188" t="str">
        <f t="shared" ref="J143:J150" si="4">IF(MAX(D143:F143)&gt;0,MAX(D143:F143),"")</f>
        <v/>
      </c>
      <c r="K143" s="189"/>
      <c r="L143" s="190"/>
      <c r="M143" s="191"/>
      <c r="N143" s="191"/>
      <c r="O143" s="191"/>
      <c r="P143" s="191"/>
      <c r="Q143" s="191"/>
      <c r="R143" s="191"/>
      <c r="S143" s="191"/>
      <c r="T143" s="191"/>
      <c r="U143" s="191"/>
      <c r="V143" s="191"/>
    </row>
    <row r="144" spans="1:22" ht="17.25" x14ac:dyDescent="0.25">
      <c r="A144" s="185"/>
      <c r="B144" s="187"/>
      <c r="C144" s="186"/>
      <c r="D144" s="187"/>
      <c r="E144" s="187"/>
      <c r="F144" s="187"/>
      <c r="G144" s="188"/>
      <c r="H144" s="188"/>
      <c r="I144" s="192"/>
      <c r="J144" s="188" t="str">
        <f t="shared" si="4"/>
        <v/>
      </c>
      <c r="K144" s="189"/>
      <c r="L144" s="190"/>
      <c r="M144" s="191"/>
      <c r="N144" s="191"/>
      <c r="O144" s="191"/>
      <c r="P144" s="191"/>
      <c r="Q144" s="191"/>
      <c r="R144" s="191"/>
      <c r="S144" s="191"/>
      <c r="T144" s="191"/>
      <c r="U144" s="191"/>
      <c r="V144" s="191"/>
    </row>
    <row r="145" spans="1:22" ht="17.25" x14ac:dyDescent="0.25">
      <c r="A145" s="185"/>
      <c r="B145" s="187"/>
      <c r="C145" s="186"/>
      <c r="D145" s="187"/>
      <c r="E145" s="187"/>
      <c r="F145" s="187"/>
      <c r="G145" s="188"/>
      <c r="H145" s="188"/>
      <c r="I145" s="192"/>
      <c r="J145" s="188" t="str">
        <f t="shared" si="4"/>
        <v/>
      </c>
      <c r="K145" s="189"/>
      <c r="L145" s="190"/>
      <c r="M145" s="191"/>
      <c r="N145" s="191"/>
      <c r="O145" s="191"/>
      <c r="P145" s="191"/>
      <c r="Q145" s="191"/>
      <c r="R145" s="191"/>
      <c r="S145" s="191"/>
      <c r="T145" s="191"/>
      <c r="U145" s="191"/>
      <c r="V145" s="191"/>
    </row>
    <row r="146" spans="1:22" ht="17.25" x14ac:dyDescent="0.25">
      <c r="A146" s="185"/>
      <c r="B146" s="187"/>
      <c r="C146" s="186"/>
      <c r="D146" s="187"/>
      <c r="E146" s="187"/>
      <c r="F146" s="187"/>
      <c r="G146" s="188"/>
      <c r="H146" s="188"/>
      <c r="I146" s="192"/>
      <c r="J146" s="188" t="str">
        <f t="shared" si="4"/>
        <v/>
      </c>
      <c r="K146" s="189"/>
      <c r="L146" s="190"/>
      <c r="M146" s="191"/>
      <c r="N146" s="191"/>
      <c r="O146" s="191"/>
      <c r="P146" s="191"/>
      <c r="Q146" s="191"/>
      <c r="R146" s="191"/>
      <c r="S146" s="191"/>
      <c r="T146" s="191"/>
      <c r="U146" s="191"/>
      <c r="V146" s="191"/>
    </row>
    <row r="147" spans="1:22" ht="17.25" x14ac:dyDescent="0.25">
      <c r="A147" s="185"/>
      <c r="B147" s="187"/>
      <c r="C147" s="186"/>
      <c r="D147" s="187"/>
      <c r="E147" s="187"/>
      <c r="F147" s="187"/>
      <c r="G147" s="188"/>
      <c r="H147" s="188"/>
      <c r="I147" s="192"/>
      <c r="J147" s="188" t="str">
        <f t="shared" si="4"/>
        <v/>
      </c>
      <c r="K147" s="189"/>
      <c r="L147" s="190"/>
      <c r="M147" s="191"/>
      <c r="N147" s="191"/>
      <c r="O147" s="191"/>
      <c r="P147" s="191"/>
      <c r="Q147" s="191"/>
      <c r="R147" s="191"/>
      <c r="S147" s="191"/>
      <c r="T147" s="191"/>
      <c r="U147" s="191"/>
      <c r="V147" s="191"/>
    </row>
    <row r="148" spans="1:22" ht="17.25" x14ac:dyDescent="0.25">
      <c r="A148" s="185"/>
      <c r="B148" s="187"/>
      <c r="C148" s="186"/>
      <c r="D148" s="187"/>
      <c r="E148" s="187"/>
      <c r="F148" s="187"/>
      <c r="G148" s="188"/>
      <c r="H148" s="188"/>
      <c r="I148" s="192"/>
      <c r="J148" s="188" t="str">
        <f t="shared" si="4"/>
        <v/>
      </c>
      <c r="K148" s="189"/>
      <c r="L148" s="190"/>
      <c r="M148" s="191"/>
      <c r="N148" s="191"/>
      <c r="O148" s="191"/>
      <c r="P148" s="191"/>
      <c r="Q148" s="191"/>
      <c r="R148" s="191"/>
      <c r="S148" s="191"/>
      <c r="T148" s="191"/>
      <c r="U148" s="191"/>
      <c r="V148" s="191"/>
    </row>
    <row r="149" spans="1:22" ht="17.25" x14ac:dyDescent="0.25">
      <c r="A149" s="185"/>
      <c r="B149" s="187"/>
      <c r="C149" s="186"/>
      <c r="D149" s="187"/>
      <c r="E149" s="187"/>
      <c r="F149" s="187"/>
      <c r="G149" s="188"/>
      <c r="H149" s="188"/>
      <c r="I149" s="192"/>
      <c r="J149" s="188" t="str">
        <f t="shared" si="4"/>
        <v/>
      </c>
      <c r="K149" s="189"/>
      <c r="L149" s="190"/>
      <c r="M149" s="191"/>
      <c r="N149" s="191"/>
      <c r="O149" s="191"/>
      <c r="P149" s="191"/>
      <c r="Q149" s="191"/>
      <c r="R149" s="191"/>
      <c r="S149" s="191"/>
      <c r="T149" s="191"/>
      <c r="U149" s="191"/>
      <c r="V149" s="191"/>
    </row>
    <row r="150" spans="1:22" ht="17.25" x14ac:dyDescent="0.25">
      <c r="A150" s="185"/>
      <c r="B150" s="187"/>
      <c r="C150" s="186"/>
      <c r="D150" s="187"/>
      <c r="E150" s="187"/>
      <c r="F150" s="187"/>
      <c r="G150" s="188"/>
      <c r="H150" s="188"/>
      <c r="I150" s="192"/>
      <c r="J150" s="188" t="str">
        <f t="shared" si="4"/>
        <v/>
      </c>
      <c r="K150" s="189"/>
      <c r="L150" s="190"/>
      <c r="M150" s="191"/>
      <c r="N150" s="191"/>
      <c r="O150" s="191"/>
      <c r="P150" s="191"/>
      <c r="Q150" s="191"/>
      <c r="R150" s="191"/>
      <c r="S150" s="191"/>
      <c r="T150" s="191"/>
      <c r="U150" s="191"/>
      <c r="V150" s="191"/>
    </row>
    <row r="151" spans="1:22" ht="17.25" x14ac:dyDescent="0.25">
      <c r="A151" s="193"/>
      <c r="B151" s="187"/>
      <c r="C151" s="186"/>
      <c r="D151" s="187"/>
      <c r="E151" s="187"/>
      <c r="F151" s="187"/>
      <c r="G151" s="188"/>
      <c r="H151" s="188"/>
      <c r="I151" s="192"/>
      <c r="J151" s="188"/>
      <c r="K151" s="189"/>
      <c r="L151" s="190"/>
      <c r="M151" s="191"/>
      <c r="N151" s="191"/>
      <c r="O151" s="191"/>
      <c r="P151" s="191"/>
      <c r="Q151" s="191"/>
      <c r="R151" s="191"/>
      <c r="S151" s="191"/>
      <c r="T151" s="191"/>
      <c r="U151" s="191"/>
      <c r="V151" s="191"/>
    </row>
    <row r="152" spans="1:22" ht="17.25" x14ac:dyDescent="0.25">
      <c r="A152" s="193"/>
      <c r="B152" s="187"/>
      <c r="C152" s="186"/>
      <c r="D152" s="187"/>
      <c r="E152" s="187"/>
      <c r="F152" s="187"/>
      <c r="G152" s="188"/>
      <c r="H152" s="188"/>
      <c r="I152" s="192"/>
      <c r="J152" s="188"/>
      <c r="K152" s="189"/>
      <c r="L152" s="190"/>
      <c r="M152" s="191"/>
      <c r="N152" s="191"/>
      <c r="O152" s="191"/>
      <c r="P152" s="191"/>
      <c r="Q152" s="191"/>
      <c r="R152" s="191"/>
      <c r="S152" s="191"/>
      <c r="T152" s="191"/>
      <c r="U152" s="191"/>
      <c r="V152" s="191"/>
    </row>
    <row r="153" spans="1:22" ht="17.25" x14ac:dyDescent="0.25">
      <c r="A153" s="193"/>
      <c r="B153" s="187"/>
      <c r="C153" s="186"/>
      <c r="D153" s="187"/>
      <c r="E153" s="187"/>
      <c r="F153" s="187"/>
      <c r="G153" s="188"/>
      <c r="H153" s="188"/>
      <c r="I153" s="192"/>
      <c r="J153" s="188"/>
      <c r="K153" s="189"/>
      <c r="L153" s="190"/>
      <c r="M153" s="191"/>
      <c r="N153" s="191"/>
      <c r="O153" s="191"/>
      <c r="P153" s="191"/>
      <c r="Q153" s="191"/>
      <c r="R153" s="191"/>
      <c r="S153" s="191"/>
      <c r="T153" s="191"/>
      <c r="U153" s="191"/>
      <c r="V153" s="191"/>
    </row>
    <row r="154" spans="1:22" ht="17.25" x14ac:dyDescent="0.25">
      <c r="A154" s="193"/>
      <c r="B154" s="187"/>
      <c r="C154" s="186"/>
      <c r="D154" s="187"/>
      <c r="E154" s="187"/>
      <c r="F154" s="187"/>
      <c r="G154" s="188"/>
      <c r="H154" s="188"/>
      <c r="I154" s="192"/>
      <c r="J154" s="188"/>
      <c r="K154" s="189"/>
      <c r="L154" s="190"/>
      <c r="M154" s="191"/>
      <c r="N154" s="191"/>
      <c r="O154" s="191"/>
      <c r="P154" s="191"/>
      <c r="Q154" s="191"/>
      <c r="R154" s="191"/>
      <c r="S154" s="191"/>
      <c r="T154" s="191"/>
      <c r="U154" s="191"/>
      <c r="V154" s="191"/>
    </row>
    <row r="155" spans="1:22" ht="17.25" x14ac:dyDescent="0.25">
      <c r="A155" s="193"/>
      <c r="B155" s="187"/>
      <c r="C155" s="186"/>
      <c r="D155" s="187"/>
      <c r="E155" s="187"/>
      <c r="F155" s="187"/>
      <c r="G155" s="188"/>
      <c r="H155" s="188"/>
      <c r="I155" s="192"/>
      <c r="J155" s="188"/>
      <c r="K155" s="189"/>
      <c r="L155" s="190"/>
      <c r="M155" s="191"/>
      <c r="N155" s="191"/>
      <c r="O155" s="191"/>
      <c r="P155" s="191"/>
      <c r="Q155" s="191"/>
      <c r="R155" s="191"/>
      <c r="S155" s="191"/>
      <c r="T155" s="191"/>
      <c r="U155" s="191"/>
      <c r="V155" s="191"/>
    </row>
    <row r="156" spans="1:22" ht="17.25" x14ac:dyDescent="0.25">
      <c r="A156" s="193"/>
      <c r="B156" s="187"/>
      <c r="C156" s="186"/>
      <c r="D156" s="187"/>
      <c r="E156" s="187"/>
      <c r="F156" s="187"/>
      <c r="G156" s="188"/>
      <c r="H156" s="188"/>
      <c r="I156" s="192"/>
      <c r="J156" s="188"/>
      <c r="K156" s="189"/>
      <c r="L156" s="190"/>
      <c r="M156" s="191"/>
      <c r="N156" s="191"/>
      <c r="O156" s="191"/>
      <c r="P156" s="191"/>
      <c r="Q156" s="191"/>
      <c r="R156" s="191"/>
      <c r="S156" s="191"/>
      <c r="T156" s="191"/>
      <c r="U156" s="191"/>
      <c r="V156" s="191"/>
    </row>
    <row r="157" spans="1:22" ht="17.25" x14ac:dyDescent="0.25">
      <c r="A157" s="193"/>
      <c r="B157" s="187"/>
      <c r="C157" s="186"/>
      <c r="D157" s="187"/>
      <c r="E157" s="187"/>
      <c r="F157" s="187"/>
      <c r="G157" s="188"/>
      <c r="H157" s="188"/>
      <c r="I157" s="192"/>
      <c r="J157" s="188"/>
      <c r="K157" s="189"/>
      <c r="L157" s="190"/>
      <c r="M157" s="191"/>
      <c r="N157" s="191"/>
      <c r="O157" s="191"/>
      <c r="P157" s="191"/>
      <c r="Q157" s="191"/>
      <c r="R157" s="191"/>
      <c r="S157" s="191"/>
      <c r="T157" s="191"/>
      <c r="U157" s="191"/>
      <c r="V157" s="191"/>
    </row>
    <row r="158" spans="1:22" ht="17.25" x14ac:dyDescent="0.25">
      <c r="A158" s="193"/>
      <c r="B158" s="187"/>
      <c r="C158" s="186"/>
      <c r="D158" s="187"/>
      <c r="E158" s="187"/>
      <c r="F158" s="187"/>
      <c r="G158" s="188"/>
      <c r="H158" s="188"/>
      <c r="I158" s="192"/>
      <c r="J158" s="188"/>
      <c r="K158" s="189"/>
      <c r="L158" s="190"/>
      <c r="M158" s="191"/>
      <c r="N158" s="191"/>
      <c r="O158" s="191"/>
      <c r="P158" s="191"/>
      <c r="Q158" s="191"/>
      <c r="R158" s="191"/>
      <c r="S158" s="191"/>
      <c r="T158" s="191"/>
      <c r="U158" s="191"/>
      <c r="V158" s="191"/>
    </row>
    <row r="159" spans="1:22" ht="17.25" x14ac:dyDescent="0.25">
      <c r="A159" s="193"/>
      <c r="B159" s="187"/>
      <c r="C159" s="186"/>
      <c r="D159" s="187"/>
      <c r="E159" s="187"/>
      <c r="F159" s="187"/>
      <c r="G159" s="188"/>
      <c r="H159" s="188"/>
      <c r="I159" s="192"/>
      <c r="J159" s="188"/>
      <c r="K159" s="189"/>
      <c r="L159" s="190"/>
      <c r="M159" s="191"/>
      <c r="N159" s="191"/>
      <c r="O159" s="191"/>
      <c r="P159" s="191"/>
      <c r="Q159" s="191"/>
      <c r="R159" s="191"/>
      <c r="S159" s="191"/>
      <c r="T159" s="191"/>
      <c r="U159" s="191"/>
      <c r="V159" s="191"/>
    </row>
    <row r="160" spans="1:22" ht="17.25" x14ac:dyDescent="0.25">
      <c r="A160" s="193"/>
      <c r="B160" s="187"/>
      <c r="C160" s="186"/>
      <c r="D160" s="187"/>
      <c r="E160" s="187"/>
      <c r="F160" s="187"/>
      <c r="G160" s="188"/>
      <c r="H160" s="188"/>
      <c r="I160" s="192"/>
      <c r="J160" s="188"/>
      <c r="K160" s="189"/>
      <c r="L160" s="190"/>
      <c r="M160" s="191"/>
      <c r="N160" s="191"/>
      <c r="O160" s="191"/>
      <c r="P160" s="191"/>
      <c r="Q160" s="191"/>
      <c r="R160" s="191"/>
      <c r="S160" s="191"/>
      <c r="T160" s="191"/>
      <c r="U160" s="191"/>
      <c r="V160" s="191"/>
    </row>
    <row r="161" spans="1:22" ht="17.25" x14ac:dyDescent="0.25">
      <c r="A161" s="193"/>
      <c r="B161" s="187"/>
      <c r="C161" s="186"/>
      <c r="D161" s="187"/>
      <c r="E161" s="187"/>
      <c r="F161" s="187"/>
      <c r="G161" s="188"/>
      <c r="H161" s="188"/>
      <c r="I161" s="192"/>
      <c r="J161" s="188"/>
      <c r="K161" s="189"/>
      <c r="L161" s="190"/>
      <c r="M161" s="191"/>
      <c r="N161" s="191"/>
      <c r="O161" s="191"/>
      <c r="P161" s="191"/>
      <c r="Q161" s="191"/>
      <c r="R161" s="191"/>
      <c r="S161" s="191"/>
      <c r="T161" s="191"/>
      <c r="U161" s="191"/>
      <c r="V161" s="191"/>
    </row>
    <row r="162" spans="1:22" ht="17.25" x14ac:dyDescent="0.25">
      <c r="A162" s="193"/>
      <c r="B162" s="187"/>
      <c r="C162" s="186"/>
      <c r="D162" s="187"/>
      <c r="E162" s="187"/>
      <c r="F162" s="187"/>
      <c r="G162" s="188"/>
      <c r="H162" s="188"/>
      <c r="I162" s="192"/>
      <c r="J162" s="188"/>
      <c r="K162" s="189"/>
      <c r="L162" s="190"/>
      <c r="M162" s="191"/>
      <c r="N162" s="191"/>
      <c r="O162" s="191"/>
      <c r="P162" s="191"/>
      <c r="Q162" s="191"/>
      <c r="R162" s="191"/>
      <c r="S162" s="191"/>
      <c r="T162" s="191"/>
      <c r="U162" s="191"/>
      <c r="V162" s="191"/>
    </row>
    <row r="163" spans="1:22" ht="17.25" x14ac:dyDescent="0.25">
      <c r="A163" s="193"/>
      <c r="B163" s="187"/>
      <c r="C163" s="186"/>
      <c r="D163" s="187"/>
      <c r="E163" s="187"/>
      <c r="F163" s="187"/>
      <c r="G163" s="188"/>
      <c r="H163" s="188"/>
      <c r="I163" s="192"/>
      <c r="J163" s="188"/>
      <c r="K163" s="189"/>
      <c r="L163" s="190"/>
      <c r="M163" s="191"/>
      <c r="N163" s="191"/>
      <c r="O163" s="191"/>
      <c r="P163" s="191"/>
      <c r="Q163" s="191"/>
      <c r="R163" s="191"/>
      <c r="S163" s="191"/>
      <c r="T163" s="191"/>
      <c r="U163" s="191"/>
      <c r="V163" s="191"/>
    </row>
    <row r="164" spans="1:22" ht="17.25" x14ac:dyDescent="0.25">
      <c r="A164" s="193"/>
      <c r="B164" s="187"/>
      <c r="C164" s="186"/>
      <c r="D164" s="187"/>
      <c r="E164" s="187"/>
      <c r="F164" s="187"/>
      <c r="G164" s="188"/>
      <c r="H164" s="188"/>
      <c r="I164" s="192"/>
      <c r="J164" s="188"/>
      <c r="K164" s="189"/>
      <c r="L164" s="190"/>
      <c r="M164" s="191"/>
      <c r="N164" s="191"/>
      <c r="O164" s="191"/>
      <c r="P164" s="191"/>
      <c r="Q164" s="191"/>
      <c r="R164" s="191"/>
      <c r="S164" s="191"/>
      <c r="T164" s="191"/>
      <c r="U164" s="191"/>
      <c r="V164" s="191"/>
    </row>
    <row r="165" spans="1:22" ht="17.25" x14ac:dyDescent="0.25">
      <c r="A165" s="193"/>
      <c r="B165" s="187"/>
      <c r="C165" s="186"/>
      <c r="D165" s="187"/>
      <c r="E165" s="187"/>
      <c r="F165" s="187"/>
      <c r="G165" s="188"/>
      <c r="H165" s="188"/>
      <c r="I165" s="192"/>
      <c r="J165" s="188"/>
      <c r="K165" s="189"/>
      <c r="L165" s="190"/>
      <c r="M165" s="191"/>
      <c r="N165" s="191"/>
      <c r="O165" s="191"/>
      <c r="P165" s="191"/>
      <c r="Q165" s="191"/>
      <c r="R165" s="191"/>
      <c r="S165" s="191"/>
      <c r="T165" s="191"/>
      <c r="U165" s="191"/>
      <c r="V165" s="191"/>
    </row>
    <row r="166" spans="1:22" ht="17.25" x14ac:dyDescent="0.25">
      <c r="A166" s="193"/>
      <c r="B166" s="187"/>
      <c r="C166" s="186"/>
      <c r="D166" s="187"/>
      <c r="E166" s="187"/>
      <c r="F166" s="187"/>
      <c r="G166" s="188"/>
      <c r="H166" s="188"/>
      <c r="I166" s="192"/>
      <c r="J166" s="188"/>
      <c r="K166" s="189"/>
      <c r="L166" s="190"/>
      <c r="M166" s="191"/>
      <c r="N166" s="191"/>
      <c r="O166" s="191"/>
      <c r="P166" s="191"/>
      <c r="Q166" s="191"/>
      <c r="R166" s="191"/>
      <c r="S166" s="191"/>
      <c r="T166" s="191"/>
      <c r="U166" s="191"/>
      <c r="V166" s="191"/>
    </row>
    <row r="167" spans="1:22" ht="17.25" x14ac:dyDescent="0.25">
      <c r="A167" s="193"/>
      <c r="B167" s="187"/>
      <c r="C167" s="186"/>
      <c r="D167" s="187"/>
      <c r="E167" s="187"/>
      <c r="F167" s="187"/>
      <c r="G167" s="188"/>
      <c r="H167" s="188"/>
      <c r="I167" s="192"/>
      <c r="J167" s="188"/>
      <c r="K167" s="189"/>
      <c r="L167" s="190"/>
      <c r="M167" s="191"/>
      <c r="N167" s="191"/>
      <c r="O167" s="191"/>
      <c r="P167" s="191"/>
      <c r="Q167" s="191"/>
      <c r="R167" s="191"/>
      <c r="S167" s="191"/>
      <c r="T167" s="191"/>
      <c r="U167" s="191"/>
      <c r="V167" s="191"/>
    </row>
    <row r="168" spans="1:22" ht="17.25" x14ac:dyDescent="0.25">
      <c r="A168" s="193"/>
      <c r="B168" s="187"/>
      <c r="C168" s="186"/>
      <c r="D168" s="187"/>
      <c r="E168" s="187"/>
      <c r="F168" s="187"/>
      <c r="G168" s="188"/>
      <c r="H168" s="188"/>
      <c r="I168" s="192"/>
      <c r="J168" s="188"/>
      <c r="K168" s="189"/>
      <c r="L168" s="190"/>
      <c r="M168" s="191"/>
      <c r="N168" s="191"/>
      <c r="O168" s="191"/>
      <c r="P168" s="191"/>
      <c r="Q168" s="191"/>
      <c r="R168" s="191"/>
      <c r="S168" s="191"/>
      <c r="T168" s="191"/>
      <c r="U168" s="191"/>
      <c r="V168" s="191"/>
    </row>
    <row r="169" spans="1:22" ht="17.25" x14ac:dyDescent="0.25">
      <c r="A169" s="193"/>
      <c r="B169" s="187"/>
      <c r="C169" s="186"/>
      <c r="D169" s="187"/>
      <c r="E169" s="187"/>
      <c r="F169" s="187"/>
      <c r="G169" s="188"/>
      <c r="H169" s="188"/>
      <c r="I169" s="192"/>
      <c r="J169" s="188"/>
      <c r="K169" s="189"/>
      <c r="L169" s="190"/>
      <c r="M169" s="191"/>
      <c r="N169" s="191"/>
      <c r="O169" s="191"/>
      <c r="P169" s="191"/>
      <c r="Q169" s="191"/>
      <c r="R169" s="191"/>
      <c r="S169" s="191"/>
      <c r="T169" s="191"/>
      <c r="U169" s="191"/>
      <c r="V169" s="191"/>
    </row>
    <row r="170" spans="1:22" ht="17.25" x14ac:dyDescent="0.25">
      <c r="A170" s="193"/>
      <c r="B170" s="187"/>
      <c r="C170" s="186"/>
      <c r="D170" s="187"/>
      <c r="E170" s="187"/>
      <c r="F170" s="187"/>
      <c r="G170" s="188"/>
      <c r="H170" s="188"/>
      <c r="I170" s="192"/>
      <c r="J170" s="188"/>
      <c r="K170" s="189"/>
      <c r="L170" s="190"/>
      <c r="M170" s="191"/>
      <c r="N170" s="191"/>
      <c r="O170" s="191"/>
      <c r="P170" s="191"/>
      <c r="Q170" s="191"/>
      <c r="R170" s="191"/>
      <c r="S170" s="191"/>
      <c r="T170" s="191"/>
      <c r="U170" s="191"/>
      <c r="V170" s="191"/>
    </row>
    <row r="171" spans="1:22" ht="17.25" x14ac:dyDescent="0.25">
      <c r="A171" s="193"/>
      <c r="B171" s="187"/>
      <c r="C171" s="186"/>
      <c r="D171" s="187"/>
      <c r="E171" s="187"/>
      <c r="F171" s="187"/>
      <c r="G171" s="188"/>
      <c r="H171" s="188"/>
      <c r="I171" s="192"/>
      <c r="J171" s="188"/>
      <c r="K171" s="189"/>
      <c r="L171" s="190"/>
      <c r="M171" s="191"/>
      <c r="N171" s="191"/>
      <c r="O171" s="191"/>
      <c r="P171" s="191"/>
      <c r="Q171" s="191"/>
      <c r="R171" s="191"/>
      <c r="S171" s="191"/>
      <c r="T171" s="191"/>
      <c r="U171" s="191"/>
      <c r="V171" s="191"/>
    </row>
    <row r="172" spans="1:22" ht="17.25" x14ac:dyDescent="0.25">
      <c r="A172" s="193"/>
      <c r="B172" s="187"/>
      <c r="C172" s="186"/>
      <c r="D172" s="187"/>
      <c r="E172" s="187"/>
      <c r="F172" s="187"/>
      <c r="G172" s="188"/>
      <c r="H172" s="188"/>
      <c r="I172" s="192"/>
      <c r="J172" s="188"/>
      <c r="K172" s="189"/>
      <c r="L172" s="190"/>
      <c r="M172" s="191"/>
      <c r="N172" s="191"/>
      <c r="O172" s="191"/>
      <c r="P172" s="191"/>
      <c r="Q172" s="191"/>
      <c r="R172" s="191"/>
      <c r="S172" s="191"/>
      <c r="T172" s="191"/>
      <c r="U172" s="191"/>
      <c r="V172" s="191"/>
    </row>
    <row r="173" spans="1:22" ht="17.25" x14ac:dyDescent="0.25">
      <c r="A173" s="193"/>
      <c r="B173" s="187"/>
      <c r="C173" s="186"/>
      <c r="D173" s="187"/>
      <c r="E173" s="187"/>
      <c r="F173" s="187"/>
      <c r="G173" s="188"/>
      <c r="H173" s="188"/>
      <c r="I173" s="192"/>
      <c r="J173" s="188"/>
      <c r="K173" s="189"/>
      <c r="L173" s="190"/>
      <c r="M173" s="191"/>
      <c r="N173" s="191"/>
      <c r="O173" s="191"/>
      <c r="P173" s="191"/>
      <c r="Q173" s="191"/>
      <c r="R173" s="191"/>
      <c r="S173" s="191"/>
      <c r="T173" s="191"/>
      <c r="U173" s="191"/>
      <c r="V173" s="191"/>
    </row>
    <row r="174" spans="1:22" ht="17.25" x14ac:dyDescent="0.25">
      <c r="A174" s="193"/>
      <c r="B174" s="187"/>
      <c r="C174" s="186"/>
      <c r="D174" s="187"/>
      <c r="E174" s="187"/>
      <c r="F174" s="187"/>
      <c r="G174" s="188"/>
      <c r="H174" s="188"/>
      <c r="I174" s="192"/>
      <c r="J174" s="188"/>
      <c r="K174" s="189"/>
      <c r="L174" s="190"/>
      <c r="M174" s="191"/>
      <c r="N174" s="191"/>
      <c r="O174" s="191"/>
      <c r="P174" s="191"/>
      <c r="Q174" s="191"/>
      <c r="R174" s="191"/>
      <c r="S174" s="191"/>
      <c r="T174" s="191"/>
      <c r="U174" s="191"/>
      <c r="V174" s="191"/>
    </row>
    <row r="175" spans="1:22" ht="17.25" x14ac:dyDescent="0.25">
      <c r="A175" s="193"/>
      <c r="B175" s="187"/>
      <c r="C175" s="186"/>
      <c r="D175" s="187"/>
      <c r="E175" s="187"/>
      <c r="F175" s="187"/>
      <c r="G175" s="188"/>
      <c r="H175" s="188"/>
      <c r="I175" s="192"/>
      <c r="J175" s="188"/>
      <c r="K175" s="189"/>
      <c r="L175" s="190"/>
      <c r="M175" s="191"/>
      <c r="N175" s="191"/>
      <c r="O175" s="191"/>
      <c r="P175" s="191"/>
      <c r="Q175" s="191"/>
      <c r="R175" s="191"/>
      <c r="S175" s="191"/>
      <c r="T175" s="191"/>
      <c r="U175" s="191"/>
      <c r="V175" s="191"/>
    </row>
    <row r="176" spans="1:22" ht="17.25" x14ac:dyDescent="0.25">
      <c r="A176" s="193"/>
      <c r="B176" s="187"/>
      <c r="C176" s="186"/>
      <c r="D176" s="187"/>
      <c r="E176" s="187"/>
      <c r="F176" s="187"/>
      <c r="G176" s="188"/>
      <c r="H176" s="188"/>
      <c r="I176" s="192"/>
      <c r="J176" s="188"/>
      <c r="K176" s="189"/>
      <c r="L176" s="190"/>
      <c r="M176" s="191"/>
      <c r="N176" s="191"/>
      <c r="O176" s="191"/>
      <c r="P176" s="191"/>
      <c r="Q176" s="191"/>
      <c r="R176" s="191"/>
      <c r="S176" s="191"/>
      <c r="T176" s="191"/>
      <c r="U176" s="191"/>
      <c r="V176" s="191"/>
    </row>
    <row r="177" spans="1:22" ht="17.25" x14ac:dyDescent="0.25">
      <c r="A177" s="193"/>
      <c r="B177" s="187"/>
      <c r="C177" s="186"/>
      <c r="D177" s="187"/>
      <c r="E177" s="187"/>
      <c r="F177" s="187"/>
      <c r="G177" s="188"/>
      <c r="H177" s="188"/>
      <c r="I177" s="192"/>
      <c r="J177" s="188"/>
      <c r="K177" s="189"/>
      <c r="L177" s="190"/>
      <c r="M177" s="191"/>
      <c r="N177" s="191"/>
      <c r="O177" s="191"/>
      <c r="P177" s="191"/>
      <c r="Q177" s="191"/>
      <c r="R177" s="191"/>
      <c r="S177" s="191"/>
      <c r="T177" s="191"/>
      <c r="U177" s="191"/>
      <c r="V177" s="191"/>
    </row>
    <row r="178" spans="1:22" ht="17.25" x14ac:dyDescent="0.25">
      <c r="A178" s="193"/>
      <c r="B178" s="187"/>
      <c r="C178" s="186"/>
      <c r="D178" s="187"/>
      <c r="E178" s="187"/>
      <c r="F178" s="187"/>
      <c r="G178" s="188"/>
      <c r="H178" s="188"/>
      <c r="I178" s="192"/>
      <c r="J178" s="188"/>
      <c r="K178" s="189"/>
      <c r="L178" s="190"/>
      <c r="M178" s="191"/>
      <c r="N178" s="191"/>
      <c r="O178" s="191"/>
      <c r="P178" s="191"/>
      <c r="Q178" s="191"/>
      <c r="R178" s="191"/>
      <c r="S178" s="191"/>
      <c r="T178" s="191"/>
      <c r="U178" s="191"/>
      <c r="V178" s="191"/>
    </row>
    <row r="179" spans="1:22" ht="17.25" x14ac:dyDescent="0.25">
      <c r="A179" s="193"/>
      <c r="B179" s="187"/>
      <c r="C179" s="186"/>
      <c r="D179" s="187"/>
      <c r="E179" s="187"/>
      <c r="F179" s="187"/>
      <c r="G179" s="188"/>
      <c r="H179" s="188"/>
      <c r="I179" s="192"/>
      <c r="J179" s="188"/>
      <c r="K179" s="189"/>
      <c r="L179" s="190"/>
      <c r="M179" s="191"/>
      <c r="N179" s="191"/>
      <c r="O179" s="191"/>
      <c r="P179" s="191"/>
      <c r="Q179" s="191"/>
      <c r="R179" s="191"/>
      <c r="S179" s="191"/>
      <c r="T179" s="191"/>
      <c r="U179" s="191"/>
      <c r="V179" s="191"/>
    </row>
    <row r="180" spans="1:22" ht="17.25" x14ac:dyDescent="0.25">
      <c r="A180" s="193"/>
      <c r="B180" s="187"/>
      <c r="C180" s="186"/>
      <c r="D180" s="187"/>
      <c r="E180" s="187"/>
      <c r="F180" s="187"/>
      <c r="G180" s="188"/>
      <c r="H180" s="188"/>
      <c r="I180" s="192"/>
      <c r="J180" s="188"/>
      <c r="K180" s="189"/>
      <c r="L180" s="190"/>
      <c r="M180" s="191"/>
      <c r="N180" s="191"/>
      <c r="O180" s="191"/>
      <c r="P180" s="191"/>
      <c r="Q180" s="191"/>
      <c r="R180" s="191"/>
      <c r="S180" s="191"/>
      <c r="T180" s="191"/>
      <c r="U180" s="191"/>
      <c r="V180" s="191"/>
    </row>
    <row r="181" spans="1:22" ht="17.25" x14ac:dyDescent="0.25">
      <c r="A181" s="193"/>
      <c r="B181" s="187"/>
      <c r="C181" s="186"/>
      <c r="D181" s="187"/>
      <c r="E181" s="187"/>
      <c r="F181" s="187"/>
      <c r="G181" s="188"/>
      <c r="H181" s="188"/>
      <c r="I181" s="192"/>
      <c r="J181" s="188"/>
      <c r="K181" s="189"/>
      <c r="L181" s="190"/>
      <c r="M181" s="191"/>
      <c r="N181" s="191"/>
      <c r="O181" s="191"/>
      <c r="P181" s="191"/>
      <c r="Q181" s="191"/>
      <c r="R181" s="191"/>
      <c r="S181" s="191"/>
      <c r="T181" s="191"/>
      <c r="U181" s="191"/>
      <c r="V181" s="191"/>
    </row>
    <row r="182" spans="1:22" ht="17.25" x14ac:dyDescent="0.25">
      <c r="A182" s="193"/>
      <c r="B182" s="187"/>
      <c r="C182" s="186"/>
      <c r="D182" s="187"/>
      <c r="E182" s="187"/>
      <c r="F182" s="187"/>
      <c r="G182" s="188"/>
      <c r="H182" s="188"/>
      <c r="I182" s="192"/>
      <c r="J182" s="188"/>
      <c r="K182" s="189"/>
      <c r="L182" s="190"/>
      <c r="M182" s="191"/>
      <c r="N182" s="191"/>
      <c r="O182" s="191"/>
      <c r="P182" s="191"/>
      <c r="Q182" s="191"/>
      <c r="R182" s="191"/>
      <c r="S182" s="191"/>
      <c r="T182" s="191"/>
      <c r="U182" s="191"/>
      <c r="V182" s="191"/>
    </row>
    <row r="183" spans="1:22" ht="17.25" x14ac:dyDescent="0.25">
      <c r="A183" s="193"/>
      <c r="B183" s="187"/>
      <c r="C183" s="186"/>
      <c r="D183" s="187"/>
      <c r="E183" s="187"/>
      <c r="F183" s="187"/>
      <c r="G183" s="188"/>
      <c r="H183" s="188"/>
      <c r="I183" s="192"/>
      <c r="J183" s="188"/>
      <c r="K183" s="189"/>
      <c r="L183" s="190"/>
      <c r="M183" s="191"/>
      <c r="N183" s="191"/>
      <c r="O183" s="191"/>
      <c r="P183" s="191"/>
      <c r="Q183" s="191"/>
      <c r="R183" s="191"/>
      <c r="S183" s="191"/>
      <c r="T183" s="191"/>
      <c r="U183" s="191"/>
      <c r="V183" s="191"/>
    </row>
    <row r="184" spans="1:22" ht="17.25" x14ac:dyDescent="0.25">
      <c r="A184" s="193"/>
      <c r="B184" s="187"/>
      <c r="C184" s="186"/>
      <c r="D184" s="187"/>
      <c r="E184" s="187"/>
      <c r="F184" s="187"/>
      <c r="G184" s="188"/>
      <c r="H184" s="188"/>
      <c r="I184" s="192"/>
      <c r="J184" s="188"/>
      <c r="K184" s="189"/>
      <c r="L184" s="190"/>
      <c r="M184" s="191"/>
      <c r="N184" s="191"/>
      <c r="O184" s="191"/>
      <c r="P184" s="191"/>
      <c r="Q184" s="191"/>
      <c r="R184" s="191"/>
      <c r="S184" s="191"/>
      <c r="T184" s="191"/>
      <c r="U184" s="191"/>
      <c r="V184" s="191"/>
    </row>
    <row r="185" spans="1:22" ht="17.25" x14ac:dyDescent="0.25">
      <c r="A185" s="193"/>
      <c r="B185" s="187"/>
      <c r="C185" s="186"/>
      <c r="D185" s="187"/>
      <c r="E185" s="187"/>
      <c r="F185" s="187"/>
      <c r="G185" s="188"/>
      <c r="H185" s="188"/>
      <c r="I185" s="192"/>
      <c r="J185" s="188"/>
      <c r="K185" s="189"/>
      <c r="L185" s="190"/>
      <c r="M185" s="191"/>
      <c r="N185" s="191"/>
      <c r="O185" s="191"/>
      <c r="P185" s="191"/>
      <c r="Q185" s="191"/>
      <c r="R185" s="191"/>
      <c r="S185" s="191"/>
      <c r="T185" s="191"/>
      <c r="U185" s="191"/>
      <c r="V185" s="191"/>
    </row>
    <row r="186" spans="1:22" ht="17.25" x14ac:dyDescent="0.25">
      <c r="A186" s="193"/>
      <c r="B186" s="187"/>
      <c r="C186" s="186"/>
      <c r="D186" s="187"/>
      <c r="E186" s="187"/>
      <c r="F186" s="187"/>
      <c r="G186" s="188"/>
      <c r="H186" s="188"/>
      <c r="I186" s="192"/>
      <c r="J186" s="188"/>
      <c r="K186" s="189"/>
      <c r="L186" s="190"/>
      <c r="M186" s="191"/>
      <c r="N186" s="191"/>
      <c r="O186" s="191"/>
      <c r="P186" s="191"/>
      <c r="Q186" s="191"/>
      <c r="R186" s="191"/>
      <c r="S186" s="191"/>
      <c r="T186" s="191"/>
      <c r="U186" s="191"/>
      <c r="V186" s="191"/>
    </row>
    <row r="187" spans="1:22" ht="17.25" x14ac:dyDescent="0.25">
      <c r="A187" s="193"/>
      <c r="B187" s="187"/>
      <c r="C187" s="186"/>
      <c r="D187" s="187"/>
      <c r="E187" s="187"/>
      <c r="F187" s="187"/>
      <c r="G187" s="188"/>
      <c r="H187" s="188"/>
      <c r="I187" s="192"/>
      <c r="J187" s="188"/>
      <c r="K187" s="189"/>
      <c r="L187" s="190"/>
      <c r="M187" s="191"/>
      <c r="N187" s="191"/>
      <c r="O187" s="191"/>
      <c r="P187" s="191"/>
      <c r="Q187" s="191"/>
      <c r="R187" s="191"/>
      <c r="S187" s="191"/>
      <c r="T187" s="191"/>
      <c r="U187" s="191"/>
      <c r="V187" s="191"/>
    </row>
    <row r="188" spans="1:22" ht="17.25" x14ac:dyDescent="0.25">
      <c r="A188" s="193"/>
      <c r="B188" s="187"/>
      <c r="C188" s="186"/>
      <c r="D188" s="187"/>
      <c r="E188" s="187"/>
      <c r="F188" s="187"/>
      <c r="G188" s="188"/>
      <c r="H188" s="188"/>
      <c r="I188" s="192"/>
      <c r="J188" s="188"/>
      <c r="K188" s="189"/>
      <c r="L188" s="190"/>
      <c r="M188" s="191"/>
      <c r="N188" s="191"/>
      <c r="O188" s="191"/>
      <c r="P188" s="191"/>
      <c r="Q188" s="191"/>
      <c r="R188" s="191"/>
      <c r="S188" s="191"/>
      <c r="T188" s="191"/>
      <c r="U188" s="191"/>
      <c r="V188" s="191"/>
    </row>
    <row r="189" spans="1:22" ht="17.25" x14ac:dyDescent="0.25">
      <c r="A189" s="193"/>
      <c r="B189" s="187"/>
      <c r="C189" s="186"/>
      <c r="D189" s="187"/>
      <c r="E189" s="187"/>
      <c r="F189" s="187"/>
      <c r="G189" s="188"/>
      <c r="H189" s="188"/>
      <c r="I189" s="192"/>
      <c r="J189" s="188"/>
      <c r="K189" s="189"/>
      <c r="L189" s="190"/>
      <c r="M189" s="191"/>
      <c r="N189" s="191"/>
      <c r="O189" s="191"/>
      <c r="P189" s="191"/>
      <c r="Q189" s="191"/>
      <c r="R189" s="191"/>
      <c r="S189" s="191"/>
      <c r="T189" s="191"/>
      <c r="U189" s="191"/>
      <c r="V189" s="191"/>
    </row>
    <row r="190" spans="1:22" ht="17.25" x14ac:dyDescent="0.25">
      <c r="A190" s="193"/>
      <c r="B190" s="187"/>
      <c r="C190" s="186"/>
      <c r="D190" s="187"/>
      <c r="E190" s="187"/>
      <c r="F190" s="187"/>
      <c r="G190" s="188"/>
      <c r="H190" s="188"/>
      <c r="I190" s="192"/>
      <c r="J190" s="188"/>
      <c r="K190" s="189"/>
      <c r="L190" s="190"/>
      <c r="M190" s="191"/>
      <c r="N190" s="191"/>
      <c r="O190" s="191"/>
      <c r="P190" s="191"/>
      <c r="Q190" s="191"/>
      <c r="R190" s="191"/>
      <c r="S190" s="191"/>
      <c r="T190" s="191"/>
      <c r="U190" s="191"/>
      <c r="V190" s="191"/>
    </row>
    <row r="191" spans="1:22" ht="17.25" x14ac:dyDescent="0.25">
      <c r="A191" s="193"/>
      <c r="B191" s="187"/>
      <c r="C191" s="186"/>
      <c r="D191" s="187"/>
      <c r="E191" s="187"/>
      <c r="F191" s="187"/>
      <c r="G191" s="188"/>
      <c r="H191" s="188"/>
      <c r="I191" s="192"/>
      <c r="J191" s="188"/>
      <c r="K191" s="189"/>
      <c r="L191" s="190"/>
      <c r="M191" s="191"/>
      <c r="N191" s="191"/>
      <c r="O191" s="191"/>
      <c r="P191" s="191"/>
      <c r="Q191" s="191"/>
      <c r="R191" s="191"/>
      <c r="S191" s="191"/>
      <c r="T191" s="191"/>
      <c r="U191" s="191"/>
      <c r="V191" s="191"/>
    </row>
    <row r="192" spans="1:22" ht="17.25" x14ac:dyDescent="0.25">
      <c r="A192" s="193"/>
      <c r="B192" s="187"/>
      <c r="C192" s="186"/>
      <c r="D192" s="187"/>
      <c r="E192" s="187"/>
      <c r="F192" s="187"/>
      <c r="G192" s="188"/>
      <c r="H192" s="188"/>
      <c r="I192" s="192"/>
      <c r="J192" s="188"/>
      <c r="K192" s="189"/>
      <c r="L192" s="190"/>
      <c r="M192" s="191"/>
      <c r="N192" s="191"/>
      <c r="O192" s="191"/>
      <c r="P192" s="191"/>
      <c r="Q192" s="191"/>
      <c r="R192" s="191"/>
      <c r="S192" s="191"/>
      <c r="T192" s="191"/>
      <c r="U192" s="191"/>
      <c r="V192" s="191"/>
    </row>
    <row r="193" spans="1:22" ht="17.25" x14ac:dyDescent="0.25">
      <c r="A193" s="193"/>
      <c r="B193" s="187"/>
      <c r="C193" s="186"/>
      <c r="D193" s="187"/>
      <c r="E193" s="187"/>
      <c r="F193" s="187"/>
      <c r="G193" s="188"/>
      <c r="H193" s="188"/>
      <c r="I193" s="192"/>
      <c r="J193" s="188"/>
      <c r="K193" s="189"/>
      <c r="L193" s="190"/>
      <c r="M193" s="191"/>
      <c r="N193" s="191"/>
      <c r="O193" s="191"/>
      <c r="P193" s="191"/>
      <c r="Q193" s="191"/>
      <c r="R193" s="191"/>
      <c r="S193" s="191"/>
      <c r="T193" s="191"/>
      <c r="U193" s="191"/>
      <c r="V193" s="191"/>
    </row>
    <row r="194" spans="1:22" ht="17.25" x14ac:dyDescent="0.25">
      <c r="A194" s="193"/>
      <c r="B194" s="187"/>
      <c r="C194" s="186"/>
      <c r="D194" s="187"/>
      <c r="E194" s="187"/>
      <c r="F194" s="187"/>
      <c r="G194" s="188"/>
      <c r="H194" s="188"/>
      <c r="I194" s="192"/>
      <c r="J194" s="188"/>
      <c r="K194" s="189"/>
      <c r="L194" s="190"/>
      <c r="M194" s="191"/>
      <c r="N194" s="191"/>
      <c r="O194" s="191"/>
      <c r="P194" s="191"/>
      <c r="Q194" s="191"/>
      <c r="R194" s="191"/>
      <c r="S194" s="191"/>
      <c r="T194" s="191"/>
      <c r="U194" s="191"/>
      <c r="V194" s="191"/>
    </row>
    <row r="195" spans="1:22" ht="17.25" x14ac:dyDescent="0.25">
      <c r="A195" s="193"/>
      <c r="B195" s="187"/>
      <c r="C195" s="186"/>
      <c r="D195" s="187"/>
      <c r="E195" s="187"/>
      <c r="F195" s="187"/>
      <c r="G195" s="188"/>
      <c r="H195" s="188"/>
      <c r="I195" s="192"/>
      <c r="J195" s="188"/>
      <c r="K195" s="189"/>
      <c r="L195" s="190"/>
      <c r="M195" s="191"/>
      <c r="N195" s="191"/>
      <c r="O195" s="191"/>
      <c r="P195" s="191"/>
      <c r="Q195" s="191"/>
      <c r="R195" s="191"/>
      <c r="S195" s="191"/>
      <c r="T195" s="191"/>
      <c r="U195" s="191"/>
      <c r="V195" s="191"/>
    </row>
    <row r="196" spans="1:22" ht="17.25" x14ac:dyDescent="0.25">
      <c r="A196" s="193"/>
      <c r="B196" s="187"/>
      <c r="C196" s="186"/>
      <c r="D196" s="187"/>
      <c r="E196" s="187"/>
      <c r="F196" s="187"/>
      <c r="G196" s="188"/>
      <c r="H196" s="188"/>
      <c r="I196" s="192"/>
      <c r="J196" s="188"/>
      <c r="K196" s="189"/>
      <c r="L196" s="190"/>
      <c r="M196" s="191"/>
      <c r="N196" s="191"/>
      <c r="O196" s="191"/>
      <c r="P196" s="191"/>
      <c r="Q196" s="191"/>
      <c r="R196" s="191"/>
      <c r="S196" s="191"/>
      <c r="T196" s="191"/>
      <c r="U196" s="191"/>
      <c r="V196" s="191"/>
    </row>
    <row r="197" spans="1:22" ht="17.25" x14ac:dyDescent="0.25">
      <c r="A197" s="193"/>
      <c r="B197" s="187"/>
      <c r="C197" s="186"/>
      <c r="D197" s="187"/>
      <c r="E197" s="187"/>
      <c r="F197" s="187"/>
      <c r="G197" s="188"/>
      <c r="H197" s="188"/>
      <c r="I197" s="192"/>
      <c r="J197" s="188"/>
      <c r="K197" s="189"/>
      <c r="L197" s="190"/>
      <c r="M197" s="191"/>
      <c r="N197" s="191"/>
      <c r="O197" s="191"/>
      <c r="P197" s="191"/>
      <c r="Q197" s="191"/>
      <c r="R197" s="191"/>
      <c r="S197" s="191"/>
      <c r="T197" s="191"/>
      <c r="U197" s="191"/>
      <c r="V197" s="191"/>
    </row>
    <row r="198" spans="1:22" ht="17.25" x14ac:dyDescent="0.25">
      <c r="A198" s="193"/>
      <c r="B198" s="187"/>
      <c r="C198" s="186"/>
      <c r="D198" s="187"/>
      <c r="E198" s="187"/>
      <c r="F198" s="187"/>
      <c r="G198" s="188"/>
      <c r="H198" s="188"/>
      <c r="I198" s="192"/>
      <c r="J198" s="188"/>
      <c r="K198" s="189"/>
      <c r="L198" s="190"/>
      <c r="M198" s="191"/>
      <c r="N198" s="191"/>
      <c r="O198" s="191"/>
      <c r="P198" s="191"/>
      <c r="Q198" s="191"/>
      <c r="R198" s="191"/>
      <c r="S198" s="191"/>
      <c r="T198" s="191"/>
      <c r="U198" s="191"/>
      <c r="V198" s="191"/>
    </row>
    <row r="199" spans="1:22" ht="17.25" x14ac:dyDescent="0.25">
      <c r="A199" s="193"/>
      <c r="B199" s="187"/>
      <c r="C199" s="186"/>
      <c r="D199" s="187"/>
      <c r="E199" s="187"/>
      <c r="F199" s="187"/>
      <c r="G199" s="188"/>
      <c r="H199" s="188"/>
      <c r="I199" s="192"/>
      <c r="J199" s="188"/>
      <c r="K199" s="189"/>
      <c r="L199" s="190"/>
      <c r="M199" s="191"/>
      <c r="N199" s="191"/>
      <c r="O199" s="191"/>
      <c r="P199" s="191"/>
      <c r="Q199" s="191"/>
      <c r="R199" s="191"/>
      <c r="S199" s="191"/>
      <c r="T199" s="191"/>
      <c r="U199" s="191"/>
      <c r="V199" s="191"/>
    </row>
    <row r="200" spans="1:22" ht="17.25" x14ac:dyDescent="0.25">
      <c r="A200" s="193"/>
      <c r="B200" s="187"/>
      <c r="C200" s="186"/>
      <c r="D200" s="187"/>
      <c r="E200" s="187"/>
      <c r="F200" s="187"/>
      <c r="G200" s="188"/>
      <c r="H200" s="188"/>
      <c r="I200" s="192"/>
      <c r="J200" s="188"/>
      <c r="K200" s="189"/>
      <c r="L200" s="190"/>
      <c r="M200" s="191"/>
      <c r="N200" s="191"/>
      <c r="O200" s="191"/>
      <c r="P200" s="191"/>
      <c r="Q200" s="191"/>
      <c r="R200" s="191"/>
      <c r="S200" s="191"/>
      <c r="T200" s="191"/>
      <c r="U200" s="191"/>
      <c r="V200" s="191"/>
    </row>
    <row r="201" spans="1:22" ht="17.25" x14ac:dyDescent="0.25">
      <c r="A201" s="193"/>
      <c r="B201" s="187"/>
      <c r="C201" s="186"/>
      <c r="D201" s="187"/>
      <c r="E201" s="187"/>
      <c r="F201" s="187"/>
      <c r="G201" s="188"/>
      <c r="H201" s="188"/>
      <c r="I201" s="192"/>
      <c r="J201" s="188"/>
      <c r="K201" s="189"/>
      <c r="L201" s="190"/>
      <c r="M201" s="191"/>
      <c r="N201" s="191"/>
      <c r="O201" s="191"/>
      <c r="P201" s="191"/>
      <c r="Q201" s="191"/>
      <c r="R201" s="191"/>
      <c r="S201" s="191"/>
      <c r="T201" s="191"/>
      <c r="U201" s="191"/>
      <c r="V201" s="191"/>
    </row>
    <row r="202" spans="1:22" ht="17.25" x14ac:dyDescent="0.25">
      <c r="A202" s="193"/>
      <c r="B202" s="187"/>
      <c r="C202" s="186"/>
      <c r="D202" s="187"/>
      <c r="E202" s="187"/>
      <c r="F202" s="187"/>
      <c r="G202" s="188"/>
      <c r="H202" s="188"/>
      <c r="I202" s="192"/>
      <c r="J202" s="188"/>
      <c r="K202" s="189"/>
      <c r="L202" s="190"/>
      <c r="M202" s="191"/>
      <c r="N202" s="191"/>
      <c r="O202" s="191"/>
      <c r="P202" s="191"/>
      <c r="Q202" s="191"/>
      <c r="R202" s="191"/>
      <c r="S202" s="191"/>
      <c r="T202" s="191"/>
      <c r="U202" s="191"/>
      <c r="V202" s="191"/>
    </row>
    <row r="203" spans="1:22" ht="17.25" x14ac:dyDescent="0.25">
      <c r="A203" s="193"/>
      <c r="B203" s="187"/>
      <c r="C203" s="186"/>
      <c r="D203" s="187"/>
      <c r="E203" s="187"/>
      <c r="F203" s="187"/>
      <c r="G203" s="188"/>
      <c r="H203" s="188"/>
      <c r="I203" s="192"/>
      <c r="J203" s="188"/>
      <c r="K203" s="189"/>
      <c r="L203" s="190"/>
      <c r="M203" s="191"/>
      <c r="N203" s="191"/>
      <c r="O203" s="191"/>
      <c r="P203" s="191"/>
      <c r="Q203" s="191"/>
      <c r="R203" s="191"/>
      <c r="S203" s="191"/>
      <c r="T203" s="191"/>
      <c r="U203" s="191"/>
      <c r="V203" s="191"/>
    </row>
    <row r="204" spans="1:22" ht="17.25" x14ac:dyDescent="0.25">
      <c r="A204" s="193"/>
      <c r="B204" s="187"/>
      <c r="C204" s="186"/>
      <c r="D204" s="187"/>
      <c r="E204" s="187"/>
      <c r="F204" s="187"/>
      <c r="G204" s="188"/>
      <c r="H204" s="188"/>
      <c r="I204" s="192"/>
      <c r="J204" s="188"/>
      <c r="K204" s="189"/>
      <c r="L204" s="190"/>
      <c r="M204" s="191"/>
      <c r="N204" s="191"/>
      <c r="O204" s="191"/>
      <c r="P204" s="191"/>
      <c r="Q204" s="191"/>
      <c r="R204" s="191"/>
      <c r="S204" s="191"/>
      <c r="T204" s="191"/>
      <c r="U204" s="191"/>
      <c r="V204" s="191"/>
    </row>
    <row r="205" spans="1:22" ht="17.25" x14ac:dyDescent="0.25">
      <c r="A205" s="193"/>
      <c r="B205" s="187"/>
      <c r="C205" s="186"/>
      <c r="D205" s="187"/>
      <c r="E205" s="187"/>
      <c r="F205" s="187"/>
      <c r="G205" s="188"/>
      <c r="H205" s="188"/>
      <c r="I205" s="192"/>
      <c r="J205" s="188"/>
      <c r="K205" s="189"/>
      <c r="L205" s="190"/>
      <c r="M205" s="191"/>
      <c r="N205" s="191"/>
      <c r="O205" s="191"/>
      <c r="P205" s="191"/>
      <c r="Q205" s="191"/>
      <c r="R205" s="191"/>
      <c r="S205" s="191"/>
      <c r="T205" s="191"/>
      <c r="U205" s="191"/>
      <c r="V205" s="191"/>
    </row>
    <row r="206" spans="1:22" ht="17.25" x14ac:dyDescent="0.25">
      <c r="A206" s="193"/>
      <c r="B206" s="187"/>
      <c r="C206" s="186"/>
      <c r="D206" s="187"/>
      <c r="E206" s="187"/>
      <c r="F206" s="187"/>
      <c r="G206" s="188"/>
      <c r="H206" s="188"/>
      <c r="I206" s="192"/>
      <c r="J206" s="188"/>
      <c r="K206" s="189"/>
      <c r="L206" s="190"/>
      <c r="M206" s="191"/>
      <c r="N206" s="191"/>
      <c r="O206" s="191"/>
      <c r="P206" s="191"/>
      <c r="Q206" s="191"/>
      <c r="R206" s="191"/>
      <c r="S206" s="191"/>
      <c r="T206" s="191"/>
      <c r="U206" s="191"/>
      <c r="V206" s="191"/>
    </row>
    <row r="207" spans="1:22" ht="17.25" x14ac:dyDescent="0.25">
      <c r="A207" s="193"/>
      <c r="B207" s="187"/>
      <c r="C207" s="186"/>
      <c r="D207" s="187"/>
      <c r="E207" s="187"/>
      <c r="F207" s="187"/>
      <c r="G207" s="188"/>
      <c r="H207" s="188"/>
      <c r="I207" s="192"/>
      <c r="J207" s="188"/>
      <c r="K207" s="189"/>
      <c r="L207" s="190"/>
      <c r="M207" s="191"/>
      <c r="N207" s="191"/>
      <c r="O207" s="191"/>
      <c r="P207" s="191"/>
      <c r="Q207" s="191"/>
      <c r="R207" s="191"/>
      <c r="S207" s="191"/>
      <c r="T207" s="191"/>
      <c r="U207" s="191"/>
      <c r="V207" s="191"/>
    </row>
    <row r="208" spans="1:22" ht="17.25" x14ac:dyDescent="0.25">
      <c r="A208" s="193"/>
      <c r="B208" s="187"/>
      <c r="C208" s="186"/>
      <c r="D208" s="187"/>
      <c r="E208" s="187"/>
      <c r="F208" s="187"/>
      <c r="G208" s="188"/>
      <c r="H208" s="188"/>
      <c r="I208" s="192"/>
      <c r="J208" s="188"/>
      <c r="K208" s="189"/>
      <c r="L208" s="190"/>
      <c r="M208" s="191"/>
      <c r="N208" s="191"/>
      <c r="O208" s="191"/>
      <c r="P208" s="191"/>
      <c r="Q208" s="191"/>
      <c r="R208" s="191"/>
      <c r="S208" s="191"/>
      <c r="T208" s="191"/>
      <c r="U208" s="191"/>
      <c r="V208" s="191"/>
    </row>
    <row r="209" spans="1:22" ht="17.25" x14ac:dyDescent="0.25">
      <c r="A209" s="193"/>
      <c r="B209" s="187"/>
      <c r="C209" s="186"/>
      <c r="D209" s="187"/>
      <c r="E209" s="187"/>
      <c r="F209" s="187"/>
      <c r="G209" s="188"/>
      <c r="H209" s="188"/>
      <c r="I209" s="192"/>
      <c r="J209" s="188"/>
      <c r="K209" s="189"/>
      <c r="L209" s="190"/>
      <c r="M209" s="191"/>
      <c r="N209" s="191"/>
      <c r="O209" s="191"/>
      <c r="P209" s="191"/>
      <c r="Q209" s="191"/>
      <c r="R209" s="191"/>
      <c r="S209" s="191"/>
      <c r="T209" s="191"/>
      <c r="U209" s="191"/>
      <c r="V209" s="191"/>
    </row>
    <row r="210" spans="1:22" ht="17.25" x14ac:dyDescent="0.25">
      <c r="A210" s="193"/>
      <c r="B210" s="187"/>
      <c r="C210" s="186"/>
      <c r="D210" s="187"/>
      <c r="E210" s="187"/>
      <c r="F210" s="187"/>
      <c r="G210" s="188"/>
      <c r="H210" s="188"/>
      <c r="I210" s="192"/>
      <c r="J210" s="188"/>
      <c r="K210" s="189"/>
      <c r="L210" s="190"/>
      <c r="M210" s="191"/>
      <c r="N210" s="191"/>
      <c r="O210" s="191"/>
      <c r="P210" s="191"/>
      <c r="Q210" s="191"/>
      <c r="R210" s="191"/>
      <c r="S210" s="191"/>
      <c r="T210" s="191"/>
      <c r="U210" s="191"/>
      <c r="V210" s="191"/>
    </row>
    <row r="211" spans="1:22" ht="17.25" x14ac:dyDescent="0.25">
      <c r="A211" s="193"/>
      <c r="B211" s="187"/>
      <c r="C211" s="186"/>
      <c r="D211" s="187"/>
      <c r="E211" s="187"/>
      <c r="F211" s="187"/>
      <c r="G211" s="188"/>
      <c r="H211" s="188"/>
      <c r="I211" s="192"/>
      <c r="J211" s="188"/>
      <c r="K211" s="189"/>
      <c r="L211" s="190"/>
      <c r="M211" s="191"/>
      <c r="N211" s="191"/>
      <c r="O211" s="191"/>
      <c r="P211" s="191"/>
      <c r="Q211" s="191"/>
      <c r="R211" s="191"/>
      <c r="S211" s="191"/>
      <c r="T211" s="191"/>
      <c r="U211" s="191"/>
      <c r="V211" s="191"/>
    </row>
    <row r="212" spans="1:22" ht="17.25" x14ac:dyDescent="0.25">
      <c r="A212" s="193"/>
      <c r="B212" s="187"/>
      <c r="C212" s="186"/>
      <c r="D212" s="187"/>
      <c r="E212" s="187"/>
      <c r="F212" s="187"/>
      <c r="G212" s="188"/>
      <c r="H212" s="188"/>
      <c r="I212" s="192"/>
      <c r="J212" s="188"/>
      <c r="K212" s="189"/>
      <c r="L212" s="190"/>
      <c r="M212" s="191"/>
      <c r="N212" s="191"/>
      <c r="O212" s="191"/>
      <c r="P212" s="191"/>
      <c r="Q212" s="191"/>
      <c r="R212" s="191"/>
      <c r="S212" s="191"/>
      <c r="T212" s="191"/>
      <c r="U212" s="191"/>
      <c r="V212" s="191"/>
    </row>
    <row r="213" spans="1:22" ht="17.25" x14ac:dyDescent="0.25">
      <c r="A213" s="193"/>
      <c r="B213" s="187"/>
      <c r="C213" s="186"/>
      <c r="D213" s="187"/>
      <c r="E213" s="187"/>
      <c r="F213" s="187"/>
      <c r="G213" s="188"/>
      <c r="H213" s="188"/>
      <c r="I213" s="192"/>
      <c r="J213" s="188"/>
      <c r="K213" s="189"/>
      <c r="L213" s="190"/>
      <c r="M213" s="191"/>
      <c r="N213" s="191"/>
      <c r="O213" s="191"/>
      <c r="P213" s="191"/>
      <c r="Q213" s="191"/>
      <c r="R213" s="191"/>
      <c r="S213" s="191"/>
      <c r="T213" s="191"/>
      <c r="U213" s="191"/>
      <c r="V213" s="191"/>
    </row>
    <row r="214" spans="1:22" ht="17.25" x14ac:dyDescent="0.25">
      <c r="A214" s="193"/>
      <c r="B214" s="187"/>
      <c r="C214" s="186"/>
      <c r="D214" s="187"/>
      <c r="E214" s="187"/>
      <c r="F214" s="187"/>
      <c r="G214" s="188"/>
      <c r="H214" s="188"/>
      <c r="I214" s="192"/>
      <c r="J214" s="188"/>
      <c r="K214" s="189"/>
      <c r="L214" s="190"/>
      <c r="M214" s="191"/>
      <c r="N214" s="191"/>
      <c r="O214" s="191"/>
      <c r="P214" s="191"/>
      <c r="Q214" s="191"/>
      <c r="R214" s="191"/>
      <c r="S214" s="191"/>
      <c r="T214" s="191"/>
      <c r="U214" s="191"/>
      <c r="V214" s="191"/>
    </row>
    <row r="215" spans="1:22" ht="17.25" x14ac:dyDescent="0.25">
      <c r="A215" s="193"/>
      <c r="B215" s="187"/>
      <c r="C215" s="186"/>
      <c r="D215" s="187"/>
      <c r="E215" s="187"/>
      <c r="F215" s="187"/>
      <c r="G215" s="188"/>
      <c r="H215" s="188"/>
      <c r="I215" s="192"/>
      <c r="J215" s="188"/>
      <c r="K215" s="189"/>
      <c r="L215" s="190"/>
      <c r="M215" s="191"/>
      <c r="N215" s="191"/>
      <c r="O215" s="191"/>
      <c r="P215" s="191"/>
      <c r="Q215" s="191"/>
      <c r="R215" s="191"/>
      <c r="S215" s="191"/>
      <c r="T215" s="191"/>
      <c r="U215" s="191"/>
      <c r="V215" s="191"/>
    </row>
    <row r="216" spans="1:22" ht="17.25" x14ac:dyDescent="0.25">
      <c r="A216" s="193"/>
      <c r="B216" s="187"/>
      <c r="C216" s="186"/>
      <c r="D216" s="187"/>
      <c r="E216" s="187"/>
      <c r="F216" s="187"/>
      <c r="G216" s="188"/>
      <c r="H216" s="188"/>
      <c r="I216" s="192"/>
      <c r="J216" s="188"/>
      <c r="K216" s="189"/>
      <c r="L216" s="190"/>
      <c r="M216" s="191"/>
      <c r="N216" s="191"/>
      <c r="O216" s="191"/>
      <c r="P216" s="191"/>
      <c r="Q216" s="191"/>
      <c r="R216" s="191"/>
      <c r="S216" s="191"/>
      <c r="T216" s="191"/>
      <c r="U216" s="191"/>
      <c r="V216" s="191"/>
    </row>
    <row r="217" spans="1:22" ht="17.25" x14ac:dyDescent="0.25">
      <c r="A217" s="193"/>
      <c r="B217" s="187"/>
      <c r="C217" s="186"/>
      <c r="D217" s="187"/>
      <c r="E217" s="187"/>
      <c r="F217" s="187"/>
      <c r="G217" s="188"/>
      <c r="H217" s="188"/>
      <c r="I217" s="192"/>
      <c r="J217" s="188"/>
      <c r="K217" s="189"/>
      <c r="L217" s="190"/>
      <c r="M217" s="191"/>
      <c r="N217" s="191"/>
      <c r="O217" s="191"/>
      <c r="P217" s="191"/>
      <c r="Q217" s="191"/>
      <c r="R217" s="191"/>
      <c r="S217" s="191"/>
      <c r="T217" s="191"/>
      <c r="U217" s="191"/>
      <c r="V217" s="191"/>
    </row>
    <row r="218" spans="1:22" ht="17.25" x14ac:dyDescent="0.25">
      <c r="A218" s="193"/>
      <c r="B218" s="187"/>
      <c r="C218" s="186"/>
      <c r="D218" s="187"/>
      <c r="E218" s="187"/>
      <c r="F218" s="187"/>
      <c r="G218" s="188"/>
      <c r="H218" s="188"/>
      <c r="I218" s="192"/>
      <c r="J218" s="188"/>
      <c r="K218" s="189"/>
      <c r="L218" s="190"/>
      <c r="M218" s="191"/>
      <c r="N218" s="191"/>
      <c r="O218" s="191"/>
      <c r="P218" s="191"/>
      <c r="Q218" s="191"/>
      <c r="R218" s="191"/>
      <c r="S218" s="191"/>
      <c r="T218" s="191"/>
      <c r="U218" s="191"/>
      <c r="V218" s="191"/>
    </row>
    <row r="219" spans="1:22" ht="17.25" x14ac:dyDescent="0.25">
      <c r="A219" s="193"/>
      <c r="B219" s="187"/>
      <c r="C219" s="186"/>
      <c r="D219" s="187"/>
      <c r="E219" s="187"/>
      <c r="F219" s="187"/>
      <c r="G219" s="188"/>
      <c r="H219" s="188"/>
      <c r="I219" s="192"/>
      <c r="J219" s="188"/>
      <c r="K219" s="189"/>
      <c r="L219" s="190"/>
      <c r="M219" s="191"/>
      <c r="N219" s="191"/>
      <c r="O219" s="191"/>
      <c r="P219" s="191"/>
      <c r="Q219" s="191"/>
      <c r="R219" s="191"/>
      <c r="S219" s="191"/>
      <c r="T219" s="191"/>
      <c r="U219" s="191"/>
      <c r="V219" s="191"/>
    </row>
    <row r="220" spans="1:22" ht="17.25" x14ac:dyDescent="0.25">
      <c r="A220" s="193"/>
      <c r="B220" s="187"/>
      <c r="C220" s="186"/>
      <c r="D220" s="187"/>
      <c r="E220" s="187"/>
      <c r="F220" s="187"/>
      <c r="G220" s="188"/>
      <c r="H220" s="188"/>
      <c r="I220" s="192"/>
      <c r="J220" s="188"/>
      <c r="K220" s="189"/>
      <c r="L220" s="190"/>
      <c r="M220" s="191"/>
      <c r="N220" s="191"/>
      <c r="O220" s="191"/>
      <c r="P220" s="191"/>
      <c r="Q220" s="191"/>
      <c r="R220" s="191"/>
      <c r="S220" s="191"/>
      <c r="T220" s="191"/>
      <c r="U220" s="191"/>
      <c r="V220" s="191"/>
    </row>
    <row r="221" spans="1:22" ht="17.25" x14ac:dyDescent="0.25">
      <c r="A221" s="193"/>
      <c r="B221" s="187"/>
      <c r="C221" s="186"/>
      <c r="D221" s="187"/>
      <c r="E221" s="187"/>
      <c r="F221" s="187"/>
      <c r="G221" s="188"/>
      <c r="H221" s="188"/>
      <c r="I221" s="192"/>
      <c r="J221" s="188"/>
      <c r="K221" s="189"/>
      <c r="L221" s="190"/>
      <c r="M221" s="191"/>
      <c r="N221" s="191"/>
      <c r="O221" s="191"/>
      <c r="P221" s="191"/>
      <c r="Q221" s="191"/>
      <c r="R221" s="191"/>
      <c r="S221" s="191"/>
      <c r="T221" s="191"/>
      <c r="U221" s="191"/>
      <c r="V221" s="191"/>
    </row>
    <row r="222" spans="1:22" ht="17.25" x14ac:dyDescent="0.25">
      <c r="A222" s="193"/>
      <c r="B222" s="187"/>
      <c r="C222" s="186"/>
      <c r="D222" s="187"/>
      <c r="E222" s="187"/>
      <c r="F222" s="187"/>
      <c r="G222" s="188"/>
      <c r="H222" s="188"/>
      <c r="I222" s="192"/>
      <c r="J222" s="188"/>
      <c r="K222" s="189"/>
      <c r="L222" s="190"/>
      <c r="M222" s="191"/>
      <c r="N222" s="191"/>
      <c r="O222" s="191"/>
      <c r="P222" s="191"/>
      <c r="Q222" s="191"/>
      <c r="R222" s="191"/>
      <c r="S222" s="191"/>
      <c r="T222" s="191"/>
      <c r="U222" s="191"/>
      <c r="V222" s="191"/>
    </row>
    <row r="223" spans="1:22" ht="17.25" x14ac:dyDescent="0.25">
      <c r="A223" s="193"/>
      <c r="B223" s="187"/>
      <c r="C223" s="186"/>
      <c r="D223" s="187"/>
      <c r="E223" s="187"/>
      <c r="F223" s="187"/>
      <c r="G223" s="188"/>
      <c r="H223" s="188"/>
      <c r="I223" s="192"/>
      <c r="J223" s="188"/>
      <c r="K223" s="189"/>
      <c r="L223" s="190"/>
      <c r="M223" s="191"/>
      <c r="N223" s="191"/>
      <c r="O223" s="191"/>
      <c r="P223" s="191"/>
      <c r="Q223" s="191"/>
      <c r="R223" s="191"/>
      <c r="S223" s="191"/>
      <c r="T223" s="191"/>
      <c r="U223" s="191"/>
      <c r="V223" s="191"/>
    </row>
    <row r="224" spans="1:22" ht="17.25" x14ac:dyDescent="0.25">
      <c r="A224" s="193"/>
      <c r="B224" s="187"/>
      <c r="C224" s="186"/>
      <c r="D224" s="187"/>
      <c r="E224" s="187"/>
      <c r="F224" s="187"/>
      <c r="G224" s="188"/>
      <c r="H224" s="188"/>
      <c r="I224" s="192"/>
      <c r="J224" s="188"/>
      <c r="K224" s="189"/>
      <c r="L224" s="190"/>
      <c r="M224" s="191"/>
      <c r="N224" s="191"/>
      <c r="O224" s="191"/>
      <c r="P224" s="191"/>
      <c r="Q224" s="191"/>
      <c r="R224" s="191"/>
      <c r="S224" s="191"/>
      <c r="T224" s="191"/>
      <c r="U224" s="191"/>
      <c r="V224" s="191"/>
    </row>
    <row r="225" spans="1:22" ht="17.25" x14ac:dyDescent="0.25">
      <c r="A225" s="193"/>
      <c r="B225" s="187"/>
      <c r="C225" s="186"/>
      <c r="D225" s="187"/>
      <c r="E225" s="187"/>
      <c r="F225" s="187"/>
      <c r="G225" s="188"/>
      <c r="H225" s="188"/>
      <c r="I225" s="192"/>
      <c r="J225" s="188"/>
      <c r="K225" s="189"/>
      <c r="L225" s="190"/>
      <c r="M225" s="191"/>
      <c r="N225" s="191"/>
      <c r="O225" s="191"/>
      <c r="P225" s="191"/>
      <c r="Q225" s="191"/>
      <c r="R225" s="191"/>
      <c r="S225" s="191"/>
      <c r="T225" s="191"/>
      <c r="U225" s="191"/>
      <c r="V225" s="191"/>
    </row>
    <row r="226" spans="1:22" ht="17.25" x14ac:dyDescent="0.25">
      <c r="A226" s="193"/>
      <c r="B226" s="187"/>
      <c r="C226" s="186"/>
      <c r="D226" s="187"/>
      <c r="E226" s="187"/>
      <c r="F226" s="187"/>
      <c r="G226" s="188"/>
      <c r="H226" s="188"/>
      <c r="I226" s="192"/>
      <c r="J226" s="188"/>
      <c r="K226" s="189"/>
      <c r="L226" s="190"/>
      <c r="M226" s="191"/>
      <c r="N226" s="191"/>
      <c r="O226" s="191"/>
      <c r="P226" s="191"/>
      <c r="Q226" s="191"/>
      <c r="R226" s="191"/>
      <c r="S226" s="191"/>
      <c r="T226" s="191"/>
      <c r="U226" s="191"/>
      <c r="V226" s="191"/>
    </row>
    <row r="227" spans="1:22" ht="17.25" x14ac:dyDescent="0.25">
      <c r="A227" s="193"/>
      <c r="B227" s="187"/>
      <c r="C227" s="186"/>
      <c r="D227" s="187"/>
      <c r="E227" s="187"/>
      <c r="F227" s="187"/>
      <c r="G227" s="188"/>
      <c r="H227" s="188"/>
      <c r="I227" s="192"/>
      <c r="J227" s="188"/>
      <c r="K227" s="189"/>
      <c r="L227" s="190"/>
      <c r="M227" s="191"/>
      <c r="N227" s="191"/>
      <c r="O227" s="191"/>
      <c r="P227" s="191"/>
      <c r="Q227" s="191"/>
      <c r="R227" s="191"/>
      <c r="S227" s="191"/>
      <c r="T227" s="191"/>
      <c r="U227" s="191"/>
      <c r="V227" s="191"/>
    </row>
    <row r="228" spans="1:22" ht="17.25" x14ac:dyDescent="0.25">
      <c r="A228" s="193"/>
      <c r="B228" s="187"/>
      <c r="C228" s="186"/>
      <c r="D228" s="187"/>
      <c r="E228" s="187"/>
      <c r="F228" s="187"/>
      <c r="G228" s="188"/>
      <c r="H228" s="188"/>
      <c r="I228" s="192"/>
      <c r="J228" s="188"/>
      <c r="K228" s="189"/>
      <c r="L228" s="190"/>
      <c r="M228" s="191"/>
      <c r="N228" s="191"/>
      <c r="O228" s="191"/>
      <c r="P228" s="191"/>
      <c r="Q228" s="191"/>
      <c r="R228" s="191"/>
      <c r="S228" s="191"/>
      <c r="T228" s="191"/>
      <c r="U228" s="191"/>
      <c r="V228" s="191"/>
    </row>
    <row r="229" spans="1:22" ht="17.25" x14ac:dyDescent="0.25">
      <c r="A229" s="193"/>
      <c r="B229" s="187"/>
      <c r="C229" s="186"/>
      <c r="D229" s="187"/>
      <c r="E229" s="187"/>
      <c r="F229" s="187"/>
      <c r="G229" s="188"/>
      <c r="H229" s="188"/>
      <c r="I229" s="192"/>
      <c r="J229" s="188"/>
      <c r="K229" s="189"/>
      <c r="L229" s="190"/>
      <c r="M229" s="191"/>
      <c r="N229" s="191"/>
      <c r="O229" s="191"/>
      <c r="P229" s="191"/>
      <c r="Q229" s="191"/>
      <c r="R229" s="191"/>
      <c r="S229" s="191"/>
      <c r="T229" s="191"/>
      <c r="U229" s="191"/>
      <c r="V229" s="191"/>
    </row>
    <row r="230" spans="1:22" ht="17.25" x14ac:dyDescent="0.25">
      <c r="A230" s="193"/>
      <c r="B230" s="187"/>
      <c r="C230" s="186"/>
      <c r="D230" s="187"/>
      <c r="E230" s="187"/>
      <c r="F230" s="187"/>
      <c r="G230" s="188"/>
      <c r="H230" s="188"/>
      <c r="I230" s="192"/>
      <c r="J230" s="188"/>
      <c r="K230" s="189"/>
      <c r="L230" s="190"/>
      <c r="M230" s="191"/>
      <c r="N230" s="191"/>
      <c r="O230" s="191"/>
      <c r="P230" s="191"/>
      <c r="Q230" s="191"/>
      <c r="R230" s="191"/>
      <c r="S230" s="191"/>
      <c r="T230" s="191"/>
      <c r="U230" s="191"/>
      <c r="V230" s="191"/>
    </row>
    <row r="231" spans="1:22" ht="17.25" x14ac:dyDescent="0.25">
      <c r="A231" s="193"/>
      <c r="B231" s="187"/>
      <c r="C231" s="186"/>
      <c r="D231" s="187"/>
      <c r="E231" s="187"/>
      <c r="F231" s="187"/>
      <c r="G231" s="188"/>
      <c r="H231" s="188"/>
      <c r="I231" s="192"/>
      <c r="J231" s="188"/>
      <c r="K231" s="189"/>
      <c r="L231" s="190"/>
      <c r="M231" s="191"/>
      <c r="N231" s="191"/>
      <c r="O231" s="191"/>
      <c r="P231" s="191"/>
      <c r="Q231" s="191"/>
      <c r="R231" s="191"/>
      <c r="S231" s="191"/>
      <c r="T231" s="191"/>
      <c r="U231" s="191"/>
      <c r="V231" s="191"/>
    </row>
    <row r="232" spans="1:22" ht="17.25" x14ac:dyDescent="0.25">
      <c r="A232" s="193"/>
      <c r="B232" s="187"/>
      <c r="C232" s="186"/>
      <c r="D232" s="187"/>
      <c r="E232" s="187"/>
      <c r="F232" s="187"/>
      <c r="G232" s="188"/>
      <c r="H232" s="188"/>
      <c r="I232" s="192"/>
      <c r="J232" s="188"/>
      <c r="K232" s="189"/>
      <c r="L232" s="190"/>
      <c r="M232" s="191"/>
      <c r="N232" s="191"/>
      <c r="O232" s="191"/>
      <c r="P232" s="191"/>
      <c r="Q232" s="191"/>
      <c r="R232" s="191"/>
      <c r="S232" s="191"/>
      <c r="T232" s="191"/>
      <c r="U232" s="191"/>
      <c r="V232" s="191"/>
    </row>
    <row r="233" spans="1:22" ht="17.25" x14ac:dyDescent="0.25">
      <c r="A233" s="193"/>
      <c r="B233" s="187"/>
      <c r="C233" s="186"/>
      <c r="D233" s="187"/>
      <c r="E233" s="187"/>
      <c r="F233" s="187"/>
      <c r="G233" s="188"/>
      <c r="H233" s="188"/>
      <c r="I233" s="192"/>
      <c r="J233" s="188"/>
      <c r="K233" s="189"/>
      <c r="L233" s="190"/>
      <c r="M233" s="191"/>
      <c r="N233" s="191"/>
      <c r="O233" s="191"/>
      <c r="P233" s="191"/>
      <c r="Q233" s="191"/>
      <c r="R233" s="191"/>
      <c r="S233" s="191"/>
      <c r="T233" s="191"/>
      <c r="U233" s="191"/>
      <c r="V233" s="191"/>
    </row>
    <row r="234" spans="1:22" ht="17.25" x14ac:dyDescent="0.25">
      <c r="A234" s="193"/>
      <c r="B234" s="187"/>
      <c r="C234" s="186"/>
      <c r="D234" s="187"/>
      <c r="E234" s="187"/>
      <c r="F234" s="187"/>
      <c r="G234" s="188"/>
      <c r="H234" s="188"/>
      <c r="I234" s="192"/>
      <c r="J234" s="188"/>
      <c r="K234" s="189"/>
      <c r="L234" s="190"/>
      <c r="M234" s="191"/>
      <c r="N234" s="191"/>
      <c r="O234" s="191"/>
      <c r="P234" s="191"/>
      <c r="Q234" s="191"/>
      <c r="R234" s="191"/>
      <c r="S234" s="191"/>
      <c r="T234" s="191"/>
      <c r="U234" s="191"/>
      <c r="V234" s="191"/>
    </row>
    <row r="235" spans="1:22" ht="17.25" x14ac:dyDescent="0.25">
      <c r="A235" s="193"/>
      <c r="B235" s="187"/>
      <c r="C235" s="186"/>
      <c r="D235" s="187"/>
      <c r="E235" s="187"/>
      <c r="F235" s="187"/>
      <c r="G235" s="188"/>
      <c r="H235" s="188"/>
      <c r="I235" s="192"/>
      <c r="J235" s="188"/>
      <c r="K235" s="189"/>
      <c r="L235" s="190"/>
      <c r="M235" s="191"/>
      <c r="N235" s="191"/>
      <c r="O235" s="191"/>
      <c r="P235" s="191"/>
      <c r="Q235" s="191"/>
      <c r="R235" s="191"/>
      <c r="S235" s="191"/>
      <c r="T235" s="191"/>
      <c r="U235" s="191"/>
      <c r="V235" s="191"/>
    </row>
    <row r="236" spans="1:22" ht="17.25" x14ac:dyDescent="0.25">
      <c r="A236" s="193"/>
      <c r="B236" s="187"/>
      <c r="C236" s="186"/>
      <c r="D236" s="187"/>
      <c r="E236" s="187"/>
      <c r="F236" s="187"/>
      <c r="G236" s="188"/>
      <c r="H236" s="188"/>
      <c r="I236" s="192"/>
      <c r="J236" s="188"/>
      <c r="K236" s="189"/>
      <c r="L236" s="190"/>
      <c r="M236" s="191"/>
      <c r="N236" s="191"/>
      <c r="O236" s="191"/>
      <c r="P236" s="191"/>
      <c r="Q236" s="191"/>
      <c r="R236" s="191"/>
      <c r="S236" s="191"/>
      <c r="T236" s="191"/>
      <c r="U236" s="191"/>
      <c r="V236" s="191"/>
    </row>
    <row r="237" spans="1:22" ht="17.25" x14ac:dyDescent="0.25">
      <c r="A237" s="193"/>
      <c r="B237" s="187"/>
      <c r="C237" s="186"/>
      <c r="D237" s="187"/>
      <c r="E237" s="187"/>
      <c r="F237" s="187"/>
      <c r="G237" s="188"/>
      <c r="H237" s="188"/>
      <c r="I237" s="192"/>
      <c r="J237" s="188"/>
      <c r="K237" s="189"/>
      <c r="L237" s="190"/>
      <c r="M237" s="191"/>
      <c r="N237" s="191"/>
      <c r="O237" s="191"/>
      <c r="P237" s="191"/>
      <c r="Q237" s="191"/>
      <c r="R237" s="191"/>
      <c r="S237" s="191"/>
      <c r="T237" s="191"/>
      <c r="U237" s="191"/>
      <c r="V237" s="191"/>
    </row>
    <row r="238" spans="1:22" ht="17.25" x14ac:dyDescent="0.25">
      <c r="A238" s="193"/>
      <c r="B238" s="187"/>
      <c r="C238" s="186"/>
      <c r="D238" s="187"/>
      <c r="E238" s="187"/>
      <c r="F238" s="187"/>
      <c r="G238" s="188"/>
      <c r="H238" s="188"/>
      <c r="I238" s="192"/>
      <c r="J238" s="188"/>
      <c r="K238" s="189"/>
      <c r="L238" s="190"/>
      <c r="M238" s="191"/>
      <c r="N238" s="191"/>
      <c r="O238" s="191"/>
      <c r="P238" s="191"/>
      <c r="Q238" s="191"/>
      <c r="R238" s="191"/>
      <c r="S238" s="191"/>
      <c r="T238" s="191"/>
      <c r="U238" s="191"/>
      <c r="V238" s="191"/>
    </row>
    <row r="239" spans="1:22" ht="17.25" x14ac:dyDescent="0.25">
      <c r="A239" s="193"/>
      <c r="B239" s="187"/>
      <c r="C239" s="186"/>
      <c r="D239" s="187"/>
      <c r="E239" s="187"/>
      <c r="F239" s="187"/>
      <c r="G239" s="188"/>
      <c r="H239" s="188"/>
      <c r="I239" s="192"/>
      <c r="J239" s="188"/>
      <c r="K239" s="189"/>
      <c r="L239" s="190"/>
      <c r="M239" s="191"/>
      <c r="N239" s="191"/>
      <c r="O239" s="191"/>
      <c r="P239" s="191"/>
      <c r="Q239" s="191"/>
      <c r="R239" s="191"/>
      <c r="S239" s="191"/>
      <c r="T239" s="191"/>
      <c r="U239" s="191"/>
      <c r="V239" s="191"/>
    </row>
    <row r="240" spans="1:22" ht="17.25" x14ac:dyDescent="0.25">
      <c r="A240" s="193"/>
      <c r="B240" s="187"/>
      <c r="C240" s="186"/>
      <c r="D240" s="187"/>
      <c r="E240" s="187"/>
      <c r="F240" s="187"/>
      <c r="G240" s="188"/>
      <c r="H240" s="188"/>
      <c r="I240" s="192"/>
      <c r="J240" s="188"/>
      <c r="K240" s="189"/>
      <c r="L240" s="190"/>
      <c r="M240" s="191"/>
      <c r="N240" s="191"/>
      <c r="O240" s="191"/>
      <c r="P240" s="191"/>
      <c r="Q240" s="191"/>
      <c r="R240" s="191"/>
      <c r="S240" s="191"/>
      <c r="T240" s="191"/>
      <c r="U240" s="191"/>
      <c r="V240" s="191"/>
    </row>
    <row r="241" spans="1:22" ht="17.25" x14ac:dyDescent="0.25">
      <c r="A241" s="193"/>
      <c r="B241" s="187"/>
      <c r="C241" s="186"/>
      <c r="D241" s="187"/>
      <c r="E241" s="187"/>
      <c r="F241" s="187"/>
      <c r="G241" s="188"/>
      <c r="H241" s="188"/>
      <c r="I241" s="192"/>
      <c r="J241" s="188"/>
      <c r="K241" s="189"/>
      <c r="L241" s="190"/>
      <c r="M241" s="191"/>
      <c r="N241" s="191"/>
      <c r="O241" s="191"/>
      <c r="P241" s="191"/>
      <c r="Q241" s="191"/>
      <c r="R241" s="191"/>
      <c r="S241" s="191"/>
      <c r="T241" s="191"/>
      <c r="U241" s="191"/>
      <c r="V241" s="191"/>
    </row>
    <row r="242" spans="1:22" ht="17.25" x14ac:dyDescent="0.25">
      <c r="A242" s="193"/>
      <c r="B242" s="187"/>
      <c r="C242" s="186"/>
      <c r="D242" s="187"/>
      <c r="E242" s="187"/>
      <c r="F242" s="187"/>
      <c r="G242" s="188"/>
      <c r="H242" s="188"/>
      <c r="I242" s="192"/>
      <c r="J242" s="188"/>
      <c r="K242" s="189"/>
      <c r="L242" s="190"/>
      <c r="M242" s="191"/>
      <c r="N242" s="191"/>
      <c r="O242" s="191"/>
      <c r="P242" s="191"/>
      <c r="Q242" s="191"/>
      <c r="R242" s="191"/>
      <c r="S242" s="191"/>
      <c r="T242" s="191"/>
      <c r="U242" s="191"/>
      <c r="V242" s="191"/>
    </row>
    <row r="243" spans="1:22" ht="17.25" x14ac:dyDescent="0.25">
      <c r="A243" s="193"/>
      <c r="B243" s="187"/>
      <c r="C243" s="186"/>
      <c r="D243" s="187"/>
      <c r="E243" s="187"/>
      <c r="F243" s="187"/>
      <c r="G243" s="188"/>
      <c r="H243" s="188"/>
      <c r="I243" s="192"/>
      <c r="J243" s="188"/>
      <c r="K243" s="189"/>
      <c r="L243" s="190"/>
      <c r="M243" s="191"/>
      <c r="N243" s="191"/>
      <c r="O243" s="191"/>
      <c r="P243" s="191"/>
      <c r="Q243" s="191"/>
      <c r="R243" s="191"/>
      <c r="S243" s="191"/>
      <c r="T243" s="191"/>
      <c r="U243" s="191"/>
      <c r="V243" s="191"/>
    </row>
    <row r="244" spans="1:22" ht="17.25" x14ac:dyDescent="0.25">
      <c r="A244" s="193"/>
      <c r="B244" s="187"/>
      <c r="C244" s="186"/>
      <c r="D244" s="187"/>
      <c r="E244" s="187"/>
      <c r="F244" s="187"/>
      <c r="G244" s="188"/>
      <c r="H244" s="188"/>
      <c r="I244" s="192"/>
      <c r="J244" s="188"/>
      <c r="K244" s="189"/>
      <c r="L244" s="190"/>
      <c r="M244" s="191"/>
      <c r="N244" s="191"/>
      <c r="O244" s="191"/>
      <c r="P244" s="191"/>
      <c r="Q244" s="191"/>
      <c r="R244" s="191"/>
      <c r="S244" s="191"/>
      <c r="T244" s="191"/>
      <c r="U244" s="191"/>
      <c r="V244" s="191"/>
    </row>
    <row r="245" spans="1:22" ht="17.25" x14ac:dyDescent="0.25">
      <c r="A245" s="193"/>
      <c r="B245" s="187"/>
      <c r="C245" s="186"/>
      <c r="D245" s="187"/>
      <c r="E245" s="187"/>
      <c r="F245" s="187"/>
      <c r="G245" s="188"/>
      <c r="H245" s="188"/>
      <c r="I245" s="192"/>
      <c r="J245" s="188"/>
      <c r="K245" s="189"/>
      <c r="L245" s="190"/>
      <c r="M245" s="191"/>
      <c r="N245" s="191"/>
      <c r="O245" s="191"/>
      <c r="P245" s="191"/>
      <c r="Q245" s="191"/>
      <c r="R245" s="191"/>
      <c r="S245" s="191"/>
      <c r="T245" s="191"/>
      <c r="U245" s="191"/>
      <c r="V245" s="191"/>
    </row>
    <row r="246" spans="1:22" ht="17.25" x14ac:dyDescent="0.25">
      <c r="A246" s="193"/>
      <c r="B246" s="187"/>
      <c r="C246" s="186"/>
      <c r="D246" s="187"/>
      <c r="E246" s="187"/>
      <c r="F246" s="187"/>
      <c r="G246" s="188"/>
      <c r="H246" s="188"/>
      <c r="I246" s="192"/>
      <c r="J246" s="188"/>
      <c r="K246" s="189"/>
      <c r="L246" s="190"/>
      <c r="M246" s="191"/>
      <c r="N246" s="191"/>
      <c r="O246" s="191"/>
      <c r="P246" s="191"/>
      <c r="Q246" s="191"/>
      <c r="R246" s="191"/>
      <c r="S246" s="191"/>
      <c r="T246" s="191"/>
      <c r="U246" s="191"/>
      <c r="V246" s="191"/>
    </row>
    <row r="247" spans="1:22" ht="17.25" x14ac:dyDescent="0.25">
      <c r="A247" s="193"/>
      <c r="B247" s="187"/>
      <c r="C247" s="186"/>
      <c r="D247" s="187"/>
      <c r="E247" s="187"/>
      <c r="F247" s="187"/>
      <c r="G247" s="188"/>
      <c r="H247" s="188"/>
      <c r="I247" s="192"/>
      <c r="J247" s="188"/>
      <c r="K247" s="189"/>
      <c r="L247" s="190"/>
      <c r="M247" s="191"/>
      <c r="N247" s="191"/>
      <c r="O247" s="191"/>
      <c r="P247" s="191"/>
      <c r="Q247" s="191"/>
      <c r="R247" s="191"/>
      <c r="S247" s="191"/>
      <c r="T247" s="191"/>
      <c r="U247" s="191"/>
      <c r="V247" s="191"/>
    </row>
    <row r="248" spans="1:22" ht="17.25" x14ac:dyDescent="0.25">
      <c r="A248" s="193"/>
      <c r="B248" s="187"/>
      <c r="C248" s="186"/>
      <c r="D248" s="187"/>
      <c r="E248" s="187"/>
      <c r="F248" s="187"/>
      <c r="G248" s="188"/>
      <c r="H248" s="188"/>
      <c r="I248" s="192"/>
      <c r="J248" s="188"/>
      <c r="K248" s="189"/>
      <c r="L248" s="190"/>
      <c r="M248" s="191"/>
      <c r="N248" s="191"/>
      <c r="O248" s="191"/>
      <c r="P248" s="191"/>
      <c r="Q248" s="191"/>
      <c r="R248" s="191"/>
      <c r="S248" s="191"/>
      <c r="T248" s="191"/>
      <c r="U248" s="191"/>
      <c r="V248" s="191"/>
    </row>
    <row r="249" spans="1:22" ht="17.25" x14ac:dyDescent="0.25">
      <c r="A249" s="193"/>
      <c r="B249" s="187"/>
      <c r="C249" s="186"/>
      <c r="D249" s="187"/>
      <c r="E249" s="187"/>
      <c r="F249" s="187"/>
      <c r="G249" s="188"/>
      <c r="H249" s="188"/>
      <c r="I249" s="192"/>
      <c r="J249" s="188"/>
      <c r="K249" s="189"/>
      <c r="L249" s="190"/>
      <c r="M249" s="191"/>
      <c r="N249" s="191"/>
      <c r="O249" s="191"/>
      <c r="P249" s="191"/>
      <c r="Q249" s="191"/>
      <c r="R249" s="191"/>
      <c r="S249" s="191"/>
      <c r="T249" s="191"/>
      <c r="U249" s="191"/>
      <c r="V249" s="191"/>
    </row>
    <row r="250" spans="1:22" ht="17.25" x14ac:dyDescent="0.25">
      <c r="A250" s="193"/>
      <c r="B250" s="187"/>
      <c r="C250" s="186"/>
      <c r="D250" s="187"/>
      <c r="E250" s="187"/>
      <c r="F250" s="187"/>
      <c r="G250" s="188"/>
      <c r="H250" s="188"/>
      <c r="I250" s="192"/>
      <c r="J250" s="188"/>
      <c r="K250" s="189"/>
      <c r="L250" s="190"/>
      <c r="M250" s="191"/>
      <c r="N250" s="191"/>
      <c r="O250" s="191"/>
      <c r="P250" s="191"/>
      <c r="Q250" s="191"/>
      <c r="R250" s="191"/>
      <c r="S250" s="191"/>
      <c r="T250" s="191"/>
      <c r="U250" s="191"/>
      <c r="V250" s="191"/>
    </row>
    <row r="251" spans="1:22" ht="17.25" x14ac:dyDescent="0.25">
      <c r="A251" s="193"/>
      <c r="B251" s="187"/>
      <c r="C251" s="186"/>
      <c r="D251" s="187"/>
      <c r="E251" s="187"/>
      <c r="F251" s="187"/>
      <c r="G251" s="188"/>
      <c r="H251" s="188"/>
      <c r="I251" s="192"/>
      <c r="J251" s="188"/>
      <c r="K251" s="189"/>
      <c r="L251" s="190"/>
      <c r="M251" s="191"/>
      <c r="N251" s="191"/>
      <c r="O251" s="191"/>
      <c r="P251" s="191"/>
      <c r="Q251" s="191"/>
      <c r="R251" s="191"/>
      <c r="S251" s="191"/>
      <c r="T251" s="191"/>
      <c r="U251" s="191"/>
      <c r="V251" s="191"/>
    </row>
    <row r="252" spans="1:22" ht="17.25" x14ac:dyDescent="0.25">
      <c r="A252" s="193"/>
      <c r="B252" s="187"/>
      <c r="C252" s="186"/>
      <c r="D252" s="187"/>
      <c r="E252" s="187"/>
      <c r="F252" s="187"/>
      <c r="G252" s="188"/>
      <c r="H252" s="188"/>
      <c r="I252" s="192"/>
      <c r="J252" s="188"/>
      <c r="K252" s="189"/>
      <c r="L252" s="190"/>
      <c r="M252" s="191"/>
      <c r="N252" s="191"/>
      <c r="O252" s="191"/>
      <c r="P252" s="191"/>
      <c r="Q252" s="191"/>
      <c r="R252" s="191"/>
      <c r="S252" s="191"/>
      <c r="T252" s="191"/>
      <c r="U252" s="191"/>
      <c r="V252" s="191"/>
    </row>
    <row r="253" spans="1:22" ht="17.25" x14ac:dyDescent="0.25">
      <c r="A253" s="193"/>
      <c r="B253" s="187"/>
      <c r="C253" s="186"/>
      <c r="D253" s="187"/>
      <c r="E253" s="187"/>
      <c r="F253" s="187"/>
      <c r="G253" s="188"/>
      <c r="H253" s="188"/>
      <c r="I253" s="192"/>
      <c r="J253" s="188"/>
      <c r="K253" s="189"/>
      <c r="L253" s="190"/>
      <c r="M253" s="191"/>
      <c r="N253" s="191"/>
      <c r="O253" s="191"/>
      <c r="P253" s="191"/>
      <c r="Q253" s="191"/>
      <c r="R253" s="191"/>
      <c r="S253" s="191"/>
      <c r="T253" s="191"/>
      <c r="U253" s="191"/>
      <c r="V253" s="191"/>
    </row>
    <row r="254" spans="1:22" ht="17.25" x14ac:dyDescent="0.25">
      <c r="A254" s="193"/>
      <c r="B254" s="187"/>
      <c r="C254" s="186"/>
      <c r="D254" s="187"/>
      <c r="E254" s="187"/>
      <c r="F254" s="187"/>
      <c r="G254" s="188"/>
      <c r="H254" s="188"/>
      <c r="I254" s="192"/>
      <c r="J254" s="188"/>
      <c r="K254" s="189"/>
      <c r="L254" s="190"/>
      <c r="M254" s="191"/>
      <c r="N254" s="191"/>
      <c r="O254" s="191"/>
      <c r="P254" s="191"/>
      <c r="Q254" s="191"/>
      <c r="R254" s="191"/>
      <c r="S254" s="191"/>
      <c r="T254" s="191"/>
      <c r="U254" s="191"/>
      <c r="V254" s="191"/>
    </row>
    <row r="255" spans="1:22" ht="17.25" x14ac:dyDescent="0.25">
      <c r="A255" s="193"/>
      <c r="B255" s="187"/>
      <c r="C255" s="186"/>
      <c r="D255" s="187"/>
      <c r="E255" s="187"/>
      <c r="F255" s="187"/>
      <c r="G255" s="188"/>
      <c r="H255" s="188"/>
      <c r="I255" s="192"/>
      <c r="J255" s="188"/>
      <c r="K255" s="189"/>
      <c r="L255" s="190"/>
      <c r="M255" s="191"/>
      <c r="N255" s="191"/>
      <c r="O255" s="191"/>
      <c r="P255" s="191"/>
      <c r="Q255" s="191"/>
      <c r="R255" s="191"/>
      <c r="S255" s="191"/>
      <c r="T255" s="191"/>
      <c r="U255" s="191"/>
      <c r="V255" s="191"/>
    </row>
    <row r="256" spans="1:22" ht="17.25" x14ac:dyDescent="0.25">
      <c r="A256" s="193"/>
      <c r="B256" s="187"/>
      <c r="C256" s="186"/>
      <c r="D256" s="187"/>
      <c r="E256" s="187"/>
      <c r="F256" s="187"/>
      <c r="G256" s="188"/>
      <c r="H256" s="188"/>
      <c r="I256" s="192"/>
      <c r="J256" s="188"/>
      <c r="K256" s="189"/>
      <c r="L256" s="190"/>
      <c r="M256" s="191"/>
      <c r="N256" s="191"/>
      <c r="O256" s="191"/>
      <c r="P256" s="191"/>
      <c r="Q256" s="191"/>
      <c r="R256" s="191"/>
      <c r="S256" s="191"/>
      <c r="T256" s="191"/>
      <c r="U256" s="191"/>
      <c r="V256" s="191"/>
    </row>
    <row r="257" spans="1:22" ht="17.25" x14ac:dyDescent="0.25">
      <c r="A257" s="193"/>
      <c r="B257" s="187"/>
      <c r="C257" s="186"/>
      <c r="D257" s="187"/>
      <c r="E257" s="187"/>
      <c r="F257" s="187"/>
      <c r="G257" s="188"/>
      <c r="H257" s="188"/>
      <c r="I257" s="192"/>
      <c r="J257" s="188"/>
      <c r="K257" s="189"/>
      <c r="L257" s="190"/>
      <c r="M257" s="191"/>
      <c r="N257" s="191"/>
      <c r="O257" s="191"/>
      <c r="P257" s="191"/>
      <c r="Q257" s="191"/>
      <c r="R257" s="191"/>
      <c r="S257" s="191"/>
      <c r="T257" s="191"/>
      <c r="U257" s="191"/>
      <c r="V257" s="191"/>
    </row>
    <row r="258" spans="1:22" ht="17.25" x14ac:dyDescent="0.25">
      <c r="A258" s="193"/>
      <c r="B258" s="187"/>
      <c r="C258" s="186"/>
      <c r="D258" s="187"/>
      <c r="E258" s="187"/>
      <c r="F258" s="187"/>
      <c r="G258" s="188"/>
      <c r="H258" s="188"/>
      <c r="I258" s="192"/>
      <c r="J258" s="188"/>
      <c r="K258" s="189"/>
      <c r="L258" s="190"/>
      <c r="M258" s="191"/>
      <c r="N258" s="191"/>
      <c r="O258" s="191"/>
      <c r="P258" s="191"/>
      <c r="Q258" s="191"/>
      <c r="R258" s="191"/>
      <c r="S258" s="191"/>
      <c r="T258" s="191"/>
      <c r="U258" s="191"/>
      <c r="V258" s="191"/>
    </row>
    <row r="259" spans="1:22" ht="17.25" x14ac:dyDescent="0.25">
      <c r="A259" s="193"/>
      <c r="B259" s="187"/>
      <c r="C259" s="186"/>
      <c r="D259" s="187"/>
      <c r="E259" s="187"/>
      <c r="F259" s="187"/>
      <c r="G259" s="188"/>
      <c r="H259" s="188"/>
      <c r="I259" s="192"/>
      <c r="J259" s="188"/>
      <c r="K259" s="189"/>
      <c r="L259" s="190"/>
      <c r="M259" s="191"/>
      <c r="N259" s="191"/>
      <c r="O259" s="191"/>
      <c r="P259" s="191"/>
      <c r="Q259" s="191"/>
      <c r="R259" s="191"/>
      <c r="S259" s="191"/>
      <c r="T259" s="191"/>
      <c r="U259" s="191"/>
      <c r="V259" s="191"/>
    </row>
    <row r="260" spans="1:22" ht="17.25" x14ac:dyDescent="0.25">
      <c r="A260" s="193"/>
      <c r="B260" s="187"/>
      <c r="C260" s="186"/>
      <c r="D260" s="187"/>
      <c r="E260" s="187"/>
      <c r="F260" s="187"/>
      <c r="G260" s="188"/>
      <c r="H260" s="188"/>
      <c r="I260" s="192"/>
      <c r="J260" s="188"/>
      <c r="K260" s="189"/>
      <c r="L260" s="190"/>
      <c r="M260" s="191"/>
      <c r="N260" s="191"/>
      <c r="O260" s="191"/>
      <c r="P260" s="191"/>
      <c r="Q260" s="191"/>
      <c r="R260" s="191"/>
      <c r="S260" s="191"/>
      <c r="T260" s="191"/>
      <c r="U260" s="191"/>
      <c r="V260" s="191"/>
    </row>
    <row r="261" spans="1:22" ht="17.25" x14ac:dyDescent="0.25">
      <c r="A261" s="193"/>
      <c r="B261" s="187"/>
      <c r="C261" s="186"/>
      <c r="D261" s="187"/>
      <c r="E261" s="187"/>
      <c r="F261" s="187"/>
      <c r="G261" s="188"/>
      <c r="H261" s="188"/>
      <c r="I261" s="192"/>
      <c r="J261" s="188"/>
      <c r="K261" s="189"/>
      <c r="L261" s="190"/>
      <c r="M261" s="191"/>
      <c r="N261" s="191"/>
      <c r="O261" s="191"/>
      <c r="P261" s="191"/>
      <c r="Q261" s="191"/>
      <c r="R261" s="191"/>
      <c r="S261" s="191"/>
      <c r="T261" s="191"/>
      <c r="U261" s="191"/>
      <c r="V261" s="191"/>
    </row>
    <row r="262" spans="1:22" ht="17.25" x14ac:dyDescent="0.25">
      <c r="A262" s="193"/>
      <c r="B262" s="187"/>
      <c r="C262" s="186"/>
      <c r="D262" s="187"/>
      <c r="E262" s="187"/>
      <c r="F262" s="187"/>
      <c r="G262" s="188"/>
      <c r="H262" s="188"/>
      <c r="I262" s="192"/>
      <c r="J262" s="188"/>
      <c r="K262" s="189"/>
      <c r="L262" s="190"/>
      <c r="M262" s="191"/>
      <c r="N262" s="191"/>
      <c r="O262" s="191"/>
      <c r="P262" s="191"/>
      <c r="Q262" s="191"/>
      <c r="R262" s="191"/>
      <c r="S262" s="191"/>
      <c r="T262" s="191"/>
      <c r="U262" s="191"/>
      <c r="V262" s="191"/>
    </row>
    <row r="263" spans="1:22" ht="17.25" x14ac:dyDescent="0.25">
      <c r="A263" s="193"/>
      <c r="B263" s="187"/>
      <c r="C263" s="186"/>
      <c r="D263" s="187"/>
      <c r="E263" s="187"/>
      <c r="F263" s="187"/>
      <c r="G263" s="188"/>
      <c r="H263" s="188"/>
      <c r="I263" s="192"/>
      <c r="J263" s="188"/>
      <c r="K263" s="189"/>
      <c r="L263" s="190"/>
      <c r="M263" s="191"/>
      <c r="N263" s="191"/>
      <c r="O263" s="191"/>
      <c r="P263" s="191"/>
      <c r="Q263" s="191"/>
      <c r="R263" s="191"/>
      <c r="S263" s="191"/>
      <c r="T263" s="191"/>
      <c r="U263" s="191"/>
      <c r="V263" s="191"/>
    </row>
    <row r="264" spans="1:22" ht="17.25" x14ac:dyDescent="0.25">
      <c r="A264" s="193"/>
      <c r="B264" s="187"/>
      <c r="C264" s="186"/>
      <c r="D264" s="187"/>
      <c r="E264" s="187"/>
      <c r="F264" s="187"/>
      <c r="G264" s="188"/>
      <c r="H264" s="188"/>
      <c r="I264" s="192"/>
      <c r="J264" s="188"/>
      <c r="K264" s="189"/>
      <c r="L264" s="190"/>
      <c r="M264" s="191"/>
      <c r="N264" s="191"/>
      <c r="O264" s="191"/>
      <c r="P264" s="191"/>
      <c r="Q264" s="191"/>
      <c r="R264" s="191"/>
      <c r="S264" s="191"/>
      <c r="T264" s="191"/>
      <c r="U264" s="191"/>
      <c r="V264" s="191"/>
    </row>
    <row r="265" spans="1:22" ht="17.25" x14ac:dyDescent="0.25">
      <c r="A265" s="193"/>
      <c r="B265" s="187"/>
      <c r="C265" s="186"/>
      <c r="D265" s="187"/>
      <c r="E265" s="187"/>
      <c r="F265" s="187"/>
      <c r="G265" s="188"/>
      <c r="H265" s="188"/>
      <c r="I265" s="192"/>
      <c r="J265" s="188"/>
      <c r="K265" s="189"/>
      <c r="L265" s="190"/>
      <c r="M265" s="191"/>
      <c r="N265" s="191"/>
      <c r="O265" s="191"/>
      <c r="P265" s="191"/>
      <c r="Q265" s="191"/>
      <c r="R265" s="191"/>
      <c r="S265" s="191"/>
      <c r="T265" s="191"/>
      <c r="U265" s="191"/>
      <c r="V265" s="191"/>
    </row>
    <row r="266" spans="1:22" ht="17.25" x14ac:dyDescent="0.25">
      <c r="A266" s="193"/>
      <c r="B266" s="187"/>
      <c r="C266" s="186"/>
      <c r="D266" s="187"/>
      <c r="E266" s="187"/>
      <c r="F266" s="187"/>
      <c r="G266" s="188"/>
      <c r="H266" s="188"/>
      <c r="I266" s="192"/>
      <c r="J266" s="188"/>
      <c r="K266" s="189"/>
      <c r="L266" s="190"/>
      <c r="M266" s="191"/>
      <c r="N266" s="191"/>
      <c r="O266" s="191"/>
      <c r="P266" s="191"/>
      <c r="Q266" s="191"/>
      <c r="R266" s="191"/>
      <c r="S266" s="191"/>
      <c r="T266" s="191"/>
      <c r="U266" s="191"/>
      <c r="V266" s="191"/>
    </row>
    <row r="267" spans="1:22" ht="17.25" x14ac:dyDescent="0.25">
      <c r="A267" s="193"/>
      <c r="B267" s="187"/>
      <c r="C267" s="186"/>
      <c r="D267" s="187"/>
      <c r="E267" s="187"/>
      <c r="F267" s="187"/>
      <c r="G267" s="188"/>
      <c r="H267" s="188"/>
      <c r="I267" s="192"/>
      <c r="J267" s="188"/>
      <c r="K267" s="189"/>
      <c r="L267" s="190"/>
      <c r="M267" s="191"/>
      <c r="N267" s="191"/>
      <c r="O267" s="191"/>
      <c r="P267" s="191"/>
      <c r="Q267" s="191"/>
      <c r="R267" s="191"/>
      <c r="S267" s="191"/>
      <c r="T267" s="191"/>
      <c r="U267" s="191"/>
      <c r="V267" s="191"/>
    </row>
    <row r="268" spans="1:22" ht="17.25" x14ac:dyDescent="0.25">
      <c r="A268" s="193"/>
      <c r="B268" s="187"/>
      <c r="C268" s="186"/>
      <c r="D268" s="187"/>
      <c r="E268" s="187"/>
      <c r="F268" s="187"/>
      <c r="G268" s="188"/>
      <c r="H268" s="188"/>
      <c r="I268" s="192"/>
      <c r="J268" s="188"/>
      <c r="K268" s="189"/>
      <c r="L268" s="190"/>
      <c r="M268" s="191"/>
      <c r="N268" s="191"/>
      <c r="O268" s="191"/>
      <c r="P268" s="191"/>
      <c r="Q268" s="191"/>
      <c r="R268" s="191"/>
      <c r="S268" s="191"/>
      <c r="T268" s="191"/>
      <c r="U268" s="191"/>
      <c r="V268" s="191"/>
    </row>
    <row r="269" spans="1:22" ht="17.25" x14ac:dyDescent="0.25">
      <c r="A269" s="193"/>
      <c r="B269" s="187"/>
      <c r="C269" s="186"/>
      <c r="D269" s="187"/>
      <c r="E269" s="187"/>
      <c r="F269" s="187"/>
      <c r="G269" s="188"/>
      <c r="H269" s="188"/>
      <c r="I269" s="192"/>
      <c r="J269" s="188"/>
      <c r="K269" s="189"/>
      <c r="L269" s="190"/>
      <c r="M269" s="191"/>
      <c r="N269" s="191"/>
      <c r="O269" s="191"/>
      <c r="P269" s="191"/>
      <c r="Q269" s="191"/>
      <c r="R269" s="191"/>
      <c r="S269" s="191"/>
      <c r="T269" s="191"/>
      <c r="U269" s="191"/>
      <c r="V269" s="191"/>
    </row>
    <row r="270" spans="1:22" ht="17.25" x14ac:dyDescent="0.25">
      <c r="A270" s="193"/>
      <c r="B270" s="187"/>
      <c r="C270" s="186"/>
      <c r="D270" s="187"/>
      <c r="E270" s="187"/>
      <c r="F270" s="187"/>
      <c r="G270" s="188"/>
      <c r="H270" s="188"/>
      <c r="I270" s="192"/>
      <c r="J270" s="188"/>
      <c r="K270" s="189"/>
      <c r="L270" s="190"/>
      <c r="M270" s="191"/>
      <c r="N270" s="191"/>
      <c r="O270" s="191"/>
      <c r="P270" s="191"/>
      <c r="Q270" s="191"/>
      <c r="R270" s="191"/>
      <c r="S270" s="191"/>
      <c r="T270" s="191"/>
      <c r="U270" s="191"/>
      <c r="V270" s="191"/>
    </row>
    <row r="271" spans="1:22" ht="17.25" x14ac:dyDescent="0.25">
      <c r="A271" s="193"/>
      <c r="B271" s="187"/>
      <c r="C271" s="186"/>
      <c r="D271" s="187"/>
      <c r="E271" s="187"/>
      <c r="F271" s="187"/>
      <c r="G271" s="188"/>
      <c r="H271" s="188"/>
      <c r="I271" s="192"/>
      <c r="J271" s="188"/>
      <c r="K271" s="189"/>
      <c r="L271" s="190"/>
      <c r="M271" s="191"/>
      <c r="N271" s="191"/>
      <c r="O271" s="191"/>
      <c r="P271" s="191"/>
      <c r="Q271" s="191"/>
      <c r="R271" s="191"/>
      <c r="S271" s="191"/>
      <c r="T271" s="191"/>
      <c r="U271" s="191"/>
      <c r="V271" s="191"/>
    </row>
    <row r="272" spans="1:22" ht="17.25" x14ac:dyDescent="0.25">
      <c r="A272" s="193"/>
      <c r="B272" s="187"/>
      <c r="C272" s="186"/>
      <c r="D272" s="187"/>
      <c r="E272" s="187"/>
      <c r="F272" s="187"/>
      <c r="G272" s="188"/>
      <c r="H272" s="188"/>
      <c r="I272" s="192"/>
      <c r="J272" s="188"/>
      <c r="K272" s="189"/>
      <c r="L272" s="190"/>
      <c r="M272" s="191"/>
      <c r="N272" s="191"/>
      <c r="O272" s="191"/>
      <c r="P272" s="191"/>
      <c r="Q272" s="191"/>
      <c r="R272" s="191"/>
      <c r="S272" s="191"/>
      <c r="T272" s="191"/>
      <c r="U272" s="191"/>
      <c r="V272" s="191"/>
    </row>
    <row r="273" spans="1:22" ht="17.25" x14ac:dyDescent="0.25">
      <c r="A273" s="193"/>
      <c r="B273" s="187"/>
      <c r="C273" s="186"/>
      <c r="D273" s="187"/>
      <c r="E273" s="187"/>
      <c r="F273" s="187"/>
      <c r="G273" s="188"/>
      <c r="H273" s="188"/>
      <c r="I273" s="192"/>
      <c r="J273" s="188"/>
      <c r="K273" s="189"/>
      <c r="L273" s="190"/>
      <c r="M273" s="191"/>
      <c r="N273" s="191"/>
      <c r="O273" s="191"/>
      <c r="P273" s="191"/>
      <c r="Q273" s="191"/>
      <c r="R273" s="191"/>
      <c r="S273" s="191"/>
      <c r="T273" s="191"/>
      <c r="U273" s="191"/>
      <c r="V273" s="191"/>
    </row>
    <row r="274" spans="1:22" ht="17.25" x14ac:dyDescent="0.25">
      <c r="A274" s="193"/>
      <c r="B274" s="187"/>
      <c r="C274" s="186"/>
      <c r="D274" s="187"/>
      <c r="E274" s="187"/>
      <c r="F274" s="187"/>
      <c r="G274" s="188"/>
      <c r="H274" s="188"/>
      <c r="I274" s="192"/>
      <c r="J274" s="188"/>
      <c r="K274" s="189"/>
      <c r="L274" s="190"/>
      <c r="M274" s="191"/>
      <c r="N274" s="191"/>
      <c r="O274" s="191"/>
      <c r="P274" s="191"/>
      <c r="Q274" s="191"/>
      <c r="R274" s="191"/>
      <c r="S274" s="191"/>
      <c r="T274" s="191"/>
      <c r="U274" s="191"/>
      <c r="V274" s="191"/>
    </row>
    <row r="275" spans="1:22" ht="17.25" x14ac:dyDescent="0.25">
      <c r="A275" s="193"/>
      <c r="B275" s="187"/>
      <c r="C275" s="186"/>
      <c r="D275" s="187"/>
      <c r="E275" s="187"/>
      <c r="F275" s="187"/>
      <c r="G275" s="188"/>
      <c r="H275" s="188"/>
      <c r="I275" s="192"/>
      <c r="J275" s="188"/>
      <c r="K275" s="189"/>
      <c r="L275" s="190"/>
      <c r="M275" s="191"/>
      <c r="N275" s="191"/>
      <c r="O275" s="191"/>
      <c r="P275" s="191"/>
      <c r="Q275" s="191"/>
      <c r="R275" s="191"/>
      <c r="S275" s="191"/>
      <c r="T275" s="191"/>
      <c r="U275" s="191"/>
      <c r="V275" s="191"/>
    </row>
    <row r="276" spans="1:22" ht="17.25" x14ac:dyDescent="0.25">
      <c r="A276" s="193"/>
      <c r="B276" s="187"/>
      <c r="C276" s="186"/>
      <c r="D276" s="187"/>
      <c r="E276" s="187"/>
      <c r="F276" s="187"/>
      <c r="G276" s="188"/>
      <c r="H276" s="188"/>
      <c r="I276" s="192"/>
      <c r="J276" s="188"/>
      <c r="K276" s="189"/>
      <c r="L276" s="190"/>
      <c r="M276" s="191"/>
      <c r="N276" s="191"/>
      <c r="O276" s="191"/>
      <c r="P276" s="191"/>
      <c r="Q276" s="191"/>
      <c r="R276" s="191"/>
      <c r="S276" s="191"/>
      <c r="T276" s="191"/>
      <c r="U276" s="191"/>
      <c r="V276" s="191"/>
    </row>
    <row r="277" spans="1:22" ht="17.25" x14ac:dyDescent="0.25">
      <c r="A277" s="193"/>
      <c r="B277" s="187"/>
      <c r="C277" s="186"/>
      <c r="D277" s="187"/>
      <c r="E277" s="187"/>
      <c r="F277" s="187"/>
      <c r="G277" s="188"/>
      <c r="H277" s="188"/>
      <c r="I277" s="192"/>
      <c r="J277" s="188"/>
      <c r="K277" s="189"/>
      <c r="L277" s="190"/>
      <c r="M277" s="191"/>
      <c r="N277" s="191"/>
      <c r="O277" s="191"/>
      <c r="P277" s="191"/>
      <c r="Q277" s="191"/>
      <c r="R277" s="191"/>
      <c r="S277" s="191"/>
      <c r="T277" s="191"/>
      <c r="U277" s="191"/>
      <c r="V277" s="191"/>
    </row>
    <row r="278" spans="1:22" ht="17.25" x14ac:dyDescent="0.25">
      <c r="A278" s="193"/>
      <c r="B278" s="187"/>
      <c r="C278" s="186"/>
      <c r="D278" s="187"/>
      <c r="E278" s="187"/>
      <c r="F278" s="187"/>
      <c r="G278" s="188"/>
      <c r="H278" s="188"/>
      <c r="I278" s="192"/>
      <c r="J278" s="188"/>
      <c r="K278" s="189"/>
      <c r="L278" s="190"/>
      <c r="M278" s="191"/>
      <c r="N278" s="191"/>
      <c r="O278" s="191"/>
      <c r="P278" s="191"/>
      <c r="Q278" s="191"/>
      <c r="R278" s="191"/>
      <c r="S278" s="191"/>
      <c r="T278" s="191"/>
      <c r="U278" s="191"/>
      <c r="V278" s="191"/>
    </row>
    <row r="279" spans="1:22" ht="17.25" x14ac:dyDescent="0.25">
      <c r="A279" s="193"/>
      <c r="B279" s="187"/>
      <c r="C279" s="186"/>
      <c r="D279" s="187"/>
      <c r="E279" s="187"/>
      <c r="F279" s="187"/>
      <c r="G279" s="188"/>
      <c r="H279" s="188"/>
      <c r="I279" s="192"/>
      <c r="J279" s="188"/>
      <c r="K279" s="189"/>
      <c r="L279" s="190"/>
      <c r="M279" s="191"/>
      <c r="N279" s="191"/>
      <c r="O279" s="191"/>
      <c r="P279" s="191"/>
      <c r="Q279" s="191"/>
      <c r="R279" s="191"/>
      <c r="S279" s="191"/>
      <c r="T279" s="191"/>
      <c r="U279" s="191"/>
      <c r="V279" s="191"/>
    </row>
    <row r="280" spans="1:22" ht="17.25" x14ac:dyDescent="0.25">
      <c r="A280" s="193"/>
      <c r="B280" s="187"/>
      <c r="C280" s="186"/>
      <c r="D280" s="187"/>
      <c r="E280" s="187"/>
      <c r="F280" s="187"/>
      <c r="G280" s="188"/>
      <c r="H280" s="188"/>
      <c r="I280" s="192"/>
      <c r="J280" s="188"/>
      <c r="K280" s="189"/>
      <c r="L280" s="190"/>
      <c r="M280" s="191"/>
      <c r="N280" s="191"/>
      <c r="O280" s="191"/>
      <c r="P280" s="191"/>
      <c r="Q280" s="191"/>
      <c r="R280" s="191"/>
      <c r="S280" s="191"/>
      <c r="T280" s="191"/>
      <c r="U280" s="191"/>
      <c r="V280" s="191"/>
    </row>
    <row r="281" spans="1:22" ht="17.25" x14ac:dyDescent="0.25">
      <c r="A281" s="193"/>
      <c r="B281" s="187"/>
      <c r="C281" s="186"/>
      <c r="D281" s="187"/>
      <c r="E281" s="187"/>
      <c r="F281" s="187"/>
      <c r="G281" s="188"/>
      <c r="H281" s="188"/>
      <c r="I281" s="192"/>
      <c r="J281" s="188"/>
      <c r="K281" s="189"/>
      <c r="L281" s="190"/>
      <c r="M281" s="191"/>
      <c r="N281" s="191"/>
      <c r="O281" s="191"/>
      <c r="P281" s="191"/>
      <c r="Q281" s="191"/>
      <c r="R281" s="191"/>
      <c r="S281" s="191"/>
      <c r="T281" s="191"/>
      <c r="U281" s="191"/>
      <c r="V281" s="191"/>
    </row>
    <row r="282" spans="1:22" ht="17.25" x14ac:dyDescent="0.25">
      <c r="A282" s="193"/>
      <c r="B282" s="187"/>
      <c r="C282" s="186"/>
      <c r="D282" s="187"/>
      <c r="E282" s="187"/>
      <c r="F282" s="187"/>
      <c r="G282" s="188"/>
      <c r="H282" s="188"/>
      <c r="I282" s="192"/>
      <c r="J282" s="188"/>
      <c r="K282" s="189"/>
      <c r="L282" s="190"/>
      <c r="M282" s="191"/>
      <c r="N282" s="191"/>
      <c r="O282" s="191"/>
      <c r="P282" s="191"/>
      <c r="Q282" s="191"/>
      <c r="R282" s="191"/>
      <c r="S282" s="191"/>
      <c r="T282" s="191"/>
      <c r="U282" s="191"/>
      <c r="V282" s="191"/>
    </row>
    <row r="283" spans="1:22" ht="17.25" x14ac:dyDescent="0.25">
      <c r="A283" s="193"/>
      <c r="B283" s="187"/>
      <c r="C283" s="186"/>
      <c r="D283" s="187"/>
      <c r="E283" s="187"/>
      <c r="F283" s="187"/>
      <c r="G283" s="188"/>
      <c r="H283" s="188"/>
      <c r="I283" s="192"/>
      <c r="J283" s="188"/>
      <c r="K283" s="189"/>
      <c r="L283" s="190"/>
      <c r="M283" s="191"/>
      <c r="N283" s="191"/>
      <c r="O283" s="191"/>
      <c r="P283" s="191"/>
      <c r="Q283" s="191"/>
      <c r="R283" s="191"/>
      <c r="S283" s="191"/>
      <c r="T283" s="191"/>
      <c r="U283" s="191"/>
      <c r="V283" s="191"/>
    </row>
    <row r="284" spans="1:22" ht="17.25" x14ac:dyDescent="0.25">
      <c r="A284" s="193"/>
      <c r="B284" s="187"/>
      <c r="C284" s="186"/>
      <c r="D284" s="187"/>
      <c r="E284" s="187"/>
      <c r="F284" s="187"/>
      <c r="G284" s="188"/>
      <c r="H284" s="188"/>
      <c r="I284" s="192"/>
      <c r="J284" s="188"/>
      <c r="K284" s="189"/>
      <c r="L284" s="190"/>
      <c r="M284" s="191"/>
      <c r="N284" s="191"/>
      <c r="O284" s="191"/>
      <c r="P284" s="191"/>
      <c r="Q284" s="191"/>
      <c r="R284" s="191"/>
      <c r="S284" s="191"/>
      <c r="T284" s="191"/>
      <c r="U284" s="191"/>
      <c r="V284" s="191"/>
    </row>
    <row r="285" spans="1:22" ht="17.25" x14ac:dyDescent="0.25">
      <c r="A285" s="193"/>
      <c r="B285" s="187"/>
      <c r="C285" s="186"/>
      <c r="D285" s="187"/>
      <c r="E285" s="187"/>
      <c r="F285" s="187"/>
      <c r="G285" s="188"/>
      <c r="H285" s="188"/>
      <c r="I285" s="192"/>
      <c r="J285" s="188"/>
      <c r="K285" s="189"/>
      <c r="L285" s="190"/>
      <c r="M285" s="191"/>
      <c r="N285" s="191"/>
      <c r="O285" s="191"/>
      <c r="P285" s="191"/>
      <c r="Q285" s="191"/>
      <c r="R285" s="191"/>
      <c r="S285" s="191"/>
      <c r="T285" s="191"/>
      <c r="U285" s="191"/>
      <c r="V285" s="191"/>
    </row>
    <row r="286" spans="1:22" ht="17.25" x14ac:dyDescent="0.25">
      <c r="A286" s="193"/>
      <c r="B286" s="187"/>
      <c r="C286" s="186"/>
      <c r="D286" s="187"/>
      <c r="E286" s="187"/>
      <c r="F286" s="187"/>
      <c r="G286" s="188"/>
      <c r="H286" s="188"/>
      <c r="I286" s="192"/>
      <c r="J286" s="188"/>
      <c r="K286" s="189"/>
      <c r="L286" s="190"/>
      <c r="M286" s="191"/>
      <c r="N286" s="191"/>
      <c r="O286" s="191"/>
      <c r="P286" s="191"/>
      <c r="Q286" s="191"/>
      <c r="R286" s="191"/>
      <c r="S286" s="191"/>
      <c r="T286" s="191"/>
      <c r="U286" s="191"/>
      <c r="V286" s="191"/>
    </row>
    <row r="287" spans="1:22" ht="17.25" x14ac:dyDescent="0.25">
      <c r="A287" s="193"/>
      <c r="B287" s="187"/>
      <c r="C287" s="186"/>
      <c r="D287" s="187"/>
      <c r="E287" s="187"/>
      <c r="F287" s="187"/>
      <c r="G287" s="188"/>
      <c r="H287" s="188"/>
      <c r="I287" s="192"/>
      <c r="J287" s="188"/>
      <c r="K287" s="189"/>
      <c r="L287" s="190"/>
      <c r="M287" s="191"/>
      <c r="N287" s="191"/>
      <c r="O287" s="191"/>
      <c r="P287" s="191"/>
      <c r="Q287" s="191"/>
      <c r="R287" s="191"/>
      <c r="S287" s="191"/>
      <c r="T287" s="191"/>
      <c r="U287" s="191"/>
      <c r="V287" s="191"/>
    </row>
    <row r="288" spans="1:22" ht="17.25" x14ac:dyDescent="0.25">
      <c r="A288" s="193"/>
      <c r="B288" s="187"/>
      <c r="C288" s="186"/>
      <c r="D288" s="187"/>
      <c r="E288" s="187"/>
      <c r="F288" s="187"/>
      <c r="G288" s="188"/>
      <c r="H288" s="188"/>
      <c r="I288" s="192"/>
      <c r="J288" s="188"/>
      <c r="K288" s="189"/>
      <c r="L288" s="190"/>
      <c r="M288" s="191"/>
      <c r="N288" s="191"/>
      <c r="O288" s="191"/>
      <c r="P288" s="191"/>
      <c r="Q288" s="191"/>
      <c r="R288" s="191"/>
      <c r="S288" s="191"/>
      <c r="T288" s="191"/>
      <c r="U288" s="191"/>
      <c r="V288" s="191"/>
    </row>
    <row r="289" spans="1:22" ht="17.25" x14ac:dyDescent="0.25">
      <c r="A289" s="193"/>
      <c r="B289" s="187"/>
      <c r="C289" s="186"/>
      <c r="D289" s="187"/>
      <c r="E289" s="187"/>
      <c r="F289" s="187"/>
      <c r="G289" s="188"/>
      <c r="H289" s="188"/>
      <c r="I289" s="192"/>
      <c r="J289" s="188"/>
      <c r="K289" s="189"/>
      <c r="L289" s="190"/>
      <c r="M289" s="191"/>
      <c r="N289" s="191"/>
      <c r="O289" s="191"/>
      <c r="P289" s="191"/>
      <c r="Q289" s="191"/>
      <c r="R289" s="191"/>
      <c r="S289" s="191"/>
      <c r="T289" s="191"/>
      <c r="U289" s="191"/>
      <c r="V289" s="191"/>
    </row>
    <row r="290" spans="1:22" ht="17.25" x14ac:dyDescent="0.25">
      <c r="A290" s="193"/>
      <c r="B290" s="187"/>
      <c r="C290" s="186"/>
      <c r="D290" s="187"/>
      <c r="E290" s="187"/>
      <c r="F290" s="187"/>
      <c r="G290" s="188"/>
      <c r="H290" s="188"/>
      <c r="I290" s="192"/>
      <c r="J290" s="188"/>
      <c r="K290" s="189"/>
      <c r="L290" s="190"/>
      <c r="M290" s="191"/>
      <c r="N290" s="191"/>
      <c r="O290" s="191"/>
      <c r="P290" s="191"/>
      <c r="Q290" s="191"/>
      <c r="R290" s="191"/>
      <c r="S290" s="191"/>
      <c r="T290" s="191"/>
      <c r="U290" s="191"/>
      <c r="V290" s="191"/>
    </row>
    <row r="291" spans="1:22" ht="17.25" x14ac:dyDescent="0.25">
      <c r="A291" s="193"/>
      <c r="B291" s="187"/>
      <c r="C291" s="186"/>
      <c r="D291" s="187"/>
      <c r="E291" s="187"/>
      <c r="F291" s="187"/>
      <c r="G291" s="188"/>
      <c r="H291" s="188"/>
      <c r="I291" s="192"/>
      <c r="J291" s="188"/>
      <c r="K291" s="189"/>
      <c r="L291" s="190"/>
      <c r="M291" s="191"/>
      <c r="N291" s="191"/>
      <c r="O291" s="191"/>
      <c r="P291" s="191"/>
      <c r="Q291" s="191"/>
      <c r="R291" s="191"/>
      <c r="S291" s="191"/>
      <c r="T291" s="191"/>
      <c r="U291" s="191"/>
      <c r="V291" s="191"/>
    </row>
    <row r="292" spans="1:22" ht="17.25" x14ac:dyDescent="0.25">
      <c r="A292" s="193"/>
      <c r="B292" s="187"/>
      <c r="C292" s="186"/>
      <c r="D292" s="187"/>
      <c r="E292" s="187"/>
      <c r="F292" s="187"/>
      <c r="G292" s="188"/>
      <c r="H292" s="188"/>
      <c r="I292" s="192"/>
      <c r="J292" s="188"/>
      <c r="K292" s="189"/>
      <c r="L292" s="190"/>
      <c r="M292" s="191"/>
      <c r="N292" s="191"/>
      <c r="O292" s="191"/>
      <c r="P292" s="191"/>
      <c r="Q292" s="191"/>
      <c r="R292" s="191"/>
      <c r="S292" s="191"/>
      <c r="T292" s="191"/>
      <c r="U292" s="191"/>
      <c r="V292" s="191"/>
    </row>
    <row r="293" spans="1:22" ht="17.25" x14ac:dyDescent="0.25">
      <c r="A293" s="193"/>
      <c r="B293" s="187"/>
      <c r="C293" s="186"/>
      <c r="D293" s="187"/>
      <c r="E293" s="187"/>
      <c r="F293" s="187"/>
      <c r="G293" s="188"/>
      <c r="H293" s="188"/>
      <c r="I293" s="192"/>
      <c r="J293" s="188"/>
      <c r="K293" s="189"/>
      <c r="L293" s="190"/>
      <c r="M293" s="191"/>
      <c r="N293" s="191"/>
      <c r="O293" s="191"/>
      <c r="P293" s="191"/>
      <c r="Q293" s="191"/>
      <c r="R293" s="191"/>
      <c r="S293" s="191"/>
      <c r="T293" s="191"/>
      <c r="U293" s="191"/>
      <c r="V293" s="191"/>
    </row>
    <row r="294" spans="1:22" ht="17.25" x14ac:dyDescent="0.25">
      <c r="A294" s="193"/>
      <c r="B294" s="187"/>
      <c r="C294" s="186"/>
      <c r="D294" s="187"/>
      <c r="E294" s="187"/>
      <c r="F294" s="187"/>
      <c r="G294" s="188"/>
      <c r="H294" s="188"/>
      <c r="I294" s="192"/>
      <c r="J294" s="188"/>
      <c r="K294" s="189"/>
      <c r="L294" s="190"/>
      <c r="M294" s="191"/>
      <c r="N294" s="191"/>
      <c r="O294" s="191"/>
      <c r="P294" s="191"/>
      <c r="Q294" s="191"/>
      <c r="R294" s="191"/>
      <c r="S294" s="191"/>
      <c r="T294" s="191"/>
      <c r="U294" s="191"/>
      <c r="V294" s="191"/>
    </row>
    <row r="295" spans="1:22" ht="17.25" x14ac:dyDescent="0.25">
      <c r="A295" s="193"/>
      <c r="B295" s="187"/>
      <c r="C295" s="186"/>
      <c r="D295" s="187"/>
      <c r="E295" s="187"/>
      <c r="F295" s="187"/>
      <c r="G295" s="188"/>
      <c r="H295" s="188"/>
      <c r="I295" s="192"/>
      <c r="J295" s="188"/>
      <c r="K295" s="189"/>
      <c r="L295" s="190"/>
      <c r="M295" s="191"/>
      <c r="N295" s="191"/>
      <c r="O295" s="191"/>
      <c r="P295" s="191"/>
      <c r="Q295" s="191"/>
      <c r="R295" s="191"/>
      <c r="S295" s="191"/>
      <c r="T295" s="191"/>
      <c r="U295" s="191"/>
      <c r="V295" s="191"/>
    </row>
    <row r="296" spans="1:22" ht="17.25" x14ac:dyDescent="0.25">
      <c r="A296" s="193"/>
      <c r="B296" s="187"/>
      <c r="C296" s="186"/>
      <c r="D296" s="187"/>
      <c r="E296" s="187"/>
      <c r="F296" s="187"/>
      <c r="G296" s="188"/>
      <c r="H296" s="188"/>
      <c r="I296" s="192"/>
      <c r="J296" s="188"/>
      <c r="K296" s="189"/>
      <c r="L296" s="190"/>
      <c r="M296" s="191"/>
      <c r="N296" s="191"/>
      <c r="O296" s="191"/>
      <c r="P296" s="191"/>
      <c r="Q296" s="191"/>
      <c r="R296" s="191"/>
      <c r="S296" s="191"/>
      <c r="T296" s="191"/>
      <c r="U296" s="191"/>
      <c r="V296" s="191"/>
    </row>
    <row r="297" spans="1:22" ht="17.25" x14ac:dyDescent="0.25">
      <c r="A297" s="193"/>
      <c r="B297" s="187"/>
      <c r="C297" s="186"/>
      <c r="D297" s="187"/>
      <c r="E297" s="187"/>
      <c r="F297" s="187"/>
      <c r="G297" s="188"/>
      <c r="H297" s="188"/>
      <c r="I297" s="192"/>
      <c r="J297" s="188"/>
      <c r="K297" s="189"/>
      <c r="L297" s="190"/>
      <c r="M297" s="191"/>
      <c r="N297" s="191"/>
      <c r="O297" s="191"/>
      <c r="P297" s="191"/>
      <c r="Q297" s="191"/>
      <c r="R297" s="191"/>
      <c r="S297" s="191"/>
      <c r="T297" s="191"/>
      <c r="U297" s="191"/>
      <c r="V297" s="191"/>
    </row>
    <row r="298" spans="1:22" ht="17.25" x14ac:dyDescent="0.25">
      <c r="A298" s="193"/>
      <c r="B298" s="187"/>
      <c r="C298" s="186"/>
      <c r="D298" s="187"/>
      <c r="E298" s="187"/>
      <c r="F298" s="187"/>
      <c r="G298" s="188"/>
      <c r="H298" s="188"/>
      <c r="I298" s="192"/>
      <c r="J298" s="188"/>
      <c r="K298" s="189"/>
      <c r="L298" s="190"/>
      <c r="M298" s="191"/>
      <c r="N298" s="191"/>
      <c r="O298" s="191"/>
      <c r="P298" s="191"/>
      <c r="Q298" s="191"/>
      <c r="R298" s="191"/>
      <c r="S298" s="191"/>
      <c r="T298" s="191"/>
      <c r="U298" s="191"/>
      <c r="V298" s="191"/>
    </row>
    <row r="299" spans="1:22" ht="17.25" x14ac:dyDescent="0.25">
      <c r="A299" s="193"/>
      <c r="B299" s="187"/>
      <c r="C299" s="186"/>
      <c r="D299" s="187"/>
      <c r="E299" s="187"/>
      <c r="F299" s="187"/>
      <c r="G299" s="188"/>
      <c r="H299" s="188"/>
      <c r="I299" s="192"/>
      <c r="J299" s="188"/>
      <c r="K299" s="189"/>
      <c r="L299" s="190"/>
      <c r="M299" s="191"/>
      <c r="N299" s="191"/>
      <c r="O299" s="191"/>
      <c r="P299" s="191"/>
      <c r="Q299" s="191"/>
      <c r="R299" s="191"/>
      <c r="S299" s="191"/>
      <c r="T299" s="191"/>
      <c r="U299" s="191"/>
      <c r="V299" s="191"/>
    </row>
    <row r="300" spans="1:22" ht="17.25" x14ac:dyDescent="0.25">
      <c r="A300" s="193"/>
      <c r="B300" s="187"/>
      <c r="C300" s="186"/>
      <c r="D300" s="187"/>
      <c r="E300" s="187"/>
      <c r="F300" s="187"/>
      <c r="G300" s="188"/>
      <c r="H300" s="188"/>
      <c r="I300" s="192"/>
      <c r="J300" s="188"/>
      <c r="K300" s="189"/>
      <c r="L300" s="190"/>
      <c r="M300" s="191"/>
      <c r="N300" s="191"/>
      <c r="O300" s="191"/>
      <c r="P300" s="191"/>
      <c r="Q300" s="191"/>
      <c r="R300" s="191"/>
      <c r="S300" s="191"/>
      <c r="T300" s="191"/>
      <c r="U300" s="191"/>
      <c r="V300" s="191"/>
    </row>
    <row r="301" spans="1:22" ht="17.25" x14ac:dyDescent="0.25">
      <c r="A301" s="193"/>
      <c r="B301" s="187"/>
      <c r="C301" s="186"/>
      <c r="D301" s="187"/>
      <c r="E301" s="187"/>
      <c r="F301" s="187"/>
      <c r="G301" s="188"/>
      <c r="H301" s="188"/>
      <c r="I301" s="192"/>
      <c r="J301" s="188"/>
      <c r="K301" s="189"/>
      <c r="L301" s="190"/>
      <c r="M301" s="191"/>
      <c r="N301" s="191"/>
      <c r="O301" s="191"/>
      <c r="P301" s="191"/>
      <c r="Q301" s="191"/>
      <c r="R301" s="191"/>
      <c r="S301" s="191"/>
      <c r="T301" s="191"/>
      <c r="U301" s="191"/>
      <c r="V301" s="191"/>
    </row>
    <row r="302" spans="1:22" ht="17.25" x14ac:dyDescent="0.25">
      <c r="A302" s="193"/>
      <c r="B302" s="187"/>
      <c r="C302" s="186"/>
      <c r="D302" s="187"/>
      <c r="E302" s="187"/>
      <c r="F302" s="187"/>
      <c r="G302" s="188"/>
      <c r="H302" s="188"/>
      <c r="I302" s="192"/>
      <c r="J302" s="188"/>
      <c r="K302" s="189"/>
      <c r="L302" s="190"/>
      <c r="M302" s="191"/>
      <c r="N302" s="191"/>
      <c r="O302" s="191"/>
      <c r="P302" s="191"/>
      <c r="Q302" s="191"/>
      <c r="R302" s="191"/>
      <c r="S302" s="191"/>
      <c r="T302" s="191"/>
      <c r="U302" s="191"/>
      <c r="V302" s="191"/>
    </row>
  </sheetData>
  <sheetProtection selectLockedCells="1"/>
  <phoneticPr fontId="10" type="noConversion"/>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3174" stopIfTrue="1" operator="equal" id="{73AE5472-B494-4650-9E60-684DB254EFE5}">
            <xm:f>'Datasource 2'!$G$19</xm:f>
            <x14:dxf>
              <fill>
                <patternFill>
                  <bgColor rgb="FFFF0000"/>
                </patternFill>
              </fill>
            </x14:dxf>
          </x14:cfRule>
          <x14:cfRule type="cellIs" priority="3175" stopIfTrue="1" operator="equal" id="{288F47F8-1438-464C-A6E6-98109A66C528}">
            <xm:f>'Datasource 2'!$G$18</xm:f>
            <x14:dxf>
              <fill>
                <patternFill>
                  <bgColor rgb="FFFFC000"/>
                </patternFill>
              </fill>
            </x14:dxf>
          </x14:cfRule>
          <x14:cfRule type="cellIs" priority="3176" stopIfTrue="1" operator="equal" id="{FA9BA92F-14BD-42B5-890C-1037CB90642A}">
            <xm:f>'Datasource 2'!$G$17</xm:f>
            <x14:dxf>
              <fill>
                <patternFill>
                  <bgColor rgb="FFFFFF00"/>
                </patternFill>
              </fill>
            </x14:dxf>
          </x14:cfRule>
          <x14:cfRule type="cellIs" priority="3177" stopIfTrue="1" operator="equal" id="{886BDB6C-0487-49E3-8528-124ED2B5003E}">
            <xm:f>'Datasource 2'!$G$16</xm:f>
            <x14:dxf>
              <fill>
                <patternFill>
                  <bgColor rgb="FF92D050"/>
                </patternFill>
              </fill>
            </x14:dxf>
          </x14:cfRule>
          <xm:sqref>J1:L1048576</xm:sqref>
        </x14:conditionalFormatting>
        <x14:conditionalFormatting xmlns:xm="http://schemas.microsoft.com/office/excel/2006/main">
          <x14:cfRule type="cellIs" priority="3179" operator="equal" id="{0FED8BE3-36DF-4864-934A-ABC29253A8EB}">
            <xm:f>'Datasource 2'!$G$15</xm:f>
            <x14:dxf>
              <fill>
                <patternFill>
                  <bgColor rgb="FF00B050"/>
                </patternFill>
              </fill>
            </x14:dxf>
          </x14:cfRule>
          <x14:cfRule type="cellIs" priority="3180" stopIfTrue="1" operator="equal" id="{72BA2CAF-BE50-4B9B-9230-4A58BCA08DF4}">
            <xm:f>'Datasource 2'!$G$19</xm:f>
            <x14:dxf>
              <fill>
                <patternFill>
                  <bgColor rgb="FFFF0000"/>
                </patternFill>
              </fill>
            </x14:dxf>
          </x14:cfRule>
          <x14:cfRule type="cellIs" priority="3181" stopIfTrue="1" operator="equal" id="{405B7249-EC6E-4EDE-A7A4-99321E6DC9C4}">
            <xm:f>'Datasource 2'!$G$18</xm:f>
            <x14:dxf>
              <fill>
                <patternFill>
                  <bgColor rgb="FFFFC000"/>
                </patternFill>
              </fill>
            </x14:dxf>
          </x14:cfRule>
          <x14:cfRule type="cellIs" priority="3182" stopIfTrue="1" operator="equal" id="{6B6B21F2-19AD-4401-981B-4B2109C7CDC1}">
            <xm:f>'Datasource 2'!$G$17</xm:f>
            <x14:dxf>
              <fill>
                <patternFill>
                  <bgColor rgb="FFFFFF00"/>
                </patternFill>
              </fill>
            </x14:dxf>
          </x14:cfRule>
          <x14:cfRule type="cellIs" priority="3183" stopIfTrue="1" operator="equal" id="{A498253B-8577-4EFD-AF99-670C3B77F2D2}">
            <xm:f>'Datasource 2'!$G$16</xm:f>
            <x14:dxf>
              <fill>
                <patternFill>
                  <bgColor rgb="FF92D050"/>
                </patternFill>
              </fill>
            </x14:dxf>
          </x14:cfRule>
          <xm:sqref>D1:I1048576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3000000}">
          <x14:formula1>
            <xm:f>'Datasource 2'!$G$15:$G$19</xm:f>
          </x14:formula1>
          <xm:sqref>D2:F1048576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C963D-CF3B-4F79-AF14-1951250EDE5C}">
  <sheetPr codeName="Ark7">
    <tabColor rgb="FF9FF0A4"/>
  </sheetPr>
  <dimension ref="A1:AS94"/>
  <sheetViews>
    <sheetView showGridLines="0" showRowColHeaders="0" zoomScale="81" zoomScaleNormal="81" workbookViewId="0">
      <selection activeCell="K16" sqref="K16"/>
    </sheetView>
  </sheetViews>
  <sheetFormatPr baseColWidth="10" defaultColWidth="11.5703125" defaultRowHeight="15" x14ac:dyDescent="0.25"/>
  <cols>
    <col min="1" max="1" width="2.7109375" customWidth="1"/>
    <col min="2" max="2" width="23.5703125" customWidth="1"/>
    <col min="3" max="3" width="24.85546875" customWidth="1"/>
    <col min="4" max="4" width="22.7109375" customWidth="1"/>
    <col min="5" max="5" width="19.28515625" customWidth="1"/>
    <col min="6" max="6" width="17.42578125" customWidth="1"/>
    <col min="7" max="7" width="18" customWidth="1"/>
    <col min="8" max="8" width="27.140625" customWidth="1"/>
    <col min="9" max="9" width="23.85546875" customWidth="1"/>
  </cols>
  <sheetData>
    <row r="1" spans="1:45" ht="17.25" x14ac:dyDescent="0.35">
      <c r="A1" s="72"/>
      <c r="B1" s="72"/>
      <c r="C1" s="72"/>
      <c r="D1" s="72"/>
      <c r="E1" s="72"/>
      <c r="F1" s="72"/>
      <c r="G1" s="72"/>
      <c r="H1" s="72"/>
      <c r="I1" s="72"/>
      <c r="J1" s="72"/>
      <c r="K1" s="72"/>
    </row>
    <row r="2" spans="1:45" ht="23.25" x14ac:dyDescent="0.45">
      <c r="A2" s="72"/>
      <c r="B2" s="85" t="s">
        <v>88</v>
      </c>
      <c r="C2" s="86"/>
      <c r="D2" s="86"/>
      <c r="E2" s="86"/>
      <c r="F2" s="86"/>
      <c r="G2" s="86"/>
      <c r="H2" s="87"/>
      <c r="I2" s="86"/>
      <c r="J2" s="72"/>
      <c r="K2" s="72"/>
    </row>
    <row r="3" spans="1:45" ht="17.25" x14ac:dyDescent="0.35">
      <c r="A3" s="72"/>
      <c r="B3" s="88"/>
      <c r="C3" s="72"/>
      <c r="D3" s="72"/>
      <c r="E3" s="72"/>
      <c r="F3" s="72"/>
      <c r="G3" s="72"/>
      <c r="H3" s="89"/>
      <c r="I3" s="72"/>
      <c r="J3" s="72"/>
      <c r="K3" s="72"/>
    </row>
    <row r="4" spans="1:45" ht="17.25" x14ac:dyDescent="0.35">
      <c r="A4" s="72"/>
      <c r="B4" s="72"/>
      <c r="C4" s="72"/>
      <c r="D4" s="90"/>
      <c r="E4" s="91" t="s">
        <v>89</v>
      </c>
      <c r="F4" s="92"/>
      <c r="G4" s="92"/>
      <c r="H4" s="93"/>
      <c r="I4" s="94"/>
      <c r="J4" s="72"/>
      <c r="K4" s="72"/>
      <c r="L4" s="72"/>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c r="AN4" s="72"/>
      <c r="AO4" s="72"/>
      <c r="AP4" s="72"/>
      <c r="AQ4" s="72"/>
      <c r="AR4" s="72"/>
      <c r="AS4" s="72"/>
    </row>
    <row r="5" spans="1:45" ht="18" thickBot="1" x14ac:dyDescent="0.4">
      <c r="A5" s="72"/>
      <c r="B5" s="72"/>
      <c r="C5" s="72"/>
      <c r="D5" s="220" t="s">
        <v>8</v>
      </c>
      <c r="E5" s="95" t="s">
        <v>10</v>
      </c>
      <c r="F5" s="96" t="s">
        <v>13</v>
      </c>
      <c r="G5" s="97" t="s">
        <v>15</v>
      </c>
      <c r="H5" s="98" t="s">
        <v>90</v>
      </c>
      <c r="I5" s="99" t="s">
        <v>91</v>
      </c>
      <c r="J5" s="72"/>
      <c r="K5" s="72"/>
      <c r="L5" s="72"/>
      <c r="M5" s="72"/>
      <c r="N5" s="72"/>
      <c r="O5" s="72"/>
      <c r="P5" s="72"/>
      <c r="Q5" s="72"/>
      <c r="R5" s="72"/>
      <c r="S5" s="72"/>
      <c r="T5" s="72"/>
      <c r="U5" s="72"/>
      <c r="V5" s="72"/>
      <c r="W5" s="72"/>
      <c r="X5" s="72"/>
      <c r="Y5" s="72"/>
      <c r="Z5" s="72"/>
      <c r="AA5" s="72"/>
      <c r="AB5" s="72"/>
      <c r="AC5" s="72"/>
      <c r="AD5" s="72"/>
      <c r="AE5" s="72"/>
      <c r="AF5" s="72"/>
      <c r="AG5" s="72"/>
      <c r="AH5" s="72"/>
      <c r="AI5" s="72"/>
      <c r="AJ5" s="72"/>
      <c r="AK5" s="72"/>
      <c r="AL5" s="72"/>
      <c r="AM5" s="72"/>
      <c r="AN5" s="72"/>
      <c r="AO5" s="72"/>
      <c r="AP5" s="72"/>
      <c r="AQ5" s="72"/>
      <c r="AR5" s="72"/>
      <c r="AS5" s="72"/>
    </row>
    <row r="6" spans="1:45" ht="17.25" x14ac:dyDescent="0.35">
      <c r="A6" s="72"/>
      <c r="B6" s="100" t="s">
        <v>92</v>
      </c>
      <c r="C6" s="101"/>
      <c r="D6" s="102"/>
      <c r="E6" s="102"/>
      <c r="F6" s="102"/>
      <c r="G6" s="102"/>
      <c r="H6" s="103"/>
      <c r="I6" s="102"/>
      <c r="J6" s="72"/>
      <c r="K6" s="72"/>
      <c r="L6" s="72"/>
      <c r="M6" s="72"/>
      <c r="N6" s="72"/>
      <c r="O6" s="72"/>
      <c r="P6" s="72"/>
      <c r="Q6" s="72"/>
      <c r="R6" s="72"/>
      <c r="S6" s="72"/>
      <c r="T6" s="72"/>
      <c r="U6" s="72"/>
      <c r="V6" s="72"/>
      <c r="W6" s="72"/>
      <c r="X6" s="72"/>
      <c r="Y6" s="72"/>
      <c r="Z6" s="72"/>
      <c r="AA6" s="72"/>
      <c r="AB6" s="72"/>
      <c r="AC6" s="72"/>
      <c r="AD6" s="72"/>
      <c r="AE6" s="72"/>
      <c r="AF6" s="72"/>
      <c r="AG6" s="72"/>
      <c r="AH6" s="72"/>
      <c r="AI6" s="72"/>
      <c r="AJ6" s="72"/>
      <c r="AK6" s="72"/>
      <c r="AL6" s="72"/>
      <c r="AM6" s="72"/>
      <c r="AN6" s="72"/>
      <c r="AO6" s="72"/>
      <c r="AP6" s="72"/>
      <c r="AQ6" s="72"/>
      <c r="AR6" s="72"/>
      <c r="AS6" s="72"/>
    </row>
    <row r="7" spans="1:45" ht="17.25" x14ac:dyDescent="0.35">
      <c r="A7" s="72"/>
      <c r="B7" s="349" t="s">
        <v>93</v>
      </c>
      <c r="C7" s="94" t="s">
        <v>94</v>
      </c>
      <c r="D7" s="221" t="s">
        <v>95</v>
      </c>
      <c r="E7" s="104" t="s">
        <v>96</v>
      </c>
      <c r="F7" s="105"/>
      <c r="G7" s="106"/>
      <c r="H7" s="107"/>
      <c r="I7" s="108"/>
      <c r="J7" s="72"/>
      <c r="K7" s="72"/>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72"/>
      <c r="AR7" s="72"/>
      <c r="AS7" s="72"/>
    </row>
    <row r="8" spans="1:45" ht="17.25" x14ac:dyDescent="0.35">
      <c r="A8" s="72"/>
      <c r="B8" s="350"/>
      <c r="C8" s="94" t="s">
        <v>97</v>
      </c>
      <c r="D8" s="221"/>
      <c r="E8" s="104"/>
      <c r="F8" s="105"/>
      <c r="G8" s="109"/>
      <c r="H8" s="108"/>
      <c r="I8" s="110"/>
      <c r="J8" s="72"/>
      <c r="K8" s="72"/>
      <c r="L8" s="72"/>
      <c r="M8" s="72"/>
      <c r="N8" s="72"/>
      <c r="O8" s="72"/>
      <c r="P8" s="72"/>
      <c r="Q8" s="72"/>
      <c r="R8" s="72"/>
      <c r="S8" s="72"/>
      <c r="T8" s="72"/>
      <c r="U8" s="72"/>
      <c r="V8" s="72"/>
      <c r="W8" s="72"/>
      <c r="X8" s="72"/>
      <c r="Y8" s="72"/>
      <c r="Z8" s="72"/>
      <c r="AA8" s="72"/>
      <c r="AB8" s="72"/>
      <c r="AC8" s="72"/>
      <c r="AD8" s="72"/>
      <c r="AE8" s="72"/>
      <c r="AF8" s="72"/>
      <c r="AG8" s="72"/>
      <c r="AH8" s="72"/>
      <c r="AI8" s="72"/>
      <c r="AJ8" s="72"/>
      <c r="AK8" s="72"/>
      <c r="AL8" s="72"/>
      <c r="AM8" s="72"/>
      <c r="AN8" s="72"/>
      <c r="AO8" s="72"/>
      <c r="AP8" s="72"/>
      <c r="AQ8" s="72"/>
      <c r="AR8" s="72"/>
      <c r="AS8" s="72"/>
    </row>
    <row r="9" spans="1:45" ht="17.25" x14ac:dyDescent="0.35">
      <c r="A9" s="72"/>
      <c r="B9" s="349"/>
      <c r="C9" s="94" t="s">
        <v>94</v>
      </c>
      <c r="D9" s="221"/>
      <c r="E9" s="104"/>
      <c r="F9" s="105"/>
      <c r="G9" s="109"/>
      <c r="H9" s="107"/>
      <c r="I9" s="108"/>
      <c r="J9" s="72"/>
      <c r="K9" s="72"/>
      <c r="L9" s="72"/>
      <c r="M9" s="72"/>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row>
    <row r="10" spans="1:45" ht="17.25" x14ac:dyDescent="0.35">
      <c r="A10" s="72"/>
      <c r="B10" s="350"/>
      <c r="C10" s="94" t="s">
        <v>97</v>
      </c>
      <c r="D10" s="221"/>
      <c r="E10" s="104"/>
      <c r="F10" s="105"/>
      <c r="G10" s="109"/>
      <c r="H10" s="108"/>
      <c r="I10" s="110"/>
      <c r="J10" s="72"/>
      <c r="K10" s="72"/>
      <c r="L10" s="72"/>
      <c r="M10" s="72"/>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row>
    <row r="11" spans="1:45" ht="17.25" x14ac:dyDescent="0.35">
      <c r="A11" s="72"/>
      <c r="B11" s="349"/>
      <c r="C11" s="94" t="s">
        <v>94</v>
      </c>
      <c r="D11" s="221"/>
      <c r="E11" s="104"/>
      <c r="F11" s="105"/>
      <c r="G11" s="109"/>
      <c r="H11" s="107"/>
      <c r="I11" s="108"/>
      <c r="J11" s="72"/>
      <c r="K11" s="72"/>
      <c r="L11" s="72"/>
      <c r="M11" s="72"/>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row>
    <row r="12" spans="1:45" ht="17.25" x14ac:dyDescent="0.35">
      <c r="A12" s="72"/>
      <c r="B12" s="350"/>
      <c r="C12" s="94" t="s">
        <v>97</v>
      </c>
      <c r="D12" s="221"/>
      <c r="E12" s="104"/>
      <c r="F12" s="105"/>
      <c r="G12" s="109"/>
      <c r="H12" s="108"/>
      <c r="I12" s="110"/>
      <c r="J12" s="72"/>
      <c r="K12" s="72"/>
      <c r="L12" s="72"/>
      <c r="M12" s="72"/>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row>
    <row r="13" spans="1:45" ht="17.25" x14ac:dyDescent="0.35">
      <c r="A13" s="72"/>
      <c r="B13" s="349"/>
      <c r="C13" s="94" t="s">
        <v>94</v>
      </c>
      <c r="D13" s="221"/>
      <c r="E13" s="104"/>
      <c r="F13" s="105"/>
      <c r="G13" s="109"/>
      <c r="H13" s="107"/>
      <c r="I13" s="108"/>
      <c r="J13" s="72"/>
      <c r="K13" s="72"/>
      <c r="L13" s="72"/>
      <c r="M13" s="72"/>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row>
    <row r="14" spans="1:45" ht="17.25" x14ac:dyDescent="0.35">
      <c r="A14" s="72"/>
      <c r="B14" s="350"/>
      <c r="C14" s="94" t="s">
        <v>97</v>
      </c>
      <c r="D14" s="221"/>
      <c r="E14" s="104"/>
      <c r="F14" s="105"/>
      <c r="G14" s="109"/>
      <c r="H14" s="108"/>
      <c r="I14" s="110"/>
      <c r="J14" s="72"/>
      <c r="K14" s="72"/>
      <c r="L14" s="72"/>
      <c r="M14" s="72"/>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row>
    <row r="15" spans="1:45" ht="17.25" x14ac:dyDescent="0.35">
      <c r="A15" s="72"/>
      <c r="B15" s="100" t="s">
        <v>92</v>
      </c>
      <c r="C15" s="101"/>
      <c r="D15" s="101"/>
      <c r="E15" s="101"/>
      <c r="F15" s="101"/>
      <c r="G15" s="101"/>
      <c r="H15" s="107"/>
      <c r="I15" s="101"/>
      <c r="J15" s="72"/>
      <c r="K15" s="72"/>
      <c r="L15" s="72"/>
      <c r="M15" s="72"/>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row>
    <row r="16" spans="1:45" ht="17.25" x14ac:dyDescent="0.35">
      <c r="A16" s="72"/>
      <c r="B16" s="349"/>
      <c r="C16" s="94" t="s">
        <v>94</v>
      </c>
      <c r="D16" s="221" t="s">
        <v>95</v>
      </c>
      <c r="E16" s="104" t="s">
        <v>96</v>
      </c>
      <c r="F16" s="105"/>
      <c r="G16" s="106"/>
      <c r="H16" s="107"/>
      <c r="I16" s="108"/>
      <c r="J16" s="72"/>
      <c r="K16" s="72"/>
      <c r="L16" s="72"/>
      <c r="M16" s="72"/>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row>
    <row r="17" spans="1:45" ht="17.25" x14ac:dyDescent="0.35">
      <c r="A17" s="72"/>
      <c r="B17" s="350"/>
      <c r="C17" s="94" t="s">
        <v>97</v>
      </c>
      <c r="D17" s="221"/>
      <c r="E17" s="104"/>
      <c r="F17" s="105"/>
      <c r="G17" s="109"/>
      <c r="H17" s="108"/>
      <c r="I17" s="110"/>
      <c r="J17" s="72"/>
      <c r="K17" s="72"/>
      <c r="L17" s="72"/>
      <c r="M17" s="72"/>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row>
    <row r="18" spans="1:45" ht="17.25" x14ac:dyDescent="0.35">
      <c r="A18" s="72"/>
      <c r="B18" s="348"/>
      <c r="C18" s="94" t="s">
        <v>94</v>
      </c>
      <c r="D18" s="221"/>
      <c r="E18" s="104"/>
      <c r="F18" s="105"/>
      <c r="G18" s="109"/>
      <c r="H18" s="107"/>
      <c r="I18" s="108"/>
      <c r="J18" s="72"/>
      <c r="K18" s="72"/>
      <c r="L18" s="72"/>
      <c r="M18" s="72"/>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row>
    <row r="19" spans="1:45" ht="17.25" x14ac:dyDescent="0.35">
      <c r="A19" s="72"/>
      <c r="B19" s="348"/>
      <c r="C19" s="94" t="s">
        <v>97</v>
      </c>
      <c r="D19" s="221"/>
      <c r="E19" s="104"/>
      <c r="F19" s="105"/>
      <c r="G19" s="109"/>
      <c r="H19" s="108"/>
      <c r="I19" s="110"/>
      <c r="J19" s="72"/>
      <c r="K19" s="72"/>
      <c r="L19" s="72"/>
      <c r="M19" s="72"/>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row>
    <row r="20" spans="1:45" ht="17.25" x14ac:dyDescent="0.35">
      <c r="A20" s="72"/>
      <c r="B20" s="348"/>
      <c r="C20" s="94" t="s">
        <v>94</v>
      </c>
      <c r="D20" s="221"/>
      <c r="E20" s="104"/>
      <c r="F20" s="105"/>
      <c r="G20" s="109"/>
      <c r="H20" s="107"/>
      <c r="I20" s="108"/>
      <c r="J20" s="72"/>
      <c r="K20" s="72"/>
      <c r="L20" s="72"/>
      <c r="M20" s="72"/>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row>
    <row r="21" spans="1:45" ht="17.25" x14ac:dyDescent="0.35">
      <c r="A21" s="72"/>
      <c r="B21" s="348"/>
      <c r="C21" s="94" t="s">
        <v>97</v>
      </c>
      <c r="D21" s="221"/>
      <c r="E21" s="104"/>
      <c r="F21" s="105"/>
      <c r="G21" s="109"/>
      <c r="H21" s="108"/>
      <c r="I21" s="110"/>
      <c r="J21" s="72"/>
      <c r="K21" s="72"/>
      <c r="L21" s="72"/>
      <c r="M21" s="72"/>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row>
    <row r="22" spans="1:45" ht="17.25" x14ac:dyDescent="0.35">
      <c r="A22" s="72"/>
      <c r="B22" s="348"/>
      <c r="C22" s="94" t="s">
        <v>94</v>
      </c>
      <c r="D22" s="221"/>
      <c r="E22" s="104"/>
      <c r="F22" s="105"/>
      <c r="G22" s="109"/>
      <c r="H22" s="107"/>
      <c r="I22" s="108"/>
      <c r="J22" s="72"/>
      <c r="K22" s="72"/>
      <c r="L22" s="72"/>
      <c r="M22" s="72"/>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row>
    <row r="23" spans="1:45" ht="17.25" x14ac:dyDescent="0.35">
      <c r="A23" s="72"/>
      <c r="B23" s="348"/>
      <c r="C23" s="94" t="s">
        <v>97</v>
      </c>
      <c r="D23" s="221"/>
      <c r="E23" s="104"/>
      <c r="F23" s="105"/>
      <c r="G23" s="109"/>
      <c r="H23" s="108"/>
      <c r="I23" s="110"/>
      <c r="J23" s="72"/>
      <c r="K23" s="72"/>
      <c r="L23" s="72"/>
      <c r="M23" s="72"/>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row>
    <row r="24" spans="1:45" ht="17.25" x14ac:dyDescent="0.35">
      <c r="A24" s="72"/>
      <c r="B24" s="100" t="s">
        <v>92</v>
      </c>
      <c r="C24" s="101"/>
      <c r="D24" s="101"/>
      <c r="E24" s="101"/>
      <c r="F24" s="101"/>
      <c r="G24" s="101"/>
      <c r="H24" s="107"/>
      <c r="I24" s="101"/>
      <c r="J24" s="72"/>
      <c r="K24" s="72"/>
      <c r="L24" s="72"/>
      <c r="M24" s="72"/>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row>
    <row r="25" spans="1:45" ht="17.25" x14ac:dyDescent="0.35">
      <c r="A25" s="72"/>
      <c r="B25" s="349"/>
      <c r="C25" s="94" t="s">
        <v>94</v>
      </c>
      <c r="D25" s="221" t="s">
        <v>95</v>
      </c>
      <c r="E25" s="104" t="s">
        <v>96</v>
      </c>
      <c r="F25" s="105"/>
      <c r="G25" s="106"/>
      <c r="H25" s="107"/>
      <c r="I25" s="108"/>
      <c r="J25" s="72"/>
      <c r="K25" s="72"/>
      <c r="L25" s="72"/>
      <c r="M25" s="72"/>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row>
    <row r="26" spans="1:45" ht="17.25" x14ac:dyDescent="0.35">
      <c r="A26" s="72"/>
      <c r="B26" s="350"/>
      <c r="C26" s="94" t="s">
        <v>97</v>
      </c>
      <c r="D26" s="221"/>
      <c r="E26" s="104"/>
      <c r="F26" s="105"/>
      <c r="G26" s="109"/>
      <c r="H26" s="108"/>
      <c r="I26" s="110"/>
      <c r="J26" s="72"/>
      <c r="K26" s="72"/>
      <c r="L26" s="72"/>
      <c r="M26" s="72"/>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row>
    <row r="27" spans="1:45" ht="17.25" x14ac:dyDescent="0.35">
      <c r="A27" s="72"/>
      <c r="B27" s="348"/>
      <c r="C27" s="94" t="s">
        <v>94</v>
      </c>
      <c r="D27" s="221"/>
      <c r="E27" s="104"/>
      <c r="F27" s="105"/>
      <c r="G27" s="109"/>
      <c r="H27" s="107"/>
      <c r="I27" s="108"/>
      <c r="J27" s="72"/>
      <c r="K27" s="72"/>
      <c r="L27" s="72"/>
      <c r="M27" s="72"/>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row>
    <row r="28" spans="1:45" ht="17.25" x14ac:dyDescent="0.35">
      <c r="A28" s="72"/>
      <c r="B28" s="348"/>
      <c r="C28" s="94" t="s">
        <v>97</v>
      </c>
      <c r="D28" s="221"/>
      <c r="E28" s="104"/>
      <c r="F28" s="105"/>
      <c r="G28" s="109"/>
      <c r="H28" s="108"/>
      <c r="I28" s="110"/>
      <c r="J28" s="72"/>
      <c r="K28" s="72"/>
      <c r="L28" s="72"/>
      <c r="M28" s="72"/>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row>
    <row r="29" spans="1:45" ht="17.25" x14ac:dyDescent="0.35">
      <c r="A29" s="72"/>
      <c r="B29" s="348"/>
      <c r="C29" s="94" t="s">
        <v>94</v>
      </c>
      <c r="D29" s="221"/>
      <c r="E29" s="104"/>
      <c r="F29" s="105"/>
      <c r="G29" s="109"/>
      <c r="H29" s="107"/>
      <c r="I29" s="108"/>
      <c r="J29" s="72"/>
      <c r="K29" s="72"/>
      <c r="L29" s="72"/>
      <c r="M29" s="72"/>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row>
    <row r="30" spans="1:45" ht="17.25" x14ac:dyDescent="0.35">
      <c r="A30" s="72"/>
      <c r="B30" s="348"/>
      <c r="C30" s="94" t="s">
        <v>97</v>
      </c>
      <c r="D30" s="221"/>
      <c r="E30" s="104"/>
      <c r="F30" s="105"/>
      <c r="G30" s="109"/>
      <c r="H30" s="108"/>
      <c r="I30" s="110"/>
      <c r="J30" s="72"/>
      <c r="K30" s="72"/>
      <c r="L30" s="72"/>
      <c r="M30" s="72"/>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row>
    <row r="31" spans="1:45" ht="17.25" x14ac:dyDescent="0.35">
      <c r="A31" s="72"/>
      <c r="B31" s="348"/>
      <c r="C31" s="94" t="s">
        <v>94</v>
      </c>
      <c r="D31" s="221"/>
      <c r="E31" s="104"/>
      <c r="F31" s="105"/>
      <c r="G31" s="109"/>
      <c r="H31" s="107"/>
      <c r="I31" s="108"/>
      <c r="J31" s="72"/>
      <c r="K31" s="72"/>
      <c r="L31" s="72"/>
      <c r="M31" s="72"/>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row>
    <row r="32" spans="1:45" ht="17.25" x14ac:dyDescent="0.35">
      <c r="A32" s="72"/>
      <c r="B32" s="348"/>
      <c r="C32" s="94" t="s">
        <v>97</v>
      </c>
      <c r="D32" s="221"/>
      <c r="E32" s="104"/>
      <c r="F32" s="105"/>
      <c r="G32" s="109"/>
      <c r="H32" s="108"/>
      <c r="I32" s="110"/>
      <c r="J32" s="72"/>
      <c r="K32" s="72"/>
      <c r="L32" s="72"/>
      <c r="M32" s="72"/>
      <c r="N32" s="72"/>
      <c r="O32" s="72"/>
      <c r="P32" s="72"/>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row>
    <row r="33" spans="1:45" ht="17.25" x14ac:dyDescent="0.35">
      <c r="A33" s="72"/>
      <c r="B33" s="100" t="s">
        <v>92</v>
      </c>
      <c r="C33" s="101"/>
      <c r="D33" s="101"/>
      <c r="E33" s="101"/>
      <c r="F33" s="101"/>
      <c r="G33" s="101"/>
      <c r="H33" s="107"/>
      <c r="I33" s="101"/>
      <c r="J33" s="72"/>
      <c r="K33" s="72"/>
      <c r="L33" s="72"/>
      <c r="M33" s="72"/>
      <c r="N33" s="72"/>
      <c r="O33" s="72"/>
      <c r="P33" s="72"/>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row>
    <row r="34" spans="1:45" ht="17.25" x14ac:dyDescent="0.35">
      <c r="A34" s="72"/>
      <c r="B34" s="349"/>
      <c r="C34" s="94" t="s">
        <v>94</v>
      </c>
      <c r="D34" s="221" t="s">
        <v>95</v>
      </c>
      <c r="E34" s="104" t="s">
        <v>96</v>
      </c>
      <c r="F34" s="105"/>
      <c r="G34" s="106"/>
      <c r="H34" s="107"/>
      <c r="I34" s="108"/>
      <c r="J34" s="72"/>
      <c r="K34" s="72"/>
      <c r="L34" s="72"/>
      <c r="M34" s="72"/>
      <c r="N34" s="72"/>
      <c r="O34" s="72"/>
      <c r="P34" s="72"/>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row>
    <row r="35" spans="1:45" ht="17.25" x14ac:dyDescent="0.35">
      <c r="A35" s="72"/>
      <c r="B35" s="350"/>
      <c r="C35" s="94" t="s">
        <v>97</v>
      </c>
      <c r="D35" s="221"/>
      <c r="E35" s="104"/>
      <c r="F35" s="105"/>
      <c r="G35" s="109"/>
      <c r="H35" s="108"/>
      <c r="I35" s="110"/>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row>
    <row r="36" spans="1:45" ht="17.25" x14ac:dyDescent="0.35">
      <c r="A36" s="72"/>
      <c r="B36" s="348"/>
      <c r="C36" s="94" t="s">
        <v>94</v>
      </c>
      <c r="D36" s="221"/>
      <c r="E36" s="104"/>
      <c r="F36" s="105"/>
      <c r="G36" s="109"/>
      <c r="H36" s="107"/>
      <c r="I36" s="108"/>
      <c r="J36" s="72"/>
      <c r="K36" s="72"/>
      <c r="L36" s="72"/>
      <c r="M36" s="72"/>
      <c r="N36" s="72"/>
      <c r="O36" s="72"/>
      <c r="P36" s="72"/>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row>
    <row r="37" spans="1:45" ht="17.25" x14ac:dyDescent="0.35">
      <c r="A37" s="72"/>
      <c r="B37" s="348"/>
      <c r="C37" s="94" t="s">
        <v>97</v>
      </c>
      <c r="D37" s="221"/>
      <c r="E37" s="104"/>
      <c r="F37" s="105"/>
      <c r="G37" s="109"/>
      <c r="H37" s="108"/>
      <c r="I37" s="110"/>
      <c r="J37" s="72"/>
      <c r="K37" s="72"/>
      <c r="L37" s="72"/>
      <c r="M37" s="72"/>
      <c r="N37" s="72"/>
      <c r="O37" s="72"/>
      <c r="P37" s="72"/>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row>
    <row r="38" spans="1:45" ht="17.25" x14ac:dyDescent="0.35">
      <c r="A38" s="72"/>
      <c r="B38" s="348"/>
      <c r="C38" s="94" t="s">
        <v>94</v>
      </c>
      <c r="D38" s="221"/>
      <c r="E38" s="104"/>
      <c r="F38" s="105"/>
      <c r="G38" s="109"/>
      <c r="H38" s="107"/>
      <c r="I38" s="108"/>
      <c r="J38" s="72"/>
      <c r="K38" s="72"/>
      <c r="L38" s="72"/>
      <c r="M38" s="72"/>
      <c r="N38" s="72"/>
      <c r="O38" s="72"/>
      <c r="P38" s="72"/>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row>
    <row r="39" spans="1:45" ht="17.25" x14ac:dyDescent="0.35">
      <c r="A39" s="72"/>
      <c r="B39" s="348"/>
      <c r="C39" s="94" t="s">
        <v>97</v>
      </c>
      <c r="D39" s="221"/>
      <c r="E39" s="104"/>
      <c r="F39" s="105"/>
      <c r="G39" s="109"/>
      <c r="H39" s="108"/>
      <c r="I39" s="110"/>
      <c r="J39" s="72"/>
      <c r="K39" s="72"/>
      <c r="L39" s="72"/>
      <c r="M39" s="72"/>
      <c r="N39" s="72"/>
      <c r="O39" s="72"/>
      <c r="P39" s="72"/>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row>
    <row r="40" spans="1:45" ht="17.25" x14ac:dyDescent="0.35">
      <c r="A40" s="72"/>
      <c r="B40" s="348"/>
      <c r="C40" s="94" t="s">
        <v>94</v>
      </c>
      <c r="D40" s="221"/>
      <c r="E40" s="104"/>
      <c r="F40" s="105"/>
      <c r="G40" s="109"/>
      <c r="H40" s="107"/>
      <c r="I40" s="108"/>
      <c r="J40" s="72"/>
      <c r="K40" s="72"/>
      <c r="L40" s="72"/>
      <c r="M40" s="72"/>
      <c r="N40" s="72"/>
      <c r="O40" s="72"/>
      <c r="P40" s="72"/>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row>
    <row r="41" spans="1:45" ht="17.25" x14ac:dyDescent="0.35">
      <c r="A41" s="72"/>
      <c r="B41" s="348"/>
      <c r="C41" s="94" t="s">
        <v>97</v>
      </c>
      <c r="D41" s="221"/>
      <c r="E41" s="104"/>
      <c r="F41" s="105"/>
      <c r="G41" s="109"/>
      <c r="H41" s="108"/>
      <c r="I41" s="110"/>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row>
    <row r="42" spans="1:45" ht="17.25" x14ac:dyDescent="0.35">
      <c r="A42" s="72"/>
      <c r="B42" s="72"/>
      <c r="C42" s="72"/>
      <c r="D42" s="72"/>
      <c r="E42" s="72"/>
      <c r="F42" s="72"/>
      <c r="G42" s="72"/>
      <c r="H42" s="72"/>
      <c r="I42" s="72"/>
      <c r="J42" s="72"/>
      <c r="K42" s="72"/>
      <c r="L42" s="72"/>
      <c r="M42" s="72"/>
      <c r="N42" s="72"/>
      <c r="O42" s="72"/>
      <c r="P42" s="72"/>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row>
    <row r="43" spans="1:45" ht="17.25" x14ac:dyDescent="0.35">
      <c r="A43" s="72"/>
      <c r="B43" s="72"/>
      <c r="C43" s="72"/>
      <c r="D43" s="72"/>
      <c r="E43" s="72"/>
      <c r="F43" s="72"/>
      <c r="G43" s="72"/>
      <c r="H43" s="72"/>
      <c r="I43" s="72"/>
      <c r="J43" s="72"/>
      <c r="K43" s="72"/>
      <c r="L43" s="72"/>
      <c r="M43" s="72"/>
      <c r="N43" s="72"/>
      <c r="O43" s="72"/>
      <c r="P43" s="72"/>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row>
    <row r="44" spans="1:45" ht="17.25" x14ac:dyDescent="0.35">
      <c r="A44" s="72"/>
      <c r="B44" s="72"/>
      <c r="C44" s="72"/>
      <c r="D44" s="72"/>
      <c r="E44" s="72"/>
      <c r="F44" s="72"/>
      <c r="G44" s="72"/>
      <c r="H44" s="72"/>
      <c r="I44" s="72"/>
      <c r="J44" s="72"/>
      <c r="K44" s="72"/>
      <c r="L44" s="72"/>
      <c r="M44" s="72"/>
      <c r="N44" s="72"/>
      <c r="O44" s="72"/>
      <c r="P44" s="72"/>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row>
    <row r="45" spans="1:45" ht="17.25" x14ac:dyDescent="0.35">
      <c r="A45" s="72"/>
      <c r="B45" s="72"/>
      <c r="C45" s="72"/>
      <c r="D45" s="72"/>
      <c r="E45" s="72"/>
      <c r="F45" s="72"/>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row>
    <row r="46" spans="1:45" ht="17.25" x14ac:dyDescent="0.35">
      <c r="A46" s="72"/>
      <c r="B46" s="72"/>
      <c r="C46" s="72"/>
      <c r="D46" s="72"/>
      <c r="E46" s="72"/>
      <c r="F46" s="72"/>
      <c r="G46" s="72"/>
      <c r="H46" s="72"/>
      <c r="I46" s="72"/>
      <c r="J46" s="72"/>
      <c r="K46" s="72"/>
      <c r="L46" s="72"/>
      <c r="M46" s="72"/>
      <c r="N46" s="72"/>
      <c r="O46" s="72"/>
      <c r="P46" s="72"/>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row>
    <row r="47" spans="1:45" ht="17.25" x14ac:dyDescent="0.35">
      <c r="J47" s="72"/>
      <c r="K47" s="72"/>
      <c r="L47" s="72"/>
      <c r="M47" s="72"/>
      <c r="N47" s="72"/>
      <c r="O47" s="72"/>
      <c r="P47" s="72"/>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row>
    <row r="48" spans="1:45" ht="17.25" x14ac:dyDescent="0.35">
      <c r="J48" s="72"/>
      <c r="K48" s="72"/>
      <c r="L48" s="72"/>
      <c r="M48" s="72"/>
      <c r="N48" s="72"/>
      <c r="O48" s="72"/>
      <c r="P48" s="72"/>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row>
    <row r="49" spans="10:45" ht="17.25" x14ac:dyDescent="0.35">
      <c r="J49" s="72"/>
      <c r="K49" s="72"/>
      <c r="L49" s="72"/>
      <c r="M49" s="72"/>
      <c r="N49" s="72"/>
      <c r="O49" s="72"/>
      <c r="P49" s="72"/>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row>
    <row r="50" spans="10:45" ht="17.25" x14ac:dyDescent="0.35">
      <c r="J50" s="72"/>
      <c r="K50" s="72"/>
      <c r="L50" s="72"/>
      <c r="M50" s="72"/>
      <c r="N50" s="72"/>
      <c r="O50" s="72"/>
      <c r="P50" s="72"/>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row>
    <row r="51" spans="10:45" ht="17.25" x14ac:dyDescent="0.35">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row>
    <row r="52" spans="10:45" ht="17.25" x14ac:dyDescent="0.35">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row>
    <row r="53" spans="10:45" ht="17.25" x14ac:dyDescent="0.35">
      <c r="J53" s="72"/>
      <c r="K53" s="72"/>
      <c r="L53" s="72"/>
      <c r="M53" s="72"/>
      <c r="N53" s="72"/>
      <c r="O53" s="72"/>
      <c r="P53" s="72"/>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row>
    <row r="54" spans="10:45" ht="17.25" x14ac:dyDescent="0.35">
      <c r="J54" s="72"/>
      <c r="K54" s="72"/>
      <c r="L54" s="72"/>
      <c r="M54" s="72"/>
      <c r="N54" s="72"/>
      <c r="O54" s="72"/>
      <c r="P54" s="72"/>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row>
    <row r="55" spans="10:45" ht="17.25" x14ac:dyDescent="0.35">
      <c r="J55" s="72"/>
      <c r="K55" s="72"/>
      <c r="L55" s="72"/>
      <c r="M55" s="72"/>
      <c r="N55" s="72"/>
      <c r="O55" s="72"/>
      <c r="P55" s="72"/>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row>
    <row r="56" spans="10:45" ht="17.25" x14ac:dyDescent="0.35">
      <c r="J56" s="72"/>
      <c r="K56" s="72"/>
      <c r="L56" s="72"/>
      <c r="M56" s="72"/>
      <c r="N56" s="72"/>
      <c r="O56" s="72"/>
      <c r="P56" s="72"/>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row>
    <row r="57" spans="10:45" ht="17.25" x14ac:dyDescent="0.35">
      <c r="J57" s="72"/>
      <c r="K57" s="72"/>
      <c r="L57" s="72"/>
      <c r="M57" s="72"/>
      <c r="N57" s="72"/>
      <c r="O57" s="72"/>
      <c r="P57" s="72"/>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row>
    <row r="58" spans="10:45" ht="17.25" x14ac:dyDescent="0.35">
      <c r="J58" s="72"/>
      <c r="K58" s="72"/>
      <c r="L58" s="72"/>
      <c r="M58" s="72"/>
      <c r="N58" s="72"/>
      <c r="O58" s="72"/>
      <c r="P58" s="72"/>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row>
    <row r="59" spans="10:45" ht="17.25" x14ac:dyDescent="0.35">
      <c r="J59" s="72"/>
      <c r="K59" s="72"/>
      <c r="L59" s="72"/>
      <c r="M59" s="72"/>
      <c r="N59" s="72"/>
      <c r="O59" s="72"/>
      <c r="P59" s="72"/>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row>
    <row r="60" spans="10:45" ht="17.25" x14ac:dyDescent="0.35">
      <c r="J60" s="72"/>
      <c r="K60" s="72"/>
      <c r="L60" s="72"/>
      <c r="M60" s="72"/>
      <c r="N60" s="72"/>
      <c r="O60" s="72"/>
      <c r="P60" s="72"/>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row>
    <row r="61" spans="10:45" ht="17.25" x14ac:dyDescent="0.35">
      <c r="J61" s="72"/>
      <c r="K61" s="72"/>
      <c r="L61" s="72"/>
      <c r="M61" s="72"/>
      <c r="N61" s="72"/>
      <c r="O61" s="72"/>
      <c r="P61" s="72"/>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row>
    <row r="62" spans="10:45" ht="17.25" x14ac:dyDescent="0.35">
      <c r="J62" s="72"/>
      <c r="K62" s="72"/>
      <c r="L62" s="72"/>
      <c r="M62" s="72"/>
      <c r="N62" s="72"/>
      <c r="O62" s="72"/>
      <c r="P62" s="72"/>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row>
    <row r="63" spans="10:45" ht="17.25" x14ac:dyDescent="0.35">
      <c r="J63" s="72"/>
      <c r="K63" s="72"/>
      <c r="L63" s="72"/>
      <c r="M63" s="72"/>
      <c r="N63" s="72"/>
      <c r="O63" s="72"/>
      <c r="P63" s="72"/>
      <c r="Q63" s="72"/>
      <c r="R63" s="72"/>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c r="AR63" s="72"/>
      <c r="AS63" s="72"/>
    </row>
    <row r="64" spans="10:45" ht="17.25" x14ac:dyDescent="0.35">
      <c r="J64" s="72"/>
      <c r="K64" s="72"/>
      <c r="L64" s="72"/>
      <c r="M64" s="72"/>
      <c r="N64" s="72"/>
      <c r="O64" s="72"/>
      <c r="P64" s="72"/>
      <c r="Q64" s="72"/>
      <c r="R64" s="72"/>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c r="AR64" s="72"/>
      <c r="AS64" s="72"/>
    </row>
    <row r="65" spans="10:45" ht="17.25" x14ac:dyDescent="0.35">
      <c r="J65" s="72"/>
      <c r="K65" s="72"/>
      <c r="L65" s="72"/>
      <c r="M65" s="72"/>
      <c r="N65" s="72"/>
      <c r="O65" s="72"/>
      <c r="P65" s="72"/>
      <c r="Q65" s="72"/>
      <c r="R65" s="72"/>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c r="AR65" s="72"/>
      <c r="AS65" s="72"/>
    </row>
    <row r="66" spans="10:45" ht="17.25" x14ac:dyDescent="0.35">
      <c r="J66" s="72"/>
      <c r="K66" s="72"/>
      <c r="L66" s="72"/>
      <c r="M66" s="72"/>
      <c r="N66" s="72"/>
      <c r="O66" s="72"/>
      <c r="P66" s="72"/>
      <c r="Q66" s="72"/>
      <c r="R66" s="72"/>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c r="AR66" s="72"/>
      <c r="AS66" s="72"/>
    </row>
    <row r="67" spans="10:45" ht="17.25" x14ac:dyDescent="0.35">
      <c r="J67" s="72"/>
      <c r="K67" s="72"/>
      <c r="L67" s="72"/>
      <c r="M67" s="72"/>
      <c r="N67" s="72"/>
      <c r="O67" s="72"/>
      <c r="P67" s="72"/>
      <c r="Q67" s="72"/>
      <c r="R67" s="72"/>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c r="AR67" s="72"/>
      <c r="AS67" s="72"/>
    </row>
    <row r="68" spans="10:45" ht="17.25" x14ac:dyDescent="0.35">
      <c r="J68" s="72"/>
      <c r="K68" s="72"/>
      <c r="L68" s="72"/>
      <c r="M68" s="72"/>
      <c r="N68" s="72"/>
      <c r="O68" s="72"/>
      <c r="P68" s="72"/>
      <c r="Q68" s="72"/>
      <c r="R68" s="72"/>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c r="AR68" s="72"/>
      <c r="AS68" s="72"/>
    </row>
    <row r="69" spans="10:45" ht="17.25" x14ac:dyDescent="0.35">
      <c r="J69" s="72"/>
      <c r="K69" s="72"/>
      <c r="L69" s="72"/>
      <c r="M69" s="72"/>
      <c r="N69" s="72"/>
      <c r="O69" s="72"/>
      <c r="P69" s="72"/>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row>
    <row r="70" spans="10:45" ht="17.25" x14ac:dyDescent="0.35">
      <c r="J70" s="72"/>
      <c r="K70" s="72"/>
      <c r="L70" s="72"/>
      <c r="M70" s="72"/>
      <c r="N70" s="72"/>
      <c r="O70" s="72"/>
      <c r="P70" s="72"/>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2"/>
    </row>
    <row r="71" spans="10:45" ht="17.25" x14ac:dyDescent="0.35">
      <c r="J71" s="72"/>
      <c r="K71" s="72"/>
      <c r="L71" s="72"/>
      <c r="M71" s="72"/>
      <c r="N71" s="72"/>
      <c r="O71" s="72"/>
      <c r="P71" s="72"/>
      <c r="Q71" s="72"/>
      <c r="R71" s="72"/>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c r="AR71" s="72"/>
      <c r="AS71" s="72"/>
    </row>
    <row r="72" spans="10:45" ht="17.25" x14ac:dyDescent="0.35">
      <c r="J72" s="72"/>
      <c r="K72" s="72"/>
      <c r="L72" s="72"/>
      <c r="M72" s="72"/>
      <c r="N72" s="72"/>
      <c r="O72" s="72"/>
      <c r="P72" s="72"/>
      <c r="Q72" s="72"/>
      <c r="R72" s="72"/>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c r="AR72" s="72"/>
      <c r="AS72" s="72"/>
    </row>
    <row r="73" spans="10:45" ht="17.25" x14ac:dyDescent="0.35">
      <c r="J73" s="72"/>
      <c r="K73" s="72"/>
      <c r="L73" s="72"/>
      <c r="M73" s="72"/>
      <c r="N73" s="72"/>
      <c r="O73" s="72"/>
      <c r="P73" s="72"/>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row>
    <row r="74" spans="10:45" ht="17.25" x14ac:dyDescent="0.35">
      <c r="J74" s="72"/>
      <c r="K74" s="72"/>
      <c r="L74" s="72"/>
      <c r="M74" s="72"/>
      <c r="N74" s="72"/>
      <c r="O74" s="72"/>
      <c r="P74" s="72"/>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row>
    <row r="75" spans="10:45" ht="17.25" x14ac:dyDescent="0.35">
      <c r="J75" s="72"/>
      <c r="K75" s="72"/>
      <c r="L75" s="72"/>
      <c r="M75" s="72"/>
      <c r="N75" s="72"/>
      <c r="O75" s="72"/>
      <c r="P75" s="72"/>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row>
    <row r="76" spans="10:45" ht="17.25" x14ac:dyDescent="0.35">
      <c r="J76" s="72"/>
      <c r="K76" s="72"/>
      <c r="L76" s="72"/>
      <c r="M76" s="72"/>
      <c r="N76" s="72"/>
      <c r="O76" s="72"/>
      <c r="P76" s="72"/>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row>
    <row r="77" spans="10:45" ht="17.25" x14ac:dyDescent="0.35">
      <c r="J77" s="72"/>
      <c r="K77" s="72"/>
      <c r="L77" s="72"/>
      <c r="M77" s="72"/>
      <c r="N77" s="72"/>
      <c r="O77" s="72"/>
      <c r="P77" s="72"/>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row>
    <row r="78" spans="10:45" ht="17.25" x14ac:dyDescent="0.35">
      <c r="J78" s="72"/>
      <c r="K78" s="72"/>
      <c r="L78" s="72"/>
      <c r="M78" s="72"/>
      <c r="N78" s="72"/>
      <c r="O78" s="72"/>
      <c r="P78" s="72"/>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row>
    <row r="79" spans="10:45" ht="17.25" x14ac:dyDescent="0.35">
      <c r="J79" s="72"/>
      <c r="K79" s="72"/>
      <c r="L79" s="72"/>
      <c r="M79" s="72"/>
      <c r="N79" s="72"/>
      <c r="O79" s="72"/>
      <c r="P79" s="72"/>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row>
    <row r="80" spans="10:45" ht="17.25" x14ac:dyDescent="0.35">
      <c r="J80" s="72"/>
      <c r="K80" s="72"/>
      <c r="L80" s="72"/>
      <c r="M80" s="72"/>
      <c r="N80" s="72"/>
      <c r="O80" s="72"/>
      <c r="P80" s="72"/>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row>
    <row r="81" spans="10:45" ht="17.25" x14ac:dyDescent="0.35">
      <c r="J81" s="72"/>
      <c r="K81" s="72"/>
      <c r="L81" s="72"/>
      <c r="M81" s="72"/>
      <c r="N81" s="72"/>
      <c r="O81" s="72"/>
      <c r="P81" s="72"/>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row>
    <row r="82" spans="10:45" ht="17.25" x14ac:dyDescent="0.35">
      <c r="J82" s="72"/>
      <c r="K82" s="72"/>
      <c r="L82" s="72"/>
      <c r="M82" s="72"/>
      <c r="N82" s="72"/>
      <c r="O82" s="72"/>
      <c r="P82" s="72"/>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row>
    <row r="83" spans="10:45" ht="17.25" x14ac:dyDescent="0.35">
      <c r="J83" s="72"/>
      <c r="K83" s="72"/>
      <c r="L83" s="72"/>
      <c r="M83" s="72"/>
      <c r="N83" s="72"/>
      <c r="O83" s="72"/>
      <c r="P83" s="72"/>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row>
    <row r="84" spans="10:45" ht="17.25" x14ac:dyDescent="0.35">
      <c r="J84" s="72"/>
      <c r="K84" s="72"/>
      <c r="L84" s="72"/>
      <c r="M84" s="72"/>
      <c r="N84" s="72"/>
      <c r="O84" s="72"/>
      <c r="P84" s="72"/>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row>
    <row r="85" spans="10:45" ht="17.25" x14ac:dyDescent="0.35">
      <c r="J85" s="72"/>
      <c r="K85" s="72"/>
      <c r="L85" s="72"/>
      <c r="M85" s="72"/>
      <c r="N85" s="72"/>
      <c r="O85" s="72"/>
      <c r="P85" s="72"/>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row>
    <row r="86" spans="10:45" ht="17.25" x14ac:dyDescent="0.35">
      <c r="J86" s="72"/>
      <c r="K86" s="72"/>
      <c r="L86" s="72"/>
      <c r="M86" s="72"/>
      <c r="N86" s="72"/>
      <c r="O86" s="72"/>
      <c r="P86" s="72"/>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row>
    <row r="87" spans="10:45" ht="17.25" x14ac:dyDescent="0.35">
      <c r="J87" s="72"/>
      <c r="K87" s="72"/>
      <c r="L87" s="72"/>
      <c r="M87" s="72"/>
      <c r="N87" s="72"/>
      <c r="O87" s="72"/>
      <c r="P87" s="72"/>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row>
    <row r="88" spans="10:45" ht="17.25" x14ac:dyDescent="0.35">
      <c r="J88" s="72"/>
      <c r="K88" s="72"/>
      <c r="L88" s="72"/>
      <c r="M88" s="72"/>
      <c r="N88" s="72"/>
      <c r="O88" s="72"/>
      <c r="P88" s="72"/>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row>
    <row r="89" spans="10:45" ht="17.25" x14ac:dyDescent="0.35">
      <c r="J89" s="72"/>
      <c r="K89" s="72"/>
      <c r="L89" s="72"/>
      <c r="M89" s="72"/>
      <c r="N89" s="72"/>
      <c r="O89" s="72"/>
      <c r="P89" s="72"/>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row>
    <row r="90" spans="10:45" ht="17.25" x14ac:dyDescent="0.35">
      <c r="J90" s="72"/>
      <c r="K90" s="72"/>
      <c r="L90" s="72"/>
      <c r="M90" s="72"/>
      <c r="N90" s="72"/>
      <c r="O90" s="72"/>
      <c r="P90" s="72"/>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row>
    <row r="91" spans="10:45" ht="17.25" x14ac:dyDescent="0.35">
      <c r="J91" s="72"/>
      <c r="K91" s="72"/>
      <c r="L91" s="72"/>
      <c r="M91" s="72"/>
      <c r="N91" s="72"/>
      <c r="O91" s="72"/>
      <c r="P91" s="72"/>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row>
    <row r="92" spans="10:45" ht="17.25" x14ac:dyDescent="0.35">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row>
    <row r="93" spans="10:45" ht="17.25" x14ac:dyDescent="0.35">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row>
    <row r="94" spans="10:45" ht="17.25" x14ac:dyDescent="0.35">
      <c r="J94" s="72"/>
      <c r="K94" s="72"/>
      <c r="L94" s="72"/>
      <c r="M94" s="72"/>
      <c r="N94" s="72"/>
      <c r="O94" s="72"/>
      <c r="P94" s="72"/>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row>
  </sheetData>
  <sheetProtection selectLockedCells="1"/>
  <mergeCells count="16">
    <mergeCell ref="B34:B35"/>
    <mergeCell ref="B36:B37"/>
    <mergeCell ref="B38:B39"/>
    <mergeCell ref="B40:B41"/>
    <mergeCell ref="B20:B21"/>
    <mergeCell ref="B22:B23"/>
    <mergeCell ref="B25:B26"/>
    <mergeCell ref="B27:B28"/>
    <mergeCell ref="B29:B30"/>
    <mergeCell ref="B31:B32"/>
    <mergeCell ref="B18:B19"/>
    <mergeCell ref="B7:B8"/>
    <mergeCell ref="B9:B10"/>
    <mergeCell ref="B11:B12"/>
    <mergeCell ref="B13:B14"/>
    <mergeCell ref="B16:B17"/>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4">
    <tabColor rgb="FF9FF0A4"/>
    <pageSetUpPr autoPageBreaks="0"/>
  </sheetPr>
  <dimension ref="A1:U57"/>
  <sheetViews>
    <sheetView showGridLines="0" zoomScale="82" zoomScaleNormal="82" workbookViewId="0">
      <pane ySplit="2" topLeftCell="A3" activePane="bottomLeft" state="frozen"/>
      <selection pane="bottomLeft" activeCell="P19" sqref="P19"/>
    </sheetView>
  </sheetViews>
  <sheetFormatPr baseColWidth="10" defaultColWidth="11.5703125" defaultRowHeight="15" x14ac:dyDescent="0.25"/>
  <cols>
    <col min="1" max="1" width="4.140625" style="60" customWidth="1"/>
    <col min="2" max="2" width="21.140625" style="26" customWidth="1"/>
    <col min="3" max="3" width="15.140625" style="1" customWidth="1"/>
    <col min="4" max="4" width="23" style="1" customWidth="1"/>
    <col min="5" max="5" width="10.7109375" style="1" hidden="1" customWidth="1"/>
    <col min="6" max="6" width="22.42578125" style="1" customWidth="1"/>
    <col min="7" max="7" width="10.7109375" style="1" hidden="1" customWidth="1"/>
    <col min="8" max="8" width="22.5703125" style="1" customWidth="1"/>
    <col min="9" max="9" width="5.7109375" style="1" hidden="1" customWidth="1"/>
    <col min="10" max="10" width="17.140625" style="1" customWidth="1"/>
    <col min="11" max="11" width="5.7109375" style="1" hidden="1" customWidth="1"/>
    <col min="12" max="12" width="19.140625" style="1" customWidth="1"/>
    <col min="13" max="13" width="5.7109375" style="1" hidden="1" customWidth="1"/>
    <col min="14" max="14" width="14.140625" style="1" hidden="1" customWidth="1"/>
    <col min="15" max="15" width="16.28515625" style="2" customWidth="1"/>
    <col min="16" max="16" width="16.140625" style="2" bestFit="1" customWidth="1"/>
    <col min="17" max="18" width="8.5703125" style="25" hidden="1" customWidth="1"/>
    <col min="19" max="19" width="14" style="25" hidden="1" customWidth="1"/>
    <col min="20" max="20" width="11.140625" style="13" hidden="1" customWidth="1"/>
    <col min="21" max="21" width="46.42578125" style="1" customWidth="1"/>
    <col min="22" max="16384" width="11.5703125" style="1"/>
  </cols>
  <sheetData>
    <row r="1" spans="1:21" ht="123.75" customHeight="1" x14ac:dyDescent="0.25">
      <c r="A1" s="111" t="s">
        <v>132</v>
      </c>
      <c r="B1" s="351" t="s">
        <v>312</v>
      </c>
      <c r="C1" s="356" t="s">
        <v>100</v>
      </c>
      <c r="D1" s="112" t="s">
        <v>352</v>
      </c>
      <c r="E1" s="113"/>
      <c r="F1" s="114" t="s">
        <v>353</v>
      </c>
      <c r="G1" s="113"/>
      <c r="H1" s="112" t="s">
        <v>354</v>
      </c>
      <c r="I1" s="113"/>
      <c r="J1" s="112" t="s">
        <v>355</v>
      </c>
      <c r="K1" s="113"/>
      <c r="L1" s="112" t="s">
        <v>356</v>
      </c>
      <c r="M1" s="113"/>
      <c r="N1" s="113"/>
      <c r="O1" s="358" t="s">
        <v>101</v>
      </c>
      <c r="P1" s="358" t="s">
        <v>102</v>
      </c>
      <c r="Q1" s="115"/>
      <c r="R1" s="115"/>
      <c r="S1" s="354" t="s">
        <v>103</v>
      </c>
      <c r="T1" s="354" t="s">
        <v>104</v>
      </c>
      <c r="U1" s="353" t="s">
        <v>105</v>
      </c>
    </row>
    <row r="2" spans="1:21" ht="87" thickBot="1" x14ac:dyDescent="0.4">
      <c r="A2" s="116" t="s">
        <v>106</v>
      </c>
      <c r="B2" s="352"/>
      <c r="C2" s="357"/>
      <c r="D2" s="112" t="s">
        <v>357</v>
      </c>
      <c r="E2" s="117"/>
      <c r="F2" s="112" t="s">
        <v>358</v>
      </c>
      <c r="G2" s="113"/>
      <c r="H2" s="112" t="s">
        <v>359</v>
      </c>
      <c r="I2" s="113"/>
      <c r="J2" s="112" t="s">
        <v>360</v>
      </c>
      <c r="K2" s="113"/>
      <c r="L2" s="112" t="s">
        <v>361</v>
      </c>
      <c r="M2" s="113"/>
      <c r="N2" s="113"/>
      <c r="O2" s="358"/>
      <c r="P2" s="358"/>
      <c r="Q2" s="118" t="s">
        <v>107</v>
      </c>
      <c r="R2" s="118" t="s">
        <v>108</v>
      </c>
      <c r="S2" s="355"/>
      <c r="T2" s="355"/>
      <c r="U2" s="353"/>
    </row>
    <row r="3" spans="1:21" ht="17.25" x14ac:dyDescent="0.35">
      <c r="A3" s="119"/>
      <c r="B3" s="120"/>
      <c r="C3" s="121"/>
      <c r="D3" s="121"/>
      <c r="E3" s="121">
        <f t="shared" ref="E3:E41" si="0">IF(D3="x",10,0)</f>
        <v>0</v>
      </c>
      <c r="F3" s="121"/>
      <c r="G3" s="121">
        <f t="shared" ref="G3:G41" si="1">IF(F3="x",10,IF(C3=$A$2,0,1))</f>
        <v>1</v>
      </c>
      <c r="H3" s="121"/>
      <c r="I3" s="121">
        <f t="shared" ref="I3:I41" si="2">IF(H3="x",10,1)</f>
        <v>1</v>
      </c>
      <c r="J3" s="121"/>
      <c r="K3" s="121">
        <f t="shared" ref="K3:K41" si="3">IF(J3="x",5,1)</f>
        <v>1</v>
      </c>
      <c r="L3" s="121"/>
      <c r="M3" s="122">
        <f t="shared" ref="M3:M41" si="4">IF(L3="x",7,0.5)</f>
        <v>0.5</v>
      </c>
      <c r="N3" s="122">
        <f t="shared" ref="N3:N41" si="5">IF(C3=$A$1,E3*(G3+I3+K3+M3),E3*(G3*I3*K3*M3))</f>
        <v>0</v>
      </c>
      <c r="O3" s="122" t="str">
        <f>IF(B3="","",IF(C3=$A$1,IF(N3&gt;'Datasource 2'!$D$8,'Datasource 2'!$B$9,(IF(N3&gt;'Datasource 2'!$D$9,'Datasource 2'!$B$10,(IF(N3&gt;'Datasource 2'!$D$10,'Datasource 2'!$B$11,(IF(N3&gt;'Datasource 2'!$D$11,'Datasource 2'!$B$12,(IF(N3&gt;'Datasource 2'!$D$12,'Datasource 2'!$B$13,'Datasource 2'!$B$14))))))))),IF(N3&gt;'Datasource 2'!$F$8,'Datasource 2'!$B$9,(IF(N3&gt;'Datasource 2'!$F$9,'Datasource 2'!$B$10,(IF(N3&gt;'Datasource 2'!$F$10,'Datasource 2'!$B$11,(IF(N3&gt;'Datasource 2'!$F$11,'Datasource 2'!$B$12,(IF(N3&gt;'Datasource 2'!$F$12,'Datasource 2'!$B$13,'Datasource 2'!$B$14)))))))))))</f>
        <v/>
      </c>
      <c r="P3" s="121"/>
      <c r="Q3" s="123" t="e">
        <f>VLOOKUP(O3,'Datasource 2'!$B$8:$C$13,2,FALSE)</f>
        <v>#N/A</v>
      </c>
      <c r="R3" s="123" t="e">
        <f>VLOOKUP(P3,'Datasource 2'!$B$8:$C$13,2,FALSE)</f>
        <v>#N/A</v>
      </c>
      <c r="S3" s="123">
        <f>B3</f>
        <v>0</v>
      </c>
      <c r="T3" s="121" t="str">
        <f>LEFT(P3,1)</f>
        <v/>
      </c>
      <c r="U3" s="124"/>
    </row>
    <row r="4" spans="1:21" ht="17.25" x14ac:dyDescent="0.35">
      <c r="A4" s="119"/>
      <c r="B4" s="120"/>
      <c r="C4" s="121"/>
      <c r="D4" s="121"/>
      <c r="E4" s="121">
        <f t="shared" si="0"/>
        <v>0</v>
      </c>
      <c r="F4" s="121"/>
      <c r="G4" s="121">
        <f t="shared" si="1"/>
        <v>1</v>
      </c>
      <c r="H4" s="121"/>
      <c r="I4" s="121">
        <f t="shared" si="2"/>
        <v>1</v>
      </c>
      <c r="J4" s="121"/>
      <c r="K4" s="121">
        <f t="shared" si="3"/>
        <v>1</v>
      </c>
      <c r="L4" s="121"/>
      <c r="M4" s="122">
        <f t="shared" si="4"/>
        <v>0.5</v>
      </c>
      <c r="N4" s="122">
        <f t="shared" si="5"/>
        <v>0</v>
      </c>
      <c r="O4" s="122" t="str">
        <f>IF(B4="","",IF(C4=$A$1,IF(N4&gt;'Datasource 2'!$D$8,'Datasource 2'!$B$9,(IF(N4&gt;'Datasource 2'!$D$9,'Datasource 2'!$B$10,(IF(N4&gt;'Datasource 2'!$D$10,'Datasource 2'!$B$11,(IF(N4&gt;'Datasource 2'!$D$11,'Datasource 2'!$B$12,(IF(N4&gt;'Datasource 2'!$D$12,'Datasource 2'!$B$13,'Datasource 2'!$B$14))))))))),IF(N4&gt;'Datasource 2'!$F$8,'Datasource 2'!$B$9,(IF(N4&gt;'Datasource 2'!$F$9,'Datasource 2'!$B$10,(IF(N4&gt;'Datasource 2'!$F$10,'Datasource 2'!$B$11,(IF(N4&gt;'Datasource 2'!$F$11,'Datasource 2'!$B$12,(IF(N4&gt;'Datasource 2'!$F$12,'Datasource 2'!$B$13,'Datasource 2'!$B$14)))))))))))</f>
        <v/>
      </c>
      <c r="P4" s="121"/>
      <c r="Q4" s="123" t="e">
        <f>VLOOKUP(O4,'Datasource 2'!$B$8:$C$13,2,FALSE)</f>
        <v>#N/A</v>
      </c>
      <c r="R4" s="123" t="e">
        <f>VLOOKUP(P4,'Datasource 2'!$B$8:$C$13,2,FALSE)</f>
        <v>#N/A</v>
      </c>
      <c r="S4" s="123"/>
      <c r="T4" s="121" t="str">
        <f t="shared" ref="T4:T41" si="6">LEFT(P4,1)</f>
        <v/>
      </c>
      <c r="U4" s="124"/>
    </row>
    <row r="5" spans="1:21" ht="17.25" x14ac:dyDescent="0.35">
      <c r="A5" s="119"/>
      <c r="B5" s="120"/>
      <c r="C5" s="121"/>
      <c r="D5" s="121"/>
      <c r="E5" s="121">
        <f t="shared" si="0"/>
        <v>0</v>
      </c>
      <c r="F5" s="121"/>
      <c r="G5" s="121">
        <f t="shared" si="1"/>
        <v>1</v>
      </c>
      <c r="H5" s="121"/>
      <c r="I5" s="121">
        <f t="shared" si="2"/>
        <v>1</v>
      </c>
      <c r="J5" s="121"/>
      <c r="K5" s="121">
        <f t="shared" si="3"/>
        <v>1</v>
      </c>
      <c r="L5" s="121"/>
      <c r="M5" s="122">
        <f t="shared" si="4"/>
        <v>0.5</v>
      </c>
      <c r="N5" s="122">
        <f t="shared" si="5"/>
        <v>0</v>
      </c>
      <c r="O5" s="122" t="str">
        <f>IF(B5="","",IF(C5=$A$1,IF(N5&gt;'Datasource 2'!$D$8,'Datasource 2'!$B$9,(IF(N5&gt;'Datasource 2'!$D$9,'Datasource 2'!$B$10,(IF(N5&gt;'Datasource 2'!$D$10,'Datasource 2'!$B$11,(IF(N5&gt;'Datasource 2'!$D$11,'Datasource 2'!$B$12,(IF(N5&gt;'Datasource 2'!$D$12,'Datasource 2'!$B$13,'Datasource 2'!$B$14))))))))),IF(N5&gt;'Datasource 2'!$F$8,'Datasource 2'!$B$9,(IF(N5&gt;'Datasource 2'!$F$9,'Datasource 2'!$B$10,(IF(N5&gt;'Datasource 2'!$F$10,'Datasource 2'!$B$11,(IF(N5&gt;'Datasource 2'!$F$11,'Datasource 2'!$B$12,(IF(N5&gt;'Datasource 2'!$F$12,'Datasource 2'!$B$13,'Datasource 2'!$B$14)))))))))))</f>
        <v/>
      </c>
      <c r="P5" s="121"/>
      <c r="Q5" s="123" t="e">
        <f>VLOOKUP(O5,'Datasource 2'!$B$8:$C$13,2,FALSE)</f>
        <v>#N/A</v>
      </c>
      <c r="R5" s="123" t="e">
        <f>VLOOKUP(P5,'Datasource 2'!$B$8:$C$13,2,FALSE)</f>
        <v>#N/A</v>
      </c>
      <c r="S5" s="123"/>
      <c r="T5" s="121" t="str">
        <f t="shared" si="6"/>
        <v/>
      </c>
      <c r="U5" s="124"/>
    </row>
    <row r="6" spans="1:21" ht="17.25" x14ac:dyDescent="0.35">
      <c r="A6" s="119"/>
      <c r="B6" s="120"/>
      <c r="C6" s="121"/>
      <c r="D6" s="121"/>
      <c r="E6" s="121">
        <f t="shared" si="0"/>
        <v>0</v>
      </c>
      <c r="F6" s="121"/>
      <c r="G6" s="121">
        <f t="shared" si="1"/>
        <v>1</v>
      </c>
      <c r="H6" s="121"/>
      <c r="I6" s="121">
        <f t="shared" si="2"/>
        <v>1</v>
      </c>
      <c r="J6" s="121"/>
      <c r="K6" s="121">
        <f t="shared" si="3"/>
        <v>1</v>
      </c>
      <c r="L6" s="121"/>
      <c r="M6" s="122">
        <f t="shared" si="4"/>
        <v>0.5</v>
      </c>
      <c r="N6" s="122">
        <f t="shared" si="5"/>
        <v>0</v>
      </c>
      <c r="O6" s="122" t="str">
        <f>IF(B6="","",IF(C6=$A$1,IF(N6&gt;'Datasource 2'!$D$8,'Datasource 2'!$B$9,(IF(N6&gt;'Datasource 2'!$D$9,'Datasource 2'!$B$10,(IF(N6&gt;'Datasource 2'!$D$10,'Datasource 2'!$B$11,(IF(N6&gt;'Datasource 2'!$D$11,'Datasource 2'!$B$12,(IF(N6&gt;'Datasource 2'!$D$12,'Datasource 2'!$B$13,'Datasource 2'!$B$14))))))))),IF(N6&gt;'Datasource 2'!$F$8,'Datasource 2'!$B$9,(IF(N6&gt;'Datasource 2'!$F$9,'Datasource 2'!$B$10,(IF(N6&gt;'Datasource 2'!$F$10,'Datasource 2'!$B$11,(IF(N6&gt;'Datasource 2'!$F$11,'Datasource 2'!$B$12,(IF(N6&gt;'Datasource 2'!$F$12,'Datasource 2'!$B$13,'Datasource 2'!$B$14)))))))))))</f>
        <v/>
      </c>
      <c r="P6" s="121"/>
      <c r="Q6" s="123" t="e">
        <f>VLOOKUP(O6,'Datasource 2'!$B$8:$C$13,2,FALSE)</f>
        <v>#N/A</v>
      </c>
      <c r="R6" s="123" t="e">
        <f>VLOOKUP(P6,'Datasource 2'!$B$8:$C$13,2,FALSE)</f>
        <v>#N/A</v>
      </c>
      <c r="S6" s="123"/>
      <c r="T6" s="121" t="str">
        <f t="shared" si="6"/>
        <v/>
      </c>
      <c r="U6" s="124"/>
    </row>
    <row r="7" spans="1:21" ht="17.25" x14ac:dyDescent="0.35">
      <c r="A7" s="119"/>
      <c r="B7" s="120"/>
      <c r="C7" s="121"/>
      <c r="D7" s="121"/>
      <c r="E7" s="121">
        <f t="shared" si="0"/>
        <v>0</v>
      </c>
      <c r="F7" s="121"/>
      <c r="G7" s="121">
        <f t="shared" si="1"/>
        <v>1</v>
      </c>
      <c r="H7" s="121"/>
      <c r="I7" s="121">
        <f t="shared" si="2"/>
        <v>1</v>
      </c>
      <c r="J7" s="121"/>
      <c r="K7" s="121">
        <f t="shared" si="3"/>
        <v>1</v>
      </c>
      <c r="L7" s="121"/>
      <c r="M7" s="122">
        <f t="shared" si="4"/>
        <v>0.5</v>
      </c>
      <c r="N7" s="122">
        <f t="shared" si="5"/>
        <v>0</v>
      </c>
      <c r="O7" s="122" t="str">
        <f>IF(B7="","",IF(C7=$A$1,IF(N7&gt;'Datasource 2'!$D$8,'Datasource 2'!$B$9,(IF(N7&gt;'Datasource 2'!$D$9,'Datasource 2'!$B$10,(IF(N7&gt;'Datasource 2'!$D$10,'Datasource 2'!$B$11,(IF(N7&gt;'Datasource 2'!$D$11,'Datasource 2'!$B$12,(IF(N7&gt;'Datasource 2'!$D$12,'Datasource 2'!$B$13,'Datasource 2'!$B$14))))))))),IF(N7&gt;'Datasource 2'!$F$8,'Datasource 2'!$B$9,(IF(N7&gt;'Datasource 2'!$F$9,'Datasource 2'!$B$10,(IF(N7&gt;'Datasource 2'!$F$10,'Datasource 2'!$B$11,(IF(N7&gt;'Datasource 2'!$F$11,'Datasource 2'!$B$12,(IF(N7&gt;'Datasource 2'!$F$12,'Datasource 2'!$B$13,'Datasource 2'!$B$14)))))))))))</f>
        <v/>
      </c>
      <c r="P7" s="121"/>
      <c r="Q7" s="123" t="e">
        <f>VLOOKUP(O7,'Datasource 2'!$B$8:$C$13,2,FALSE)</f>
        <v>#N/A</v>
      </c>
      <c r="R7" s="123" t="e">
        <f>VLOOKUP(P7,'Datasource 2'!$B$8:$C$13,2,FALSE)</f>
        <v>#N/A</v>
      </c>
      <c r="S7" s="123"/>
      <c r="T7" s="121" t="str">
        <f t="shared" si="6"/>
        <v/>
      </c>
      <c r="U7" s="124"/>
    </row>
    <row r="8" spans="1:21" ht="17.25" x14ac:dyDescent="0.35">
      <c r="A8" s="119"/>
      <c r="B8" s="120"/>
      <c r="C8" s="121"/>
      <c r="D8" s="121"/>
      <c r="E8" s="121">
        <f t="shared" si="0"/>
        <v>0</v>
      </c>
      <c r="F8" s="121"/>
      <c r="G8" s="121">
        <f t="shared" si="1"/>
        <v>1</v>
      </c>
      <c r="H8" s="121"/>
      <c r="I8" s="121">
        <f t="shared" si="2"/>
        <v>1</v>
      </c>
      <c r="J8" s="121"/>
      <c r="K8" s="121">
        <f t="shared" si="3"/>
        <v>1</v>
      </c>
      <c r="L8" s="121"/>
      <c r="M8" s="122">
        <f t="shared" si="4"/>
        <v>0.5</v>
      </c>
      <c r="N8" s="122">
        <f t="shared" si="5"/>
        <v>0</v>
      </c>
      <c r="O8" s="122" t="str">
        <f>IF(B8="","",IF(C8=$A$1,IF(N8&gt;'Datasource 2'!$D$8,'Datasource 2'!$B$9,(IF(N8&gt;'Datasource 2'!$D$9,'Datasource 2'!$B$10,(IF(N8&gt;'Datasource 2'!$D$10,'Datasource 2'!$B$11,(IF(N8&gt;'Datasource 2'!$D$11,'Datasource 2'!$B$12,(IF(N8&gt;'Datasource 2'!$D$12,'Datasource 2'!$B$13,'Datasource 2'!$B$14))))))))),IF(N8&gt;'Datasource 2'!$F$8,'Datasource 2'!$B$9,(IF(N8&gt;'Datasource 2'!$F$9,'Datasource 2'!$B$10,(IF(N8&gt;'Datasource 2'!$F$10,'Datasource 2'!$B$11,(IF(N8&gt;'Datasource 2'!$F$11,'Datasource 2'!$B$12,(IF(N8&gt;'Datasource 2'!$F$12,'Datasource 2'!$B$13,'Datasource 2'!$B$14)))))))))))</f>
        <v/>
      </c>
      <c r="P8" s="121"/>
      <c r="Q8" s="123" t="e">
        <f>VLOOKUP(O8,'Datasource 2'!$B$8:$C$13,2,FALSE)</f>
        <v>#N/A</v>
      </c>
      <c r="R8" s="123" t="e">
        <f>VLOOKUP(P8,'Datasource 2'!$B$8:$C$13,2,FALSE)</f>
        <v>#N/A</v>
      </c>
      <c r="S8" s="123"/>
      <c r="T8" s="121" t="str">
        <f t="shared" si="6"/>
        <v/>
      </c>
      <c r="U8" s="125"/>
    </row>
    <row r="9" spans="1:21" ht="17.25" x14ac:dyDescent="0.35">
      <c r="A9" s="119"/>
      <c r="B9" s="120"/>
      <c r="C9" s="121"/>
      <c r="D9" s="121"/>
      <c r="E9" s="121">
        <f t="shared" si="0"/>
        <v>0</v>
      </c>
      <c r="F9" s="121"/>
      <c r="G9" s="121">
        <f t="shared" si="1"/>
        <v>1</v>
      </c>
      <c r="H9" s="121"/>
      <c r="I9" s="121">
        <f t="shared" si="2"/>
        <v>1</v>
      </c>
      <c r="J9" s="121"/>
      <c r="K9" s="121">
        <f t="shared" si="3"/>
        <v>1</v>
      </c>
      <c r="L9" s="121"/>
      <c r="M9" s="122">
        <f t="shared" si="4"/>
        <v>0.5</v>
      </c>
      <c r="N9" s="122">
        <f t="shared" si="5"/>
        <v>0</v>
      </c>
      <c r="O9" s="122" t="str">
        <f>IF(B9="","",IF(C9=$A$1,IF(N9&gt;'Datasource 2'!$D$8,'Datasource 2'!$B$9,(IF(N9&gt;'Datasource 2'!$D$9,'Datasource 2'!$B$10,(IF(N9&gt;'Datasource 2'!$D$10,'Datasource 2'!$B$11,(IF(N9&gt;'Datasource 2'!$D$11,'Datasource 2'!$B$12,(IF(N9&gt;'Datasource 2'!$D$12,'Datasource 2'!$B$13,'Datasource 2'!$B$14))))))))),IF(N9&gt;'Datasource 2'!$F$8,'Datasource 2'!$B$9,(IF(N9&gt;'Datasource 2'!$F$9,'Datasource 2'!$B$10,(IF(N9&gt;'Datasource 2'!$F$10,'Datasource 2'!$B$11,(IF(N9&gt;'Datasource 2'!$F$11,'Datasource 2'!$B$12,(IF(N9&gt;'Datasource 2'!$F$12,'Datasource 2'!$B$13,'Datasource 2'!$B$14)))))))))))</f>
        <v/>
      </c>
      <c r="P9" s="121"/>
      <c r="Q9" s="123" t="e">
        <f>VLOOKUP(O9,'Datasource 2'!$B$8:$C$13,2,FALSE)</f>
        <v>#N/A</v>
      </c>
      <c r="R9" s="123" t="e">
        <f>VLOOKUP(P9,'Datasource 2'!$B$8:$C$13,2,FALSE)</f>
        <v>#N/A</v>
      </c>
      <c r="S9" s="123"/>
      <c r="T9" s="121" t="str">
        <f t="shared" si="6"/>
        <v/>
      </c>
      <c r="U9" s="125"/>
    </row>
    <row r="10" spans="1:21" ht="17.25" x14ac:dyDescent="0.35">
      <c r="A10" s="119"/>
      <c r="B10" s="120"/>
      <c r="C10" s="121"/>
      <c r="D10" s="121"/>
      <c r="E10" s="121">
        <f t="shared" si="0"/>
        <v>0</v>
      </c>
      <c r="F10" s="121"/>
      <c r="G10" s="121">
        <f t="shared" si="1"/>
        <v>1</v>
      </c>
      <c r="H10" s="121"/>
      <c r="I10" s="121">
        <f t="shared" si="2"/>
        <v>1</v>
      </c>
      <c r="J10" s="121"/>
      <c r="K10" s="121">
        <f t="shared" si="3"/>
        <v>1</v>
      </c>
      <c r="L10" s="121"/>
      <c r="M10" s="122">
        <f t="shared" si="4"/>
        <v>0.5</v>
      </c>
      <c r="N10" s="122">
        <f t="shared" si="5"/>
        <v>0</v>
      </c>
      <c r="O10" s="122" t="str">
        <f>IF(B10="","",IF(C10=$A$1,IF(N10&gt;'Datasource 2'!$D$8,'Datasource 2'!$B$9,(IF(N10&gt;'Datasource 2'!$D$9,'Datasource 2'!$B$10,(IF(N10&gt;'Datasource 2'!$D$10,'Datasource 2'!$B$11,(IF(N10&gt;'Datasource 2'!$D$11,'Datasource 2'!$B$12,(IF(N10&gt;'Datasource 2'!$D$12,'Datasource 2'!$B$13,'Datasource 2'!$B$14))))))))),IF(N10&gt;'Datasource 2'!$F$8,'Datasource 2'!$B$9,(IF(N10&gt;'Datasource 2'!$F$9,'Datasource 2'!$B$10,(IF(N10&gt;'Datasource 2'!$F$10,'Datasource 2'!$B$11,(IF(N10&gt;'Datasource 2'!$F$11,'Datasource 2'!$B$12,(IF(N10&gt;'Datasource 2'!$F$12,'Datasource 2'!$B$13,'Datasource 2'!$B$14)))))))))))</f>
        <v/>
      </c>
      <c r="P10" s="121"/>
      <c r="Q10" s="123" t="e">
        <f>VLOOKUP(O10,'Datasource 2'!$B$8:$C$13,2,FALSE)</f>
        <v>#N/A</v>
      </c>
      <c r="R10" s="123" t="e">
        <f>VLOOKUP(P10,'Datasource 2'!$B$8:$C$13,2,FALSE)</f>
        <v>#N/A</v>
      </c>
      <c r="S10" s="123"/>
      <c r="T10" s="121" t="str">
        <f t="shared" si="6"/>
        <v/>
      </c>
      <c r="U10" s="125"/>
    </row>
    <row r="11" spans="1:21" ht="17.25" x14ac:dyDescent="0.35">
      <c r="A11" s="119"/>
      <c r="B11" s="120"/>
      <c r="C11" s="121"/>
      <c r="D11" s="121"/>
      <c r="E11" s="121">
        <f t="shared" si="0"/>
        <v>0</v>
      </c>
      <c r="F11" s="121"/>
      <c r="G11" s="121">
        <f t="shared" si="1"/>
        <v>1</v>
      </c>
      <c r="H11" s="121"/>
      <c r="I11" s="121">
        <f t="shared" si="2"/>
        <v>1</v>
      </c>
      <c r="J11" s="121"/>
      <c r="K11" s="121">
        <f t="shared" si="3"/>
        <v>1</v>
      </c>
      <c r="L11" s="121"/>
      <c r="M11" s="122">
        <f t="shared" si="4"/>
        <v>0.5</v>
      </c>
      <c r="N11" s="122">
        <f t="shared" si="5"/>
        <v>0</v>
      </c>
      <c r="O11" s="122" t="str">
        <f>IF(B11="","",IF(C11=$A$1,IF(N11&gt;'Datasource 2'!$D$8,'Datasource 2'!$B$9,(IF(N11&gt;'Datasource 2'!$D$9,'Datasource 2'!$B$10,(IF(N11&gt;'Datasource 2'!$D$10,'Datasource 2'!$B$11,(IF(N11&gt;'Datasource 2'!$D$11,'Datasource 2'!$B$12,(IF(N11&gt;'Datasource 2'!$D$12,'Datasource 2'!$B$13,'Datasource 2'!$B$14))))))))),IF(N11&gt;'Datasource 2'!$F$8,'Datasource 2'!$B$9,(IF(N11&gt;'Datasource 2'!$F$9,'Datasource 2'!$B$10,(IF(N11&gt;'Datasource 2'!$F$10,'Datasource 2'!$B$11,(IF(N11&gt;'Datasource 2'!$F$11,'Datasource 2'!$B$12,(IF(N11&gt;'Datasource 2'!$F$12,'Datasource 2'!$B$13,'Datasource 2'!$B$14)))))))))))</f>
        <v/>
      </c>
      <c r="P11" s="121"/>
      <c r="Q11" s="123" t="e">
        <f>VLOOKUP(O11,'Datasource 2'!$B$8:$C$13,2,FALSE)</f>
        <v>#N/A</v>
      </c>
      <c r="R11" s="123" t="e">
        <f>VLOOKUP(P11,'Datasource 2'!$B$8:$C$13,2,FALSE)</f>
        <v>#N/A</v>
      </c>
      <c r="S11" s="123"/>
      <c r="T11" s="121" t="str">
        <f t="shared" si="6"/>
        <v/>
      </c>
      <c r="U11" s="124"/>
    </row>
    <row r="12" spans="1:21" ht="17.25" x14ac:dyDescent="0.35">
      <c r="A12" s="119"/>
      <c r="B12" s="66"/>
      <c r="C12" s="121"/>
      <c r="D12" s="121"/>
      <c r="E12" s="121">
        <f t="shared" si="0"/>
        <v>0</v>
      </c>
      <c r="F12" s="121"/>
      <c r="G12" s="121">
        <f t="shared" si="1"/>
        <v>1</v>
      </c>
      <c r="H12" s="121"/>
      <c r="I12" s="121">
        <f t="shared" si="2"/>
        <v>1</v>
      </c>
      <c r="J12" s="121"/>
      <c r="K12" s="121">
        <f t="shared" si="3"/>
        <v>1</v>
      </c>
      <c r="L12" s="121"/>
      <c r="M12" s="122">
        <f t="shared" si="4"/>
        <v>0.5</v>
      </c>
      <c r="N12" s="122">
        <f t="shared" si="5"/>
        <v>0</v>
      </c>
      <c r="O12" s="122" t="str">
        <f>IF(B12="","",IF(C12=$A$1,IF(N12&gt;'Datasource 2'!$D$8,'Datasource 2'!$B$9,(IF(N12&gt;'Datasource 2'!$D$9,'Datasource 2'!$B$10,(IF(N12&gt;'Datasource 2'!$D$10,'Datasource 2'!$B$11,(IF(N12&gt;'Datasource 2'!$D$11,'Datasource 2'!$B$12,(IF(N12&gt;'Datasource 2'!$D$12,'Datasource 2'!$B$13,'Datasource 2'!$B$14))))))))),IF(N12&gt;'Datasource 2'!$F$8,'Datasource 2'!$B$9,(IF(N12&gt;'Datasource 2'!$F$9,'Datasource 2'!$B$10,(IF(N12&gt;'Datasource 2'!$F$10,'Datasource 2'!$B$11,(IF(N12&gt;'Datasource 2'!$F$11,'Datasource 2'!$B$12,(IF(N12&gt;'Datasource 2'!$F$12,'Datasource 2'!$B$13,'Datasource 2'!$B$14)))))))))))</f>
        <v/>
      </c>
      <c r="P12" s="121"/>
      <c r="Q12" s="123" t="e">
        <f>VLOOKUP(O12,'Datasource 2'!$B$8:$C$13,2,FALSE)</f>
        <v>#N/A</v>
      </c>
      <c r="R12" s="123" t="e">
        <f>VLOOKUP(P12,'Datasource 2'!$B$8:$C$13,2,FALSE)</f>
        <v>#N/A</v>
      </c>
      <c r="S12" s="123"/>
      <c r="T12" s="121" t="str">
        <f>LEFT(P12,1)</f>
        <v/>
      </c>
      <c r="U12" s="125"/>
    </row>
    <row r="13" spans="1:21" ht="17.25" x14ac:dyDescent="0.35">
      <c r="A13" s="119"/>
      <c r="B13" s="120"/>
      <c r="C13" s="121"/>
      <c r="D13" s="121"/>
      <c r="E13" s="121">
        <f t="shared" si="0"/>
        <v>0</v>
      </c>
      <c r="F13" s="121"/>
      <c r="G13" s="121">
        <f t="shared" si="1"/>
        <v>1</v>
      </c>
      <c r="H13" s="121"/>
      <c r="I13" s="121">
        <f t="shared" si="2"/>
        <v>1</v>
      </c>
      <c r="J13" s="121"/>
      <c r="K13" s="121">
        <f t="shared" si="3"/>
        <v>1</v>
      </c>
      <c r="L13" s="121"/>
      <c r="M13" s="122">
        <f t="shared" si="4"/>
        <v>0.5</v>
      </c>
      <c r="N13" s="122">
        <f t="shared" si="5"/>
        <v>0</v>
      </c>
      <c r="O13" s="122" t="str">
        <f>IF(B13="","",IF(C13=$A$1,IF(N13&gt;'Datasource 2'!$D$8,'Datasource 2'!$B$9,(IF(N13&gt;'Datasource 2'!$D$9,'Datasource 2'!$B$10,(IF(N13&gt;'Datasource 2'!$D$10,'Datasource 2'!$B$11,(IF(N13&gt;'Datasource 2'!$D$11,'Datasource 2'!$B$12,(IF(N13&gt;'Datasource 2'!$D$12,'Datasource 2'!$B$13,'Datasource 2'!$B$14))))))))),IF(N13&gt;'Datasource 2'!$F$8,'Datasource 2'!$B$9,(IF(N13&gt;'Datasource 2'!$F$9,'Datasource 2'!$B$10,(IF(N13&gt;'Datasource 2'!$F$10,'Datasource 2'!$B$11,(IF(N13&gt;'Datasource 2'!$F$11,'Datasource 2'!$B$12,(IF(N13&gt;'Datasource 2'!$F$12,'Datasource 2'!$B$13,'Datasource 2'!$B$14)))))))))))</f>
        <v/>
      </c>
      <c r="P13" s="121"/>
      <c r="Q13" s="123" t="e">
        <f>VLOOKUP(O13,'Datasource 2'!$B$8:$C$13,2,FALSE)</f>
        <v>#N/A</v>
      </c>
      <c r="R13" s="123" t="e">
        <f>VLOOKUP(P13,'Datasource 2'!$B$8:$C$13,2,FALSE)</f>
        <v>#N/A</v>
      </c>
      <c r="S13" s="123"/>
      <c r="T13" s="121" t="str">
        <f t="shared" si="6"/>
        <v/>
      </c>
      <c r="U13" s="125"/>
    </row>
    <row r="14" spans="1:21" ht="17.25" x14ac:dyDescent="0.35">
      <c r="A14" s="119"/>
      <c r="B14" s="120"/>
      <c r="C14" s="121"/>
      <c r="D14" s="121"/>
      <c r="E14" s="121">
        <f t="shared" si="0"/>
        <v>0</v>
      </c>
      <c r="F14" s="121"/>
      <c r="G14" s="121">
        <f t="shared" si="1"/>
        <v>1</v>
      </c>
      <c r="H14" s="121"/>
      <c r="I14" s="121">
        <f t="shared" si="2"/>
        <v>1</v>
      </c>
      <c r="J14" s="121"/>
      <c r="K14" s="121">
        <f t="shared" si="3"/>
        <v>1</v>
      </c>
      <c r="L14" s="121"/>
      <c r="M14" s="122">
        <f t="shared" si="4"/>
        <v>0.5</v>
      </c>
      <c r="N14" s="122">
        <f t="shared" si="5"/>
        <v>0</v>
      </c>
      <c r="O14" s="122" t="str">
        <f>IF(B14="","",IF(C14=$A$1,IF(N14&gt;'Datasource 2'!$D$8,'Datasource 2'!$B$9,(IF(N14&gt;'Datasource 2'!$D$9,'Datasource 2'!$B$10,(IF(N14&gt;'Datasource 2'!$D$10,'Datasource 2'!$B$11,(IF(N14&gt;'Datasource 2'!$D$11,'Datasource 2'!$B$12,(IF(N14&gt;'Datasource 2'!$D$12,'Datasource 2'!$B$13,'Datasource 2'!$B$14))))))))),IF(N14&gt;'Datasource 2'!$F$8,'Datasource 2'!$B$9,(IF(N14&gt;'Datasource 2'!$F$9,'Datasource 2'!$B$10,(IF(N14&gt;'Datasource 2'!$F$10,'Datasource 2'!$B$11,(IF(N14&gt;'Datasource 2'!$F$11,'Datasource 2'!$B$12,(IF(N14&gt;'Datasource 2'!$F$12,'Datasource 2'!$B$13,'Datasource 2'!$B$14)))))))))))</f>
        <v/>
      </c>
      <c r="P14" s="121"/>
      <c r="Q14" s="123" t="e">
        <f>VLOOKUP(O14,'Datasource 2'!$B$8:$C$13,2,FALSE)</f>
        <v>#N/A</v>
      </c>
      <c r="R14" s="123" t="e">
        <f>VLOOKUP(P14,'Datasource 2'!$B$8:$C$13,2,FALSE)</f>
        <v>#N/A</v>
      </c>
      <c r="S14" s="123"/>
      <c r="T14" s="121" t="str">
        <f t="shared" si="6"/>
        <v/>
      </c>
      <c r="U14" s="125"/>
    </row>
    <row r="15" spans="1:21" ht="17.25" x14ac:dyDescent="0.35">
      <c r="A15" s="119"/>
      <c r="B15" s="120"/>
      <c r="C15" s="121"/>
      <c r="D15" s="121"/>
      <c r="E15" s="121">
        <f t="shared" si="0"/>
        <v>0</v>
      </c>
      <c r="F15" s="121"/>
      <c r="G15" s="121">
        <f t="shared" si="1"/>
        <v>1</v>
      </c>
      <c r="H15" s="121"/>
      <c r="I15" s="121">
        <f t="shared" si="2"/>
        <v>1</v>
      </c>
      <c r="J15" s="121"/>
      <c r="K15" s="121">
        <f t="shared" si="3"/>
        <v>1</v>
      </c>
      <c r="L15" s="121"/>
      <c r="M15" s="122">
        <f t="shared" si="4"/>
        <v>0.5</v>
      </c>
      <c r="N15" s="122">
        <f t="shared" si="5"/>
        <v>0</v>
      </c>
      <c r="O15" s="122" t="str">
        <f>IF(B15="","",IF(C15=$A$1,IF(N15&gt;'Datasource 2'!$D$8,'Datasource 2'!$B$9,(IF(N15&gt;'Datasource 2'!$D$9,'Datasource 2'!$B$10,(IF(N15&gt;'Datasource 2'!$D$10,'Datasource 2'!$B$11,(IF(N15&gt;'Datasource 2'!$D$11,'Datasource 2'!$B$12,(IF(N15&gt;'Datasource 2'!$D$12,'Datasource 2'!$B$13,'Datasource 2'!$B$14))))))))),IF(N15&gt;'Datasource 2'!$F$8,'Datasource 2'!$B$9,(IF(N15&gt;'Datasource 2'!$F$9,'Datasource 2'!$B$10,(IF(N15&gt;'Datasource 2'!$F$10,'Datasource 2'!$B$11,(IF(N15&gt;'Datasource 2'!$F$11,'Datasource 2'!$B$12,(IF(N15&gt;'Datasource 2'!$F$12,'Datasource 2'!$B$13,'Datasource 2'!$B$14)))))))))))</f>
        <v/>
      </c>
      <c r="P15" s="121"/>
      <c r="Q15" s="123" t="e">
        <f>VLOOKUP(O15,'Datasource 2'!$B$8:$C$13,2,FALSE)</f>
        <v>#N/A</v>
      </c>
      <c r="R15" s="123" t="e">
        <f>VLOOKUP(P15,'Datasource 2'!$B$8:$C$13,2,FALSE)</f>
        <v>#N/A</v>
      </c>
      <c r="S15" s="123"/>
      <c r="T15" s="121" t="str">
        <f t="shared" si="6"/>
        <v/>
      </c>
      <c r="U15" s="125"/>
    </row>
    <row r="16" spans="1:21" ht="17.25" x14ac:dyDescent="0.35">
      <c r="A16" s="119"/>
      <c r="B16" s="120"/>
      <c r="C16" s="121"/>
      <c r="D16" s="121"/>
      <c r="E16" s="121">
        <f t="shared" si="0"/>
        <v>0</v>
      </c>
      <c r="F16" s="121"/>
      <c r="G16" s="121">
        <f t="shared" si="1"/>
        <v>1</v>
      </c>
      <c r="H16" s="121"/>
      <c r="I16" s="121">
        <f t="shared" si="2"/>
        <v>1</v>
      </c>
      <c r="J16" s="121"/>
      <c r="K16" s="121">
        <f t="shared" si="3"/>
        <v>1</v>
      </c>
      <c r="L16" s="121"/>
      <c r="M16" s="122">
        <f t="shared" si="4"/>
        <v>0.5</v>
      </c>
      <c r="N16" s="122">
        <f t="shared" si="5"/>
        <v>0</v>
      </c>
      <c r="O16" s="122" t="str">
        <f>IF(B16="","",IF(C16=$A$1,IF(N16&gt;'Datasource 2'!$D$8,'Datasource 2'!$B$9,(IF(N16&gt;'Datasource 2'!$D$9,'Datasource 2'!$B$10,(IF(N16&gt;'Datasource 2'!$D$10,'Datasource 2'!$B$11,(IF(N16&gt;'Datasource 2'!$D$11,'Datasource 2'!$B$12,(IF(N16&gt;'Datasource 2'!$D$12,'Datasource 2'!$B$13,'Datasource 2'!$B$14))))))))),IF(N16&gt;'Datasource 2'!$F$8,'Datasource 2'!$B$9,(IF(N16&gt;'Datasource 2'!$F$9,'Datasource 2'!$B$10,(IF(N16&gt;'Datasource 2'!$F$10,'Datasource 2'!$B$11,(IF(N16&gt;'Datasource 2'!$F$11,'Datasource 2'!$B$12,(IF(N16&gt;'Datasource 2'!$F$12,'Datasource 2'!$B$13,'Datasource 2'!$B$14)))))))))))</f>
        <v/>
      </c>
      <c r="P16" s="121"/>
      <c r="Q16" s="123" t="e">
        <f>VLOOKUP(O16,'Datasource 2'!$B$8:$C$13,2,FALSE)</f>
        <v>#N/A</v>
      </c>
      <c r="R16" s="123" t="e">
        <f>VLOOKUP(P16,'Datasource 2'!$B$8:$C$13,2,FALSE)</f>
        <v>#N/A</v>
      </c>
      <c r="S16" s="123"/>
      <c r="T16" s="121" t="str">
        <f t="shared" si="6"/>
        <v/>
      </c>
      <c r="U16" s="124"/>
    </row>
    <row r="17" spans="1:21" ht="17.25" x14ac:dyDescent="0.35">
      <c r="A17" s="119"/>
      <c r="B17" s="120"/>
      <c r="C17" s="121"/>
      <c r="D17" s="121"/>
      <c r="E17" s="121">
        <f t="shared" si="0"/>
        <v>0</v>
      </c>
      <c r="F17" s="121"/>
      <c r="G17" s="121">
        <f t="shared" si="1"/>
        <v>1</v>
      </c>
      <c r="H17" s="121"/>
      <c r="I17" s="121">
        <f t="shared" si="2"/>
        <v>1</v>
      </c>
      <c r="J17" s="121"/>
      <c r="K17" s="121">
        <f t="shared" si="3"/>
        <v>1</v>
      </c>
      <c r="L17" s="121"/>
      <c r="M17" s="122">
        <f t="shared" si="4"/>
        <v>0.5</v>
      </c>
      <c r="N17" s="122">
        <f t="shared" si="5"/>
        <v>0</v>
      </c>
      <c r="O17" s="122" t="str">
        <f>IF(B17="","",IF(C17=$A$1,IF(N17&gt;'Datasource 2'!$D$8,'Datasource 2'!$B$9,(IF(N17&gt;'Datasource 2'!$D$9,'Datasource 2'!$B$10,(IF(N17&gt;'Datasource 2'!$D$10,'Datasource 2'!$B$11,(IF(N17&gt;'Datasource 2'!$D$11,'Datasource 2'!$B$12,(IF(N17&gt;'Datasource 2'!$D$12,'Datasource 2'!$B$13,'Datasource 2'!$B$14))))))))),IF(N17&gt;'Datasource 2'!$F$8,'Datasource 2'!$B$9,(IF(N17&gt;'Datasource 2'!$F$9,'Datasource 2'!$B$10,(IF(N17&gt;'Datasource 2'!$F$10,'Datasource 2'!$B$11,(IF(N17&gt;'Datasource 2'!$F$11,'Datasource 2'!$B$12,(IF(N17&gt;'Datasource 2'!$F$12,'Datasource 2'!$B$13,'Datasource 2'!$B$14)))))))))))</f>
        <v/>
      </c>
      <c r="P17" s="121"/>
      <c r="Q17" s="123" t="e">
        <f>VLOOKUP(O17,'Datasource 2'!$B$8:$C$13,2,FALSE)</f>
        <v>#N/A</v>
      </c>
      <c r="R17" s="123" t="e">
        <f>VLOOKUP(P17,'Datasource 2'!$B$8:$C$13,2,FALSE)</f>
        <v>#N/A</v>
      </c>
      <c r="S17" s="123"/>
      <c r="T17" s="121" t="str">
        <f t="shared" si="6"/>
        <v/>
      </c>
      <c r="U17" s="125"/>
    </row>
    <row r="18" spans="1:21" ht="17.25" x14ac:dyDescent="0.35">
      <c r="A18" s="119"/>
      <c r="B18" s="120"/>
      <c r="C18" s="121"/>
      <c r="D18" s="121"/>
      <c r="E18" s="121">
        <f t="shared" si="0"/>
        <v>0</v>
      </c>
      <c r="F18" s="121"/>
      <c r="G18" s="121">
        <f t="shared" si="1"/>
        <v>1</v>
      </c>
      <c r="H18" s="121"/>
      <c r="I18" s="121">
        <f t="shared" si="2"/>
        <v>1</v>
      </c>
      <c r="J18" s="121"/>
      <c r="K18" s="121">
        <f t="shared" si="3"/>
        <v>1</v>
      </c>
      <c r="L18" s="121"/>
      <c r="M18" s="122">
        <f t="shared" si="4"/>
        <v>0.5</v>
      </c>
      <c r="N18" s="122">
        <f t="shared" si="5"/>
        <v>0</v>
      </c>
      <c r="O18" s="122" t="str">
        <f>IF(B18="","",IF(C18=$A$1,IF(N18&gt;'Datasource 2'!$D$8,'Datasource 2'!$B$9,(IF(N18&gt;'Datasource 2'!$D$9,'Datasource 2'!$B$10,(IF(N18&gt;'Datasource 2'!$D$10,'Datasource 2'!$B$11,(IF(N18&gt;'Datasource 2'!$D$11,'Datasource 2'!$B$12,(IF(N18&gt;'Datasource 2'!$D$12,'Datasource 2'!$B$13,'Datasource 2'!$B$14))))))))),IF(N18&gt;'Datasource 2'!$F$8,'Datasource 2'!$B$9,(IF(N18&gt;'Datasource 2'!$F$9,'Datasource 2'!$B$10,(IF(N18&gt;'Datasource 2'!$F$10,'Datasource 2'!$B$11,(IF(N18&gt;'Datasource 2'!$F$11,'Datasource 2'!$B$12,(IF(N18&gt;'Datasource 2'!$F$12,'Datasource 2'!$B$13,'Datasource 2'!$B$14)))))))))))</f>
        <v/>
      </c>
      <c r="P18" s="121"/>
      <c r="Q18" s="123" t="e">
        <f>VLOOKUP(O18,'Datasource 2'!$B$8:$C$13,2,FALSE)</f>
        <v>#N/A</v>
      </c>
      <c r="R18" s="123" t="e">
        <f>VLOOKUP(P18,'Datasource 2'!$B$8:$C$13,2,FALSE)</f>
        <v>#N/A</v>
      </c>
      <c r="S18" s="123"/>
      <c r="T18" s="121" t="str">
        <f t="shared" si="6"/>
        <v/>
      </c>
      <c r="U18" s="124"/>
    </row>
    <row r="19" spans="1:21" ht="17.25" x14ac:dyDescent="0.35">
      <c r="A19" s="119"/>
      <c r="B19" s="120"/>
      <c r="C19" s="121"/>
      <c r="D19" s="121"/>
      <c r="E19" s="121">
        <f t="shared" si="0"/>
        <v>0</v>
      </c>
      <c r="F19" s="121"/>
      <c r="G19" s="121">
        <f t="shared" si="1"/>
        <v>1</v>
      </c>
      <c r="H19" s="121"/>
      <c r="I19" s="121">
        <f t="shared" si="2"/>
        <v>1</v>
      </c>
      <c r="J19" s="121"/>
      <c r="K19" s="121">
        <f t="shared" si="3"/>
        <v>1</v>
      </c>
      <c r="L19" s="121"/>
      <c r="M19" s="122">
        <f t="shared" si="4"/>
        <v>0.5</v>
      </c>
      <c r="N19" s="122">
        <f t="shared" si="5"/>
        <v>0</v>
      </c>
      <c r="O19" s="122" t="str">
        <f>IF(B19="","",IF(C19=$A$1,IF(N19&gt;'Datasource 2'!$D$8,'Datasource 2'!$B$9,(IF(N19&gt;'Datasource 2'!$D$9,'Datasource 2'!$B$10,(IF(N19&gt;'Datasource 2'!$D$10,'Datasource 2'!$B$11,(IF(N19&gt;'Datasource 2'!$D$11,'Datasource 2'!$B$12,(IF(N19&gt;'Datasource 2'!$D$12,'Datasource 2'!$B$13,'Datasource 2'!$B$14))))))))),IF(N19&gt;'Datasource 2'!$F$8,'Datasource 2'!$B$9,(IF(N19&gt;'Datasource 2'!$F$9,'Datasource 2'!$B$10,(IF(N19&gt;'Datasource 2'!$F$10,'Datasource 2'!$B$11,(IF(N19&gt;'Datasource 2'!$F$11,'Datasource 2'!$B$12,(IF(N19&gt;'Datasource 2'!$F$12,'Datasource 2'!$B$13,'Datasource 2'!$B$14)))))))))))</f>
        <v/>
      </c>
      <c r="P19" s="121"/>
      <c r="Q19" s="123" t="e">
        <f>VLOOKUP(O19,'Datasource 2'!$B$8:$C$13,2,FALSE)</f>
        <v>#N/A</v>
      </c>
      <c r="R19" s="123" t="e">
        <f>VLOOKUP(P19,'Datasource 2'!$B$8:$C$13,2,FALSE)</f>
        <v>#N/A</v>
      </c>
      <c r="S19" s="123"/>
      <c r="T19" s="121" t="str">
        <f t="shared" si="6"/>
        <v/>
      </c>
      <c r="U19" s="125"/>
    </row>
    <row r="20" spans="1:21" ht="17.25" x14ac:dyDescent="0.35">
      <c r="A20" s="119"/>
      <c r="B20" s="120"/>
      <c r="C20" s="121"/>
      <c r="D20" s="121"/>
      <c r="E20" s="121">
        <f t="shared" si="0"/>
        <v>0</v>
      </c>
      <c r="F20" s="121"/>
      <c r="G20" s="121">
        <f t="shared" si="1"/>
        <v>1</v>
      </c>
      <c r="H20" s="121"/>
      <c r="I20" s="121">
        <f t="shared" si="2"/>
        <v>1</v>
      </c>
      <c r="J20" s="121"/>
      <c r="K20" s="121">
        <f t="shared" si="3"/>
        <v>1</v>
      </c>
      <c r="L20" s="121"/>
      <c r="M20" s="122">
        <f t="shared" si="4"/>
        <v>0.5</v>
      </c>
      <c r="N20" s="122">
        <f t="shared" si="5"/>
        <v>0</v>
      </c>
      <c r="O20" s="122" t="str">
        <f>IF(B20="","",IF(C20=$A$1,IF(N20&gt;'Datasource 2'!$D$8,'Datasource 2'!$B$9,(IF(N20&gt;'Datasource 2'!$D$9,'Datasource 2'!$B$10,(IF(N20&gt;'Datasource 2'!$D$10,'Datasource 2'!$B$11,(IF(N20&gt;'Datasource 2'!$D$11,'Datasource 2'!$B$12,(IF(N20&gt;'Datasource 2'!$D$12,'Datasource 2'!$B$13,'Datasource 2'!$B$14))))))))),IF(N20&gt;'Datasource 2'!$F$8,'Datasource 2'!$B$9,(IF(N20&gt;'Datasource 2'!$F$9,'Datasource 2'!$B$10,(IF(N20&gt;'Datasource 2'!$F$10,'Datasource 2'!$B$11,(IF(N20&gt;'Datasource 2'!$F$11,'Datasource 2'!$B$12,(IF(N20&gt;'Datasource 2'!$F$12,'Datasource 2'!$B$13,'Datasource 2'!$B$14)))))))))))</f>
        <v/>
      </c>
      <c r="P20" s="121"/>
      <c r="Q20" s="123" t="e">
        <f>VLOOKUP(O20,'Datasource 2'!$B$8:$C$13,2,FALSE)</f>
        <v>#N/A</v>
      </c>
      <c r="R20" s="123" t="e">
        <f>VLOOKUP(P20,'Datasource 2'!$B$8:$C$13,2,FALSE)</f>
        <v>#N/A</v>
      </c>
      <c r="S20" s="123"/>
      <c r="T20" s="121" t="str">
        <f t="shared" si="6"/>
        <v/>
      </c>
      <c r="U20" s="125"/>
    </row>
    <row r="21" spans="1:21" ht="17.25" x14ac:dyDescent="0.35">
      <c r="A21" s="119"/>
      <c r="B21" s="120"/>
      <c r="C21" s="121"/>
      <c r="D21" s="121"/>
      <c r="E21" s="121">
        <f t="shared" si="0"/>
        <v>0</v>
      </c>
      <c r="F21" s="121"/>
      <c r="G21" s="121">
        <f t="shared" si="1"/>
        <v>1</v>
      </c>
      <c r="H21" s="121"/>
      <c r="I21" s="121">
        <f t="shared" si="2"/>
        <v>1</v>
      </c>
      <c r="J21" s="121"/>
      <c r="K21" s="121">
        <f t="shared" si="3"/>
        <v>1</v>
      </c>
      <c r="L21" s="121"/>
      <c r="M21" s="122">
        <f t="shared" si="4"/>
        <v>0.5</v>
      </c>
      <c r="N21" s="122">
        <f t="shared" si="5"/>
        <v>0</v>
      </c>
      <c r="O21" s="122" t="str">
        <f>IF(B21="","",IF(C21=$A$1,IF(N21&gt;'Datasource 2'!$D$8,'Datasource 2'!$B$9,(IF(N21&gt;'Datasource 2'!$D$9,'Datasource 2'!$B$10,(IF(N21&gt;'Datasource 2'!$D$10,'Datasource 2'!$B$11,(IF(N21&gt;'Datasource 2'!$D$11,'Datasource 2'!$B$12,(IF(N21&gt;'Datasource 2'!$D$12,'Datasource 2'!$B$13,'Datasource 2'!$B$14))))))))),IF(N21&gt;'Datasource 2'!$F$8,'Datasource 2'!$B$9,(IF(N21&gt;'Datasource 2'!$F$9,'Datasource 2'!$B$10,(IF(N21&gt;'Datasource 2'!$F$10,'Datasource 2'!$B$11,(IF(N21&gt;'Datasource 2'!$F$11,'Datasource 2'!$B$12,(IF(N21&gt;'Datasource 2'!$F$12,'Datasource 2'!$B$13,'Datasource 2'!$B$14)))))))))))</f>
        <v/>
      </c>
      <c r="P21" s="121"/>
      <c r="Q21" s="123" t="e">
        <f>VLOOKUP(O21,'Datasource 2'!$B$8:$C$13,2,FALSE)</f>
        <v>#N/A</v>
      </c>
      <c r="R21" s="123" t="e">
        <f>VLOOKUP(P21,'Datasource 2'!$B$8:$C$13,2,FALSE)</f>
        <v>#N/A</v>
      </c>
      <c r="S21" s="123"/>
      <c r="T21" s="121" t="str">
        <f t="shared" si="6"/>
        <v/>
      </c>
      <c r="U21" s="125"/>
    </row>
    <row r="22" spans="1:21" ht="17.25" x14ac:dyDescent="0.35">
      <c r="A22" s="119"/>
      <c r="B22" s="120"/>
      <c r="C22" s="121"/>
      <c r="D22" s="121"/>
      <c r="E22" s="121">
        <f t="shared" si="0"/>
        <v>0</v>
      </c>
      <c r="F22" s="121"/>
      <c r="G22" s="121">
        <f t="shared" si="1"/>
        <v>1</v>
      </c>
      <c r="H22" s="121"/>
      <c r="I22" s="121">
        <f t="shared" si="2"/>
        <v>1</v>
      </c>
      <c r="J22" s="121"/>
      <c r="K22" s="121">
        <f t="shared" si="3"/>
        <v>1</v>
      </c>
      <c r="L22" s="121"/>
      <c r="M22" s="122">
        <f t="shared" si="4"/>
        <v>0.5</v>
      </c>
      <c r="N22" s="122">
        <f t="shared" si="5"/>
        <v>0</v>
      </c>
      <c r="O22" s="122" t="str">
        <f>IF(B22="","",IF(C22=$A$1,IF(N22&gt;'Datasource 2'!$D$8,'Datasource 2'!$B$9,(IF(N22&gt;'Datasource 2'!$D$9,'Datasource 2'!$B$10,(IF(N22&gt;'Datasource 2'!$D$10,'Datasource 2'!$B$11,(IF(N22&gt;'Datasource 2'!$D$11,'Datasource 2'!$B$12,(IF(N22&gt;'Datasource 2'!$D$12,'Datasource 2'!$B$13,'Datasource 2'!$B$14))))))))),IF(N22&gt;'Datasource 2'!$F$8,'Datasource 2'!$B$9,(IF(N22&gt;'Datasource 2'!$F$9,'Datasource 2'!$B$10,(IF(N22&gt;'Datasource 2'!$F$10,'Datasource 2'!$B$11,(IF(N22&gt;'Datasource 2'!$F$11,'Datasource 2'!$B$12,(IF(N22&gt;'Datasource 2'!$F$12,'Datasource 2'!$B$13,'Datasource 2'!$B$14)))))))))))</f>
        <v/>
      </c>
      <c r="P22" s="121"/>
      <c r="Q22" s="123" t="e">
        <f>VLOOKUP(O22,'Datasource 2'!$B$8:$C$13,2,FALSE)</f>
        <v>#N/A</v>
      </c>
      <c r="R22" s="123" t="e">
        <f>VLOOKUP(P22,'Datasource 2'!$B$8:$C$13,2,FALSE)</f>
        <v>#N/A</v>
      </c>
      <c r="S22" s="123"/>
      <c r="T22" s="121" t="str">
        <f t="shared" si="6"/>
        <v/>
      </c>
      <c r="U22" s="125"/>
    </row>
    <row r="23" spans="1:21" ht="17.25" x14ac:dyDescent="0.35">
      <c r="A23" s="119"/>
      <c r="B23" s="120"/>
      <c r="C23" s="121"/>
      <c r="D23" s="121"/>
      <c r="E23" s="121">
        <f t="shared" si="0"/>
        <v>0</v>
      </c>
      <c r="F23" s="121"/>
      <c r="G23" s="121">
        <f t="shared" si="1"/>
        <v>1</v>
      </c>
      <c r="H23" s="121"/>
      <c r="I23" s="121">
        <f t="shared" si="2"/>
        <v>1</v>
      </c>
      <c r="J23" s="121"/>
      <c r="K23" s="121">
        <f t="shared" si="3"/>
        <v>1</v>
      </c>
      <c r="L23" s="121"/>
      <c r="M23" s="122">
        <f t="shared" si="4"/>
        <v>0.5</v>
      </c>
      <c r="N23" s="122">
        <f t="shared" si="5"/>
        <v>0</v>
      </c>
      <c r="O23" s="122" t="str">
        <f>IF(B23="","",IF(C23=$A$1,IF(N23&gt;'Datasource 2'!$D$8,'Datasource 2'!$B$9,(IF(N23&gt;'Datasource 2'!$D$9,'Datasource 2'!$B$10,(IF(N23&gt;'Datasource 2'!$D$10,'Datasource 2'!$B$11,(IF(N23&gt;'Datasource 2'!$D$11,'Datasource 2'!$B$12,(IF(N23&gt;'Datasource 2'!$D$12,'Datasource 2'!$B$13,'Datasource 2'!$B$14))))))))),IF(N23&gt;'Datasource 2'!$F$8,'Datasource 2'!$B$9,(IF(N23&gt;'Datasource 2'!$F$9,'Datasource 2'!$B$10,(IF(N23&gt;'Datasource 2'!$F$10,'Datasource 2'!$B$11,(IF(N23&gt;'Datasource 2'!$F$11,'Datasource 2'!$B$12,(IF(N23&gt;'Datasource 2'!$F$12,'Datasource 2'!$B$13,'Datasource 2'!$B$14)))))))))))</f>
        <v/>
      </c>
      <c r="P23" s="121"/>
      <c r="Q23" s="123" t="e">
        <f>VLOOKUP(O23,'Datasource 2'!$B$8:$C$13,2,FALSE)</f>
        <v>#N/A</v>
      </c>
      <c r="R23" s="123" t="e">
        <f>VLOOKUP(P23,'Datasource 2'!$B$8:$C$13,2,FALSE)</f>
        <v>#N/A</v>
      </c>
      <c r="S23" s="123"/>
      <c r="T23" s="121" t="str">
        <f t="shared" si="6"/>
        <v/>
      </c>
      <c r="U23" s="125"/>
    </row>
    <row r="24" spans="1:21" ht="17.25" x14ac:dyDescent="0.35">
      <c r="A24" s="119"/>
      <c r="B24" s="120"/>
      <c r="C24" s="121"/>
      <c r="D24" s="121"/>
      <c r="E24" s="121">
        <f t="shared" si="0"/>
        <v>0</v>
      </c>
      <c r="F24" s="121"/>
      <c r="G24" s="121">
        <f t="shared" si="1"/>
        <v>1</v>
      </c>
      <c r="H24" s="121"/>
      <c r="I24" s="121">
        <f t="shared" si="2"/>
        <v>1</v>
      </c>
      <c r="J24" s="121"/>
      <c r="K24" s="121">
        <f t="shared" si="3"/>
        <v>1</v>
      </c>
      <c r="L24" s="121"/>
      <c r="M24" s="122">
        <f t="shared" si="4"/>
        <v>0.5</v>
      </c>
      <c r="N24" s="122">
        <f t="shared" si="5"/>
        <v>0</v>
      </c>
      <c r="O24" s="122" t="str">
        <f>IF(B24="","",IF(C24=$A$1,IF(N24&gt;'Datasource 2'!$D$8,'Datasource 2'!$B$9,(IF(N24&gt;'Datasource 2'!$D$9,'Datasource 2'!$B$10,(IF(N24&gt;'Datasource 2'!$D$10,'Datasource 2'!$B$11,(IF(N24&gt;'Datasource 2'!$D$11,'Datasource 2'!$B$12,(IF(N24&gt;'Datasource 2'!$D$12,'Datasource 2'!$B$13,'Datasource 2'!$B$14))))))))),IF(N24&gt;'Datasource 2'!$F$8,'Datasource 2'!$B$9,(IF(N24&gt;'Datasource 2'!$F$9,'Datasource 2'!$B$10,(IF(N24&gt;'Datasource 2'!$F$10,'Datasource 2'!$B$11,(IF(N24&gt;'Datasource 2'!$F$11,'Datasource 2'!$B$12,(IF(N24&gt;'Datasource 2'!$F$12,'Datasource 2'!$B$13,'Datasource 2'!$B$14)))))))))))</f>
        <v/>
      </c>
      <c r="P24" s="121"/>
      <c r="Q24" s="123" t="e">
        <f>VLOOKUP(O24,'Datasource 2'!$B$8:$C$13,2,FALSE)</f>
        <v>#N/A</v>
      </c>
      <c r="R24" s="123" t="e">
        <f>VLOOKUP(P24,'Datasource 2'!$B$8:$C$13,2,FALSE)</f>
        <v>#N/A</v>
      </c>
      <c r="S24" s="123"/>
      <c r="T24" s="121" t="str">
        <f t="shared" si="6"/>
        <v/>
      </c>
      <c r="U24" s="126"/>
    </row>
    <row r="25" spans="1:21" ht="17.25" x14ac:dyDescent="0.35">
      <c r="A25" s="119"/>
      <c r="B25" s="120"/>
      <c r="C25" s="121"/>
      <c r="D25" s="121"/>
      <c r="E25" s="121">
        <f t="shared" si="0"/>
        <v>0</v>
      </c>
      <c r="F25" s="121"/>
      <c r="G25" s="121">
        <f t="shared" si="1"/>
        <v>1</v>
      </c>
      <c r="H25" s="121"/>
      <c r="I25" s="121">
        <f t="shared" si="2"/>
        <v>1</v>
      </c>
      <c r="J25" s="121"/>
      <c r="K25" s="121">
        <f t="shared" si="3"/>
        <v>1</v>
      </c>
      <c r="L25" s="121"/>
      <c r="M25" s="122">
        <f t="shared" si="4"/>
        <v>0.5</v>
      </c>
      <c r="N25" s="122">
        <f t="shared" si="5"/>
        <v>0</v>
      </c>
      <c r="O25" s="122" t="str">
        <f>IF(B25="","",IF(C25=$A$1,IF(N25&gt;'Datasource 2'!$D$8,'Datasource 2'!$B$9,(IF(N25&gt;'Datasource 2'!$D$9,'Datasource 2'!$B$10,(IF(N25&gt;'Datasource 2'!$D$10,'Datasource 2'!$B$11,(IF(N25&gt;'Datasource 2'!$D$11,'Datasource 2'!$B$12,(IF(N25&gt;'Datasource 2'!$D$12,'Datasource 2'!$B$13,'Datasource 2'!$B$14))))))))),IF(N25&gt;'Datasource 2'!$F$8,'Datasource 2'!$B$9,(IF(N25&gt;'Datasource 2'!$F$9,'Datasource 2'!$B$10,(IF(N25&gt;'Datasource 2'!$F$10,'Datasource 2'!$B$11,(IF(N25&gt;'Datasource 2'!$F$11,'Datasource 2'!$B$12,(IF(N25&gt;'Datasource 2'!$F$12,'Datasource 2'!$B$13,'Datasource 2'!$B$14)))))))))))</f>
        <v/>
      </c>
      <c r="P25" s="121"/>
      <c r="Q25" s="123" t="e">
        <f>VLOOKUP(O25,'Datasource 2'!$B$8:$C$13,2,FALSE)</f>
        <v>#N/A</v>
      </c>
      <c r="R25" s="123" t="e">
        <f>VLOOKUP(P25,'Datasource 2'!$B$8:$C$13,2,FALSE)</f>
        <v>#N/A</v>
      </c>
      <c r="S25" s="123"/>
      <c r="T25" s="121" t="str">
        <f t="shared" si="6"/>
        <v/>
      </c>
      <c r="U25" s="126"/>
    </row>
    <row r="26" spans="1:21" ht="17.25" x14ac:dyDescent="0.35">
      <c r="A26" s="119"/>
      <c r="B26" s="120"/>
      <c r="C26" s="121"/>
      <c r="D26" s="121"/>
      <c r="E26" s="121">
        <f t="shared" si="0"/>
        <v>0</v>
      </c>
      <c r="F26" s="121"/>
      <c r="G26" s="121">
        <f t="shared" si="1"/>
        <v>1</v>
      </c>
      <c r="H26" s="121"/>
      <c r="I26" s="121">
        <f t="shared" si="2"/>
        <v>1</v>
      </c>
      <c r="J26" s="121"/>
      <c r="K26" s="121">
        <f t="shared" si="3"/>
        <v>1</v>
      </c>
      <c r="L26" s="121"/>
      <c r="M26" s="122">
        <f t="shared" si="4"/>
        <v>0.5</v>
      </c>
      <c r="N26" s="122">
        <f t="shared" si="5"/>
        <v>0</v>
      </c>
      <c r="O26" s="122" t="str">
        <f>IF(B26="","",IF(C26=$A$1,IF(N26&gt;'Datasource 2'!$D$8,'Datasource 2'!$B$9,(IF(N26&gt;'Datasource 2'!$D$9,'Datasource 2'!$B$10,(IF(N26&gt;'Datasource 2'!$D$10,'Datasource 2'!$B$11,(IF(N26&gt;'Datasource 2'!$D$11,'Datasource 2'!$B$12,(IF(N26&gt;'Datasource 2'!$D$12,'Datasource 2'!$B$13,'Datasource 2'!$B$14))))))))),IF(N26&gt;'Datasource 2'!$F$8,'Datasource 2'!$B$9,(IF(N26&gt;'Datasource 2'!$F$9,'Datasource 2'!$B$10,(IF(N26&gt;'Datasource 2'!$F$10,'Datasource 2'!$B$11,(IF(N26&gt;'Datasource 2'!$F$11,'Datasource 2'!$B$12,(IF(N26&gt;'Datasource 2'!$F$12,'Datasource 2'!$B$13,'Datasource 2'!$B$14)))))))))))</f>
        <v/>
      </c>
      <c r="P26" s="121"/>
      <c r="Q26" s="123" t="e">
        <f>VLOOKUP(O26,'Datasource 2'!$B$8:$C$13,2,FALSE)</f>
        <v>#N/A</v>
      </c>
      <c r="R26" s="123" t="e">
        <f>VLOOKUP(P26,'Datasource 2'!$B$8:$C$13,2,FALSE)</f>
        <v>#N/A</v>
      </c>
      <c r="S26" s="123"/>
      <c r="T26" s="121" t="str">
        <f t="shared" si="6"/>
        <v/>
      </c>
      <c r="U26" s="126"/>
    </row>
    <row r="27" spans="1:21" ht="17.25" x14ac:dyDescent="0.35">
      <c r="A27" s="119"/>
      <c r="B27" s="120"/>
      <c r="C27" s="121"/>
      <c r="D27" s="121"/>
      <c r="E27" s="121">
        <f t="shared" si="0"/>
        <v>0</v>
      </c>
      <c r="F27" s="121"/>
      <c r="G27" s="121">
        <f t="shared" si="1"/>
        <v>1</v>
      </c>
      <c r="H27" s="121"/>
      <c r="I27" s="121">
        <f t="shared" si="2"/>
        <v>1</v>
      </c>
      <c r="J27" s="121"/>
      <c r="K27" s="121">
        <f t="shared" si="3"/>
        <v>1</v>
      </c>
      <c r="L27" s="121"/>
      <c r="M27" s="122">
        <f t="shared" si="4"/>
        <v>0.5</v>
      </c>
      <c r="N27" s="122">
        <f t="shared" si="5"/>
        <v>0</v>
      </c>
      <c r="O27" s="122" t="str">
        <f>IF(B27="","",IF(C27=$A$1,IF(N27&gt;'Datasource 2'!$D$8,'Datasource 2'!$B$9,(IF(N27&gt;'Datasource 2'!$D$9,'Datasource 2'!$B$10,(IF(N27&gt;'Datasource 2'!$D$10,'Datasource 2'!$B$11,(IF(N27&gt;'Datasource 2'!$D$11,'Datasource 2'!$B$12,(IF(N27&gt;'Datasource 2'!$D$12,'Datasource 2'!$B$13,'Datasource 2'!$B$14))))))))),IF(N27&gt;'Datasource 2'!$F$8,'Datasource 2'!$B$9,(IF(N27&gt;'Datasource 2'!$F$9,'Datasource 2'!$B$10,(IF(N27&gt;'Datasource 2'!$F$10,'Datasource 2'!$B$11,(IF(N27&gt;'Datasource 2'!$F$11,'Datasource 2'!$B$12,(IF(N27&gt;'Datasource 2'!$F$12,'Datasource 2'!$B$13,'Datasource 2'!$B$14)))))))))))</f>
        <v/>
      </c>
      <c r="P27" s="121"/>
      <c r="Q27" s="123" t="e">
        <f>VLOOKUP(O27,'Datasource 2'!$B$8:$C$13,2,FALSE)</f>
        <v>#N/A</v>
      </c>
      <c r="R27" s="123" t="e">
        <f>VLOOKUP(P27,'Datasource 2'!$B$8:$C$13,2,FALSE)</f>
        <v>#N/A</v>
      </c>
      <c r="S27" s="123"/>
      <c r="T27" s="121" t="str">
        <f t="shared" si="6"/>
        <v/>
      </c>
      <c r="U27" s="126"/>
    </row>
    <row r="28" spans="1:21" ht="17.25" x14ac:dyDescent="0.35">
      <c r="A28" s="119"/>
      <c r="B28" s="120"/>
      <c r="C28" s="121"/>
      <c r="D28" s="121"/>
      <c r="E28" s="121">
        <f t="shared" si="0"/>
        <v>0</v>
      </c>
      <c r="F28" s="121"/>
      <c r="G28" s="121">
        <f t="shared" si="1"/>
        <v>1</v>
      </c>
      <c r="H28" s="121"/>
      <c r="I28" s="121">
        <f t="shared" si="2"/>
        <v>1</v>
      </c>
      <c r="J28" s="121"/>
      <c r="K28" s="121">
        <f t="shared" si="3"/>
        <v>1</v>
      </c>
      <c r="L28" s="121"/>
      <c r="M28" s="122">
        <f t="shared" si="4"/>
        <v>0.5</v>
      </c>
      <c r="N28" s="122">
        <f t="shared" si="5"/>
        <v>0</v>
      </c>
      <c r="O28" s="122" t="str">
        <f>IF(B28="","",IF(C28=$A$1,IF(N28&gt;'Datasource 2'!$D$8,'Datasource 2'!$B$9,(IF(N28&gt;'Datasource 2'!$D$9,'Datasource 2'!$B$10,(IF(N28&gt;'Datasource 2'!$D$10,'Datasource 2'!$B$11,(IF(N28&gt;'Datasource 2'!$D$11,'Datasource 2'!$B$12,(IF(N28&gt;'Datasource 2'!$D$12,'Datasource 2'!$B$13,'Datasource 2'!$B$14))))))))),IF(N28&gt;'Datasource 2'!$F$8,'Datasource 2'!$B$9,(IF(N28&gt;'Datasource 2'!$F$9,'Datasource 2'!$B$10,(IF(N28&gt;'Datasource 2'!$F$10,'Datasource 2'!$B$11,(IF(N28&gt;'Datasource 2'!$F$11,'Datasource 2'!$B$12,(IF(N28&gt;'Datasource 2'!$F$12,'Datasource 2'!$B$13,'Datasource 2'!$B$14)))))))))))</f>
        <v/>
      </c>
      <c r="P28" s="121"/>
      <c r="Q28" s="123" t="e">
        <f>VLOOKUP(O28,'Datasource 2'!$B$8:$C$13,2,FALSE)</f>
        <v>#N/A</v>
      </c>
      <c r="R28" s="123" t="e">
        <f>VLOOKUP(P28,'Datasource 2'!$B$8:$C$13,2,FALSE)</f>
        <v>#N/A</v>
      </c>
      <c r="S28" s="123"/>
      <c r="T28" s="121" t="str">
        <f t="shared" si="6"/>
        <v/>
      </c>
      <c r="U28" s="126"/>
    </row>
    <row r="29" spans="1:21" ht="17.25" x14ac:dyDescent="0.35">
      <c r="A29" s="119"/>
      <c r="B29" s="120"/>
      <c r="C29" s="121"/>
      <c r="D29" s="121"/>
      <c r="E29" s="121">
        <f t="shared" si="0"/>
        <v>0</v>
      </c>
      <c r="F29" s="121"/>
      <c r="G29" s="121">
        <f t="shared" si="1"/>
        <v>1</v>
      </c>
      <c r="H29" s="121"/>
      <c r="I29" s="121">
        <f t="shared" si="2"/>
        <v>1</v>
      </c>
      <c r="J29" s="121"/>
      <c r="K29" s="121">
        <f t="shared" si="3"/>
        <v>1</v>
      </c>
      <c r="L29" s="121"/>
      <c r="M29" s="122">
        <f t="shared" si="4"/>
        <v>0.5</v>
      </c>
      <c r="N29" s="122">
        <f t="shared" si="5"/>
        <v>0</v>
      </c>
      <c r="O29" s="122" t="str">
        <f>IF(B29="","",IF(C29=$A$1,IF(N29&gt;'Datasource 2'!$D$8,'Datasource 2'!$B$9,(IF(N29&gt;'Datasource 2'!$D$9,'Datasource 2'!$B$10,(IF(N29&gt;'Datasource 2'!$D$10,'Datasource 2'!$B$11,(IF(N29&gt;'Datasource 2'!$D$11,'Datasource 2'!$B$12,(IF(N29&gt;'Datasource 2'!$D$12,'Datasource 2'!$B$13,'Datasource 2'!$B$14))))))))),IF(N29&gt;'Datasource 2'!$F$8,'Datasource 2'!$B$9,(IF(N29&gt;'Datasource 2'!$F$9,'Datasource 2'!$B$10,(IF(N29&gt;'Datasource 2'!$F$10,'Datasource 2'!$B$11,(IF(N29&gt;'Datasource 2'!$F$11,'Datasource 2'!$B$12,(IF(N29&gt;'Datasource 2'!$F$12,'Datasource 2'!$B$13,'Datasource 2'!$B$14)))))))))))</f>
        <v/>
      </c>
      <c r="P29" s="121"/>
      <c r="Q29" s="123" t="e">
        <f>VLOOKUP(O29,'Datasource 2'!$B$8:$C$13,2,FALSE)</f>
        <v>#N/A</v>
      </c>
      <c r="R29" s="123" t="e">
        <f>VLOOKUP(P29,'Datasource 2'!$B$8:$C$13,2,FALSE)</f>
        <v>#N/A</v>
      </c>
      <c r="S29" s="123"/>
      <c r="T29" s="121" t="str">
        <f t="shared" si="6"/>
        <v/>
      </c>
      <c r="U29" s="126"/>
    </row>
    <row r="30" spans="1:21" ht="17.25" x14ac:dyDescent="0.35">
      <c r="A30" s="119"/>
      <c r="B30" s="120"/>
      <c r="C30" s="121"/>
      <c r="D30" s="121"/>
      <c r="E30" s="121">
        <f t="shared" si="0"/>
        <v>0</v>
      </c>
      <c r="F30" s="121"/>
      <c r="G30" s="121">
        <f t="shared" si="1"/>
        <v>1</v>
      </c>
      <c r="H30" s="121"/>
      <c r="I30" s="121">
        <f t="shared" si="2"/>
        <v>1</v>
      </c>
      <c r="J30" s="121"/>
      <c r="K30" s="121">
        <f t="shared" si="3"/>
        <v>1</v>
      </c>
      <c r="L30" s="121"/>
      <c r="M30" s="122">
        <f t="shared" si="4"/>
        <v>0.5</v>
      </c>
      <c r="N30" s="122">
        <f t="shared" si="5"/>
        <v>0</v>
      </c>
      <c r="O30" s="122" t="str">
        <f>IF(B30="","",IF(C30=$A$1,IF(N30&gt;'Datasource 2'!$D$8,'Datasource 2'!$B$9,(IF(N30&gt;'Datasource 2'!$D$9,'Datasource 2'!$B$10,(IF(N30&gt;'Datasource 2'!$D$10,'Datasource 2'!$B$11,(IF(N30&gt;'Datasource 2'!$D$11,'Datasource 2'!$B$12,(IF(N30&gt;'Datasource 2'!$D$12,'Datasource 2'!$B$13,'Datasource 2'!$B$14))))))))),IF(N30&gt;'Datasource 2'!$F$8,'Datasource 2'!$B$9,(IF(N30&gt;'Datasource 2'!$F$9,'Datasource 2'!$B$10,(IF(N30&gt;'Datasource 2'!$F$10,'Datasource 2'!$B$11,(IF(N30&gt;'Datasource 2'!$F$11,'Datasource 2'!$B$12,(IF(N30&gt;'Datasource 2'!$F$12,'Datasource 2'!$B$13,'Datasource 2'!$B$14)))))))))))</f>
        <v/>
      </c>
      <c r="P30" s="121"/>
      <c r="Q30" s="123" t="e">
        <f>VLOOKUP(O30,'Datasource 2'!$B$8:$C$13,2,FALSE)</f>
        <v>#N/A</v>
      </c>
      <c r="R30" s="123" t="e">
        <f>VLOOKUP(P30,'Datasource 2'!$B$8:$C$13,2,FALSE)</f>
        <v>#N/A</v>
      </c>
      <c r="S30" s="123"/>
      <c r="T30" s="121" t="str">
        <f t="shared" si="6"/>
        <v/>
      </c>
      <c r="U30" s="126"/>
    </row>
    <row r="31" spans="1:21" ht="17.25" x14ac:dyDescent="0.35">
      <c r="A31" s="119"/>
      <c r="B31" s="120"/>
      <c r="C31" s="121"/>
      <c r="D31" s="121"/>
      <c r="E31" s="121">
        <f t="shared" si="0"/>
        <v>0</v>
      </c>
      <c r="F31" s="121"/>
      <c r="G31" s="121">
        <f t="shared" si="1"/>
        <v>1</v>
      </c>
      <c r="H31" s="121"/>
      <c r="I31" s="121">
        <f t="shared" si="2"/>
        <v>1</v>
      </c>
      <c r="J31" s="121"/>
      <c r="K31" s="121">
        <f t="shared" si="3"/>
        <v>1</v>
      </c>
      <c r="L31" s="121"/>
      <c r="M31" s="122">
        <f t="shared" si="4"/>
        <v>0.5</v>
      </c>
      <c r="N31" s="122">
        <f t="shared" si="5"/>
        <v>0</v>
      </c>
      <c r="O31" s="122" t="str">
        <f>IF(B31="","",IF(C31=$A$1,IF(N31&gt;'Datasource 2'!$D$8,'Datasource 2'!$B$9,(IF(N31&gt;'Datasource 2'!$D$9,'Datasource 2'!$B$10,(IF(N31&gt;'Datasource 2'!$D$10,'Datasource 2'!$B$11,(IF(N31&gt;'Datasource 2'!$D$11,'Datasource 2'!$B$12,(IF(N31&gt;'Datasource 2'!$D$12,'Datasource 2'!$B$13,'Datasource 2'!$B$14))))))))),IF(N31&gt;'Datasource 2'!$F$8,'Datasource 2'!$B$9,(IF(N31&gt;'Datasource 2'!$F$9,'Datasource 2'!$B$10,(IF(N31&gt;'Datasource 2'!$F$10,'Datasource 2'!$B$11,(IF(N31&gt;'Datasource 2'!$F$11,'Datasource 2'!$B$12,(IF(N31&gt;'Datasource 2'!$F$12,'Datasource 2'!$B$13,'Datasource 2'!$B$14)))))))))))</f>
        <v/>
      </c>
      <c r="P31" s="121"/>
      <c r="Q31" s="123" t="e">
        <f>VLOOKUP(O31,'Datasource 2'!$B$8:$C$13,2,FALSE)</f>
        <v>#N/A</v>
      </c>
      <c r="R31" s="123" t="e">
        <f>VLOOKUP(P31,'Datasource 2'!$B$8:$C$13,2,FALSE)</f>
        <v>#N/A</v>
      </c>
      <c r="S31" s="123"/>
      <c r="T31" s="121" t="str">
        <f t="shared" si="6"/>
        <v/>
      </c>
      <c r="U31" s="126"/>
    </row>
    <row r="32" spans="1:21" ht="17.25" x14ac:dyDescent="0.35">
      <c r="A32" s="119"/>
      <c r="B32" s="120"/>
      <c r="C32" s="121"/>
      <c r="D32" s="121"/>
      <c r="E32" s="121">
        <f t="shared" si="0"/>
        <v>0</v>
      </c>
      <c r="F32" s="121"/>
      <c r="G32" s="121">
        <f t="shared" si="1"/>
        <v>1</v>
      </c>
      <c r="H32" s="121"/>
      <c r="I32" s="121">
        <f t="shared" si="2"/>
        <v>1</v>
      </c>
      <c r="J32" s="121"/>
      <c r="K32" s="121">
        <f t="shared" si="3"/>
        <v>1</v>
      </c>
      <c r="L32" s="121"/>
      <c r="M32" s="122">
        <f t="shared" si="4"/>
        <v>0.5</v>
      </c>
      <c r="N32" s="122">
        <f t="shared" si="5"/>
        <v>0</v>
      </c>
      <c r="O32" s="122" t="str">
        <f>IF(B32="","",IF(C32=$A$1,IF(N32&gt;'Datasource 2'!$D$8,'Datasource 2'!$B$9,(IF(N32&gt;'Datasource 2'!$D$9,'Datasource 2'!$B$10,(IF(N32&gt;'Datasource 2'!$D$10,'Datasource 2'!$B$11,(IF(N32&gt;'Datasource 2'!$D$11,'Datasource 2'!$B$12,(IF(N32&gt;'Datasource 2'!$D$12,'Datasource 2'!$B$13,'Datasource 2'!$B$14))))))))),IF(N32&gt;'Datasource 2'!$F$8,'Datasource 2'!$B$9,(IF(N32&gt;'Datasource 2'!$F$9,'Datasource 2'!$B$10,(IF(N32&gt;'Datasource 2'!$F$10,'Datasource 2'!$B$11,(IF(N32&gt;'Datasource 2'!$F$11,'Datasource 2'!$B$12,(IF(N32&gt;'Datasource 2'!$F$12,'Datasource 2'!$B$13,'Datasource 2'!$B$14)))))))))))</f>
        <v/>
      </c>
      <c r="P32" s="121"/>
      <c r="Q32" s="123" t="e">
        <f>VLOOKUP(O32,'Datasource 2'!$B$8:$C$13,2,FALSE)</f>
        <v>#N/A</v>
      </c>
      <c r="R32" s="123" t="e">
        <f>VLOOKUP(P32,'Datasource 2'!$B$8:$C$13,2,FALSE)</f>
        <v>#N/A</v>
      </c>
      <c r="S32" s="123"/>
      <c r="T32" s="121" t="str">
        <f t="shared" si="6"/>
        <v/>
      </c>
      <c r="U32" s="126"/>
    </row>
    <row r="33" spans="1:21" ht="17.25" x14ac:dyDescent="0.35">
      <c r="A33" s="119"/>
      <c r="B33" s="120"/>
      <c r="C33" s="121"/>
      <c r="D33" s="121"/>
      <c r="E33" s="121">
        <f t="shared" si="0"/>
        <v>0</v>
      </c>
      <c r="F33" s="121"/>
      <c r="G33" s="121">
        <f t="shared" si="1"/>
        <v>1</v>
      </c>
      <c r="H33" s="121"/>
      <c r="I33" s="121">
        <f t="shared" si="2"/>
        <v>1</v>
      </c>
      <c r="J33" s="121"/>
      <c r="K33" s="121">
        <f t="shared" si="3"/>
        <v>1</v>
      </c>
      <c r="L33" s="121"/>
      <c r="M33" s="122">
        <f t="shared" si="4"/>
        <v>0.5</v>
      </c>
      <c r="N33" s="122">
        <f t="shared" si="5"/>
        <v>0</v>
      </c>
      <c r="O33" s="122" t="str">
        <f>IF(B33="","",IF(C33=$A$1,IF(N33&gt;'Datasource 2'!$D$8,'Datasource 2'!$B$9,(IF(N33&gt;'Datasource 2'!$D$9,'Datasource 2'!$B$10,(IF(N33&gt;'Datasource 2'!$D$10,'Datasource 2'!$B$11,(IF(N33&gt;'Datasource 2'!$D$11,'Datasource 2'!$B$12,(IF(N33&gt;'Datasource 2'!$D$12,'Datasource 2'!$B$13,'Datasource 2'!$B$14))))))))),IF(N33&gt;'Datasource 2'!$F$8,'Datasource 2'!$B$9,(IF(N33&gt;'Datasource 2'!$F$9,'Datasource 2'!$B$10,(IF(N33&gt;'Datasource 2'!$F$10,'Datasource 2'!$B$11,(IF(N33&gt;'Datasource 2'!$F$11,'Datasource 2'!$B$12,(IF(N33&gt;'Datasource 2'!$F$12,'Datasource 2'!$B$13,'Datasource 2'!$B$14)))))))))))</f>
        <v/>
      </c>
      <c r="P33" s="121"/>
      <c r="Q33" s="123" t="e">
        <f>VLOOKUP(O33,'Datasource 2'!$B$8:$C$13,2,FALSE)</f>
        <v>#N/A</v>
      </c>
      <c r="R33" s="123" t="e">
        <f>VLOOKUP(P33,'Datasource 2'!$B$8:$C$13,2,FALSE)</f>
        <v>#N/A</v>
      </c>
      <c r="S33" s="123"/>
      <c r="T33" s="121" t="str">
        <f t="shared" si="6"/>
        <v/>
      </c>
      <c r="U33" s="126"/>
    </row>
    <row r="34" spans="1:21" ht="17.25" x14ac:dyDescent="0.35">
      <c r="A34" s="119"/>
      <c r="B34" s="120"/>
      <c r="C34" s="121"/>
      <c r="D34" s="121"/>
      <c r="E34" s="121">
        <f t="shared" si="0"/>
        <v>0</v>
      </c>
      <c r="F34" s="121"/>
      <c r="G34" s="121">
        <f t="shared" si="1"/>
        <v>1</v>
      </c>
      <c r="H34" s="121"/>
      <c r="I34" s="121">
        <f t="shared" si="2"/>
        <v>1</v>
      </c>
      <c r="J34" s="121"/>
      <c r="K34" s="121">
        <f t="shared" si="3"/>
        <v>1</v>
      </c>
      <c r="L34" s="121"/>
      <c r="M34" s="122">
        <f t="shared" si="4"/>
        <v>0.5</v>
      </c>
      <c r="N34" s="122">
        <f t="shared" si="5"/>
        <v>0</v>
      </c>
      <c r="O34" s="122" t="str">
        <f>IF(B34="","",IF(C34=$A$1,IF(N34&gt;'Datasource 2'!$D$8,'Datasource 2'!$B$9,(IF(N34&gt;'Datasource 2'!$D$9,'Datasource 2'!$B$10,(IF(N34&gt;'Datasource 2'!$D$10,'Datasource 2'!$B$11,(IF(N34&gt;'Datasource 2'!$D$11,'Datasource 2'!$B$12,(IF(N34&gt;'Datasource 2'!$D$12,'Datasource 2'!$B$13,'Datasource 2'!$B$14))))))))),IF(N34&gt;'Datasource 2'!$F$8,'Datasource 2'!$B$9,(IF(N34&gt;'Datasource 2'!$F$9,'Datasource 2'!$B$10,(IF(N34&gt;'Datasource 2'!$F$10,'Datasource 2'!$B$11,(IF(N34&gt;'Datasource 2'!$F$11,'Datasource 2'!$B$12,(IF(N34&gt;'Datasource 2'!$F$12,'Datasource 2'!$B$13,'Datasource 2'!$B$14)))))))))))</f>
        <v/>
      </c>
      <c r="P34" s="121"/>
      <c r="Q34" s="123" t="e">
        <f>VLOOKUP(O34,'Datasource 2'!$B$8:$C$13,2,FALSE)</f>
        <v>#N/A</v>
      </c>
      <c r="R34" s="123" t="e">
        <f>VLOOKUP(P34,'Datasource 2'!$B$8:$C$13,2,FALSE)</f>
        <v>#N/A</v>
      </c>
      <c r="S34" s="123"/>
      <c r="T34" s="121" t="str">
        <f t="shared" si="6"/>
        <v/>
      </c>
      <c r="U34" s="126"/>
    </row>
    <row r="35" spans="1:21" ht="17.25" x14ac:dyDescent="0.35">
      <c r="A35" s="119"/>
      <c r="B35" s="120"/>
      <c r="C35" s="121"/>
      <c r="D35" s="121"/>
      <c r="E35" s="121">
        <f t="shared" si="0"/>
        <v>0</v>
      </c>
      <c r="F35" s="121"/>
      <c r="G35" s="121">
        <f t="shared" si="1"/>
        <v>1</v>
      </c>
      <c r="H35" s="121"/>
      <c r="I35" s="121">
        <f t="shared" si="2"/>
        <v>1</v>
      </c>
      <c r="J35" s="121"/>
      <c r="K35" s="121">
        <f t="shared" si="3"/>
        <v>1</v>
      </c>
      <c r="L35" s="121"/>
      <c r="M35" s="122">
        <f t="shared" si="4"/>
        <v>0.5</v>
      </c>
      <c r="N35" s="122">
        <f t="shared" si="5"/>
        <v>0</v>
      </c>
      <c r="O35" s="122" t="str">
        <f>IF(B35="","",IF(C35=$A$1,IF(N35&gt;'Datasource 2'!$D$8,'Datasource 2'!$B$9,(IF(N35&gt;'Datasource 2'!$D$9,'Datasource 2'!$B$10,(IF(N35&gt;'Datasource 2'!$D$10,'Datasource 2'!$B$11,(IF(N35&gt;'Datasource 2'!$D$11,'Datasource 2'!$B$12,(IF(N35&gt;'Datasource 2'!$D$12,'Datasource 2'!$B$13,'Datasource 2'!$B$14))))))))),IF(N35&gt;'Datasource 2'!$F$8,'Datasource 2'!$B$9,(IF(N35&gt;'Datasource 2'!$F$9,'Datasource 2'!$B$10,(IF(N35&gt;'Datasource 2'!$F$10,'Datasource 2'!$B$11,(IF(N35&gt;'Datasource 2'!$F$11,'Datasource 2'!$B$12,(IF(N35&gt;'Datasource 2'!$F$12,'Datasource 2'!$B$13,'Datasource 2'!$B$14)))))))))))</f>
        <v/>
      </c>
      <c r="P35" s="121"/>
      <c r="Q35" s="123" t="e">
        <f>VLOOKUP(O35,'Datasource 2'!$B$8:$C$13,2,FALSE)</f>
        <v>#N/A</v>
      </c>
      <c r="R35" s="123" t="e">
        <f>VLOOKUP(P35,'Datasource 2'!$B$8:$C$13,2,FALSE)</f>
        <v>#N/A</v>
      </c>
      <c r="S35" s="123"/>
      <c r="T35" s="121" t="str">
        <f t="shared" si="6"/>
        <v/>
      </c>
      <c r="U35" s="126"/>
    </row>
    <row r="36" spans="1:21" ht="17.25" x14ac:dyDescent="0.35">
      <c r="A36" s="119"/>
      <c r="B36" s="120"/>
      <c r="C36" s="121"/>
      <c r="D36" s="121"/>
      <c r="E36" s="121">
        <f t="shared" si="0"/>
        <v>0</v>
      </c>
      <c r="F36" s="121"/>
      <c r="G36" s="121">
        <f t="shared" si="1"/>
        <v>1</v>
      </c>
      <c r="H36" s="121"/>
      <c r="I36" s="121">
        <f t="shared" si="2"/>
        <v>1</v>
      </c>
      <c r="J36" s="121"/>
      <c r="K36" s="121">
        <f t="shared" si="3"/>
        <v>1</v>
      </c>
      <c r="L36" s="121"/>
      <c r="M36" s="122">
        <f t="shared" si="4"/>
        <v>0.5</v>
      </c>
      <c r="N36" s="122">
        <f t="shared" si="5"/>
        <v>0</v>
      </c>
      <c r="O36" s="122" t="str">
        <f>IF(B36="","",IF(C36=$A$1,IF(N36&gt;'Datasource 2'!$D$8,'Datasource 2'!$B$9,(IF(N36&gt;'Datasource 2'!$D$9,'Datasource 2'!$B$10,(IF(N36&gt;'Datasource 2'!$D$10,'Datasource 2'!$B$11,(IF(N36&gt;'Datasource 2'!$D$11,'Datasource 2'!$B$12,(IF(N36&gt;'Datasource 2'!$D$12,'Datasource 2'!$B$13,'Datasource 2'!$B$14))))))))),IF(N36&gt;'Datasource 2'!$F$8,'Datasource 2'!$B$9,(IF(N36&gt;'Datasource 2'!$F$9,'Datasource 2'!$B$10,(IF(N36&gt;'Datasource 2'!$F$10,'Datasource 2'!$B$11,(IF(N36&gt;'Datasource 2'!$F$11,'Datasource 2'!$B$12,(IF(N36&gt;'Datasource 2'!$F$12,'Datasource 2'!$B$13,'Datasource 2'!$B$14)))))))))))</f>
        <v/>
      </c>
      <c r="P36" s="121"/>
      <c r="Q36" s="123" t="e">
        <f>VLOOKUP(O36,'Datasource 2'!$B$8:$C$13,2,FALSE)</f>
        <v>#N/A</v>
      </c>
      <c r="R36" s="123" t="e">
        <f>VLOOKUP(P36,'Datasource 2'!$B$8:$C$13,2,FALSE)</f>
        <v>#N/A</v>
      </c>
      <c r="S36" s="123"/>
      <c r="T36" s="121" t="str">
        <f t="shared" si="6"/>
        <v/>
      </c>
      <c r="U36" s="126"/>
    </row>
    <row r="37" spans="1:21" ht="17.25" x14ac:dyDescent="0.35">
      <c r="A37" s="119"/>
      <c r="B37" s="120"/>
      <c r="C37" s="121"/>
      <c r="D37" s="121"/>
      <c r="E37" s="121">
        <f t="shared" si="0"/>
        <v>0</v>
      </c>
      <c r="F37" s="121"/>
      <c r="G37" s="121">
        <f t="shared" si="1"/>
        <v>1</v>
      </c>
      <c r="H37" s="121"/>
      <c r="I37" s="121">
        <f t="shared" si="2"/>
        <v>1</v>
      </c>
      <c r="J37" s="121"/>
      <c r="K37" s="121">
        <f t="shared" si="3"/>
        <v>1</v>
      </c>
      <c r="L37" s="121"/>
      <c r="M37" s="122">
        <f t="shared" si="4"/>
        <v>0.5</v>
      </c>
      <c r="N37" s="122">
        <f t="shared" si="5"/>
        <v>0</v>
      </c>
      <c r="O37" s="122" t="str">
        <f>IF(B37="","",IF(C37=$A$1,IF(N37&gt;'Datasource 2'!$D$8,'Datasource 2'!$B$9,(IF(N37&gt;'Datasource 2'!$D$9,'Datasource 2'!$B$10,(IF(N37&gt;'Datasource 2'!$D$10,'Datasource 2'!$B$11,(IF(N37&gt;'Datasource 2'!$D$11,'Datasource 2'!$B$12,(IF(N37&gt;'Datasource 2'!$D$12,'Datasource 2'!$B$13,'Datasource 2'!$B$14))))))))),IF(N37&gt;'Datasource 2'!$F$8,'Datasource 2'!$B$9,(IF(N37&gt;'Datasource 2'!$F$9,'Datasource 2'!$B$10,(IF(N37&gt;'Datasource 2'!$F$10,'Datasource 2'!$B$11,(IF(N37&gt;'Datasource 2'!$F$11,'Datasource 2'!$B$12,(IF(N37&gt;'Datasource 2'!$F$12,'Datasource 2'!$B$13,'Datasource 2'!$B$14)))))))))))</f>
        <v/>
      </c>
      <c r="P37" s="121"/>
      <c r="Q37" s="123" t="e">
        <f>VLOOKUP(O37,'Datasource 2'!$B$8:$C$13,2,FALSE)</f>
        <v>#N/A</v>
      </c>
      <c r="R37" s="123" t="e">
        <f>VLOOKUP(P37,'Datasource 2'!$B$8:$C$13,2,FALSE)</f>
        <v>#N/A</v>
      </c>
      <c r="S37" s="123"/>
      <c r="T37" s="121" t="str">
        <f t="shared" si="6"/>
        <v/>
      </c>
      <c r="U37" s="126"/>
    </row>
    <row r="38" spans="1:21" ht="17.25" x14ac:dyDescent="0.35">
      <c r="A38" s="119"/>
      <c r="B38" s="120"/>
      <c r="C38" s="121"/>
      <c r="D38" s="121"/>
      <c r="E38" s="121">
        <f t="shared" si="0"/>
        <v>0</v>
      </c>
      <c r="F38" s="121"/>
      <c r="G38" s="121">
        <f t="shared" si="1"/>
        <v>1</v>
      </c>
      <c r="H38" s="121"/>
      <c r="I38" s="121">
        <f t="shared" si="2"/>
        <v>1</v>
      </c>
      <c r="J38" s="121"/>
      <c r="K38" s="121">
        <f t="shared" si="3"/>
        <v>1</v>
      </c>
      <c r="L38" s="121"/>
      <c r="M38" s="122">
        <f t="shared" si="4"/>
        <v>0.5</v>
      </c>
      <c r="N38" s="122">
        <f t="shared" si="5"/>
        <v>0</v>
      </c>
      <c r="O38" s="122" t="str">
        <f>IF(B38="","",IF(C38=$A$1,IF(N38&gt;'Datasource 2'!$D$8,'Datasource 2'!$B$9,(IF(N38&gt;'Datasource 2'!$D$9,'Datasource 2'!$B$10,(IF(N38&gt;'Datasource 2'!$D$10,'Datasource 2'!$B$11,(IF(N38&gt;'Datasource 2'!$D$11,'Datasource 2'!$B$12,(IF(N38&gt;'Datasource 2'!$D$12,'Datasource 2'!$B$13,'Datasource 2'!$B$14))))))))),IF(N38&gt;'Datasource 2'!$F$8,'Datasource 2'!$B$9,(IF(N38&gt;'Datasource 2'!$F$9,'Datasource 2'!$B$10,(IF(N38&gt;'Datasource 2'!$F$10,'Datasource 2'!$B$11,(IF(N38&gt;'Datasource 2'!$F$11,'Datasource 2'!$B$12,(IF(N38&gt;'Datasource 2'!$F$12,'Datasource 2'!$B$13,'Datasource 2'!$B$14)))))))))))</f>
        <v/>
      </c>
      <c r="P38" s="121"/>
      <c r="Q38" s="123" t="e">
        <f>VLOOKUP(O38,'Datasource 2'!$B$8:$C$13,2,FALSE)</f>
        <v>#N/A</v>
      </c>
      <c r="R38" s="123" t="e">
        <f>VLOOKUP(P38,'Datasource 2'!$B$8:$C$13,2,FALSE)</f>
        <v>#N/A</v>
      </c>
      <c r="S38" s="123"/>
      <c r="T38" s="121" t="str">
        <f t="shared" si="6"/>
        <v/>
      </c>
      <c r="U38" s="126"/>
    </row>
    <row r="39" spans="1:21" ht="17.25" x14ac:dyDescent="0.35">
      <c r="A39" s="119"/>
      <c r="B39" s="120"/>
      <c r="C39" s="121"/>
      <c r="D39" s="121"/>
      <c r="E39" s="121">
        <f t="shared" si="0"/>
        <v>0</v>
      </c>
      <c r="F39" s="121"/>
      <c r="G39" s="121">
        <f t="shared" si="1"/>
        <v>1</v>
      </c>
      <c r="H39" s="121"/>
      <c r="I39" s="121">
        <f t="shared" si="2"/>
        <v>1</v>
      </c>
      <c r="J39" s="121"/>
      <c r="K39" s="121">
        <f t="shared" si="3"/>
        <v>1</v>
      </c>
      <c r="L39" s="121"/>
      <c r="M39" s="122">
        <f t="shared" si="4"/>
        <v>0.5</v>
      </c>
      <c r="N39" s="122">
        <f t="shared" si="5"/>
        <v>0</v>
      </c>
      <c r="O39" s="122" t="str">
        <f>IF(B39="","",IF(C39=$A$1,IF(N39&gt;'Datasource 2'!$D$8,'Datasource 2'!$B$9,(IF(N39&gt;'Datasource 2'!$D$9,'Datasource 2'!$B$10,(IF(N39&gt;'Datasource 2'!$D$10,'Datasource 2'!$B$11,(IF(N39&gt;'Datasource 2'!$D$11,'Datasource 2'!$B$12,(IF(N39&gt;'Datasource 2'!$D$12,'Datasource 2'!$B$13,'Datasource 2'!$B$14))))))))),IF(N39&gt;'Datasource 2'!$F$8,'Datasource 2'!$B$9,(IF(N39&gt;'Datasource 2'!$F$9,'Datasource 2'!$B$10,(IF(N39&gt;'Datasource 2'!$F$10,'Datasource 2'!$B$11,(IF(N39&gt;'Datasource 2'!$F$11,'Datasource 2'!$B$12,(IF(N39&gt;'Datasource 2'!$F$12,'Datasource 2'!$B$13,'Datasource 2'!$B$14)))))))))))</f>
        <v/>
      </c>
      <c r="P39" s="121"/>
      <c r="Q39" s="123" t="e">
        <f>VLOOKUP(O39,'Datasource 2'!$B$8:$C$13,2,FALSE)</f>
        <v>#N/A</v>
      </c>
      <c r="R39" s="123" t="e">
        <f>VLOOKUP(P39,'Datasource 2'!$B$8:$C$13,2,FALSE)</f>
        <v>#N/A</v>
      </c>
      <c r="S39" s="123"/>
      <c r="T39" s="121" t="str">
        <f t="shared" si="6"/>
        <v/>
      </c>
      <c r="U39" s="126"/>
    </row>
    <row r="40" spans="1:21" ht="17.25" x14ac:dyDescent="0.35">
      <c r="A40" s="119"/>
      <c r="B40" s="120"/>
      <c r="C40" s="121"/>
      <c r="D40" s="121"/>
      <c r="E40" s="121">
        <f t="shared" si="0"/>
        <v>0</v>
      </c>
      <c r="F40" s="121"/>
      <c r="G40" s="121">
        <f t="shared" si="1"/>
        <v>1</v>
      </c>
      <c r="H40" s="121"/>
      <c r="I40" s="121">
        <f t="shared" si="2"/>
        <v>1</v>
      </c>
      <c r="J40" s="121"/>
      <c r="K40" s="121">
        <f t="shared" si="3"/>
        <v>1</v>
      </c>
      <c r="L40" s="121"/>
      <c r="M40" s="122">
        <f t="shared" si="4"/>
        <v>0.5</v>
      </c>
      <c r="N40" s="122">
        <f t="shared" si="5"/>
        <v>0</v>
      </c>
      <c r="O40" s="122" t="str">
        <f>IF(B40="","",IF(C40=$A$1,IF(N40&gt;'Datasource 2'!$D$8,'Datasource 2'!$B$9,(IF(N40&gt;'Datasource 2'!$D$9,'Datasource 2'!$B$10,(IF(N40&gt;'Datasource 2'!$D$10,'Datasource 2'!$B$11,(IF(N40&gt;'Datasource 2'!$D$11,'Datasource 2'!$B$12,(IF(N40&gt;'Datasource 2'!$D$12,'Datasource 2'!$B$13,'Datasource 2'!$B$14))))))))),IF(N40&gt;'Datasource 2'!$F$8,'Datasource 2'!$B$9,(IF(N40&gt;'Datasource 2'!$F$9,'Datasource 2'!$B$10,(IF(N40&gt;'Datasource 2'!$F$10,'Datasource 2'!$B$11,(IF(N40&gt;'Datasource 2'!$F$11,'Datasource 2'!$B$12,(IF(N40&gt;'Datasource 2'!$F$12,'Datasource 2'!$B$13,'Datasource 2'!$B$14)))))))))))</f>
        <v/>
      </c>
      <c r="P40" s="121"/>
      <c r="Q40" s="123" t="e">
        <f>VLOOKUP(O40,'Datasource 2'!$B$8:$C$13,2,FALSE)</f>
        <v>#N/A</v>
      </c>
      <c r="R40" s="123" t="e">
        <f>VLOOKUP(P40,'Datasource 2'!$B$8:$C$13,2,FALSE)</f>
        <v>#N/A</v>
      </c>
      <c r="S40" s="123"/>
      <c r="T40" s="121" t="str">
        <f t="shared" si="6"/>
        <v/>
      </c>
      <c r="U40" s="126"/>
    </row>
    <row r="41" spans="1:21" ht="17.25" x14ac:dyDescent="0.35">
      <c r="A41" s="119"/>
      <c r="B41" s="120"/>
      <c r="C41" s="121"/>
      <c r="D41" s="121"/>
      <c r="E41" s="121">
        <f t="shared" si="0"/>
        <v>0</v>
      </c>
      <c r="F41" s="121"/>
      <c r="G41" s="121">
        <f t="shared" si="1"/>
        <v>1</v>
      </c>
      <c r="H41" s="121"/>
      <c r="I41" s="121">
        <f t="shared" si="2"/>
        <v>1</v>
      </c>
      <c r="J41" s="121"/>
      <c r="K41" s="121">
        <f t="shared" si="3"/>
        <v>1</v>
      </c>
      <c r="L41" s="121"/>
      <c r="M41" s="122">
        <f t="shared" si="4"/>
        <v>0.5</v>
      </c>
      <c r="N41" s="122">
        <f t="shared" si="5"/>
        <v>0</v>
      </c>
      <c r="O41" s="122" t="str">
        <f>IF(B41="","",IF(C41=$A$1,IF(N41&gt;'Datasource 2'!$D$8,'Datasource 2'!$B$9,(IF(N41&gt;'Datasource 2'!$D$9,'Datasource 2'!$B$10,(IF(N41&gt;'Datasource 2'!$D$10,'Datasource 2'!$B$11,(IF(N41&gt;'Datasource 2'!$D$11,'Datasource 2'!$B$12,(IF(N41&gt;'Datasource 2'!$D$12,'Datasource 2'!$B$13,'Datasource 2'!$B$14))))))))),IF(N41&gt;'Datasource 2'!$F$8,'Datasource 2'!$B$9,(IF(N41&gt;'Datasource 2'!$F$9,'Datasource 2'!$B$10,(IF(N41&gt;'Datasource 2'!$F$10,'Datasource 2'!$B$11,(IF(N41&gt;'Datasource 2'!$F$11,'Datasource 2'!$B$12,(IF(N41&gt;'Datasource 2'!$F$12,'Datasource 2'!$B$13,'Datasource 2'!$B$14)))))))))))</f>
        <v/>
      </c>
      <c r="P41" s="121"/>
      <c r="Q41" s="123" t="e">
        <f>VLOOKUP(O41,'Datasource 2'!$B$8:$C$13,2,FALSE)</f>
        <v>#N/A</v>
      </c>
      <c r="R41" s="123" t="e">
        <f>VLOOKUP(P41,'Datasource 2'!$B$8:$C$13,2,FALSE)</f>
        <v>#N/A</v>
      </c>
      <c r="S41" s="123"/>
      <c r="T41" s="121" t="str">
        <f t="shared" si="6"/>
        <v/>
      </c>
      <c r="U41" s="126"/>
    </row>
    <row r="42" spans="1:21" ht="17.25" x14ac:dyDescent="0.35">
      <c r="A42" s="119"/>
      <c r="B42" s="77"/>
      <c r="C42" s="68"/>
      <c r="D42" s="68"/>
      <c r="E42" s="68"/>
      <c r="F42" s="68"/>
      <c r="G42" s="68"/>
      <c r="H42" s="68"/>
      <c r="I42" s="68"/>
      <c r="J42" s="68"/>
      <c r="K42" s="68"/>
      <c r="L42" s="68"/>
      <c r="M42" s="68"/>
      <c r="N42" s="68"/>
      <c r="O42" s="127"/>
      <c r="P42" s="127"/>
      <c r="Q42" s="128"/>
      <c r="R42" s="128"/>
      <c r="S42" s="128"/>
      <c r="T42" s="129"/>
      <c r="U42" s="68"/>
    </row>
    <row r="43" spans="1:21" ht="17.25" x14ac:dyDescent="0.35">
      <c r="A43" s="119"/>
      <c r="B43" s="77"/>
      <c r="C43" s="68"/>
      <c r="D43" s="68"/>
      <c r="E43" s="68"/>
      <c r="F43" s="68"/>
      <c r="G43" s="68"/>
      <c r="H43" s="68"/>
      <c r="I43" s="68"/>
      <c r="J43" s="68"/>
      <c r="K43" s="68"/>
      <c r="L43" s="68"/>
      <c r="M43" s="68"/>
      <c r="N43" s="68"/>
      <c r="O43" s="127"/>
      <c r="P43" s="127"/>
      <c r="Q43" s="128"/>
      <c r="R43" s="128"/>
      <c r="S43" s="128"/>
      <c r="T43" s="129"/>
      <c r="U43" s="68"/>
    </row>
    <row r="44" spans="1:21" ht="17.25" x14ac:dyDescent="0.35">
      <c r="A44" s="119"/>
      <c r="B44" s="77"/>
      <c r="C44" s="68"/>
      <c r="D44" s="68"/>
      <c r="E44" s="68"/>
      <c r="F44" s="68"/>
      <c r="G44" s="68"/>
      <c r="H44" s="68"/>
      <c r="I44" s="68"/>
      <c r="J44" s="68"/>
      <c r="K44" s="68"/>
      <c r="L44" s="68"/>
      <c r="M44" s="68"/>
      <c r="N44" s="68"/>
      <c r="O44" s="127"/>
      <c r="P44" s="127"/>
      <c r="Q44" s="128"/>
      <c r="R44" s="128"/>
      <c r="S44" s="128"/>
      <c r="T44" s="129"/>
      <c r="U44" s="68"/>
    </row>
    <row r="45" spans="1:21" ht="17.25" x14ac:dyDescent="0.35">
      <c r="A45" s="119"/>
      <c r="B45" s="77"/>
      <c r="C45" s="68"/>
      <c r="D45" s="68"/>
      <c r="E45" s="68"/>
      <c r="F45" s="68"/>
      <c r="G45" s="68"/>
      <c r="H45" s="68"/>
      <c r="I45" s="68"/>
      <c r="J45" s="68"/>
      <c r="K45" s="68"/>
      <c r="L45" s="68"/>
      <c r="M45" s="68"/>
      <c r="N45" s="68"/>
      <c r="O45" s="127"/>
      <c r="P45" s="127"/>
      <c r="Q45" s="128"/>
      <c r="R45" s="128"/>
      <c r="S45" s="128"/>
      <c r="T45" s="129"/>
      <c r="U45" s="68"/>
    </row>
    <row r="46" spans="1:21" ht="17.25" x14ac:dyDescent="0.35">
      <c r="A46" s="119"/>
      <c r="B46" s="77"/>
      <c r="C46" s="68"/>
      <c r="D46" s="68"/>
      <c r="E46" s="68"/>
      <c r="F46" s="68"/>
      <c r="G46" s="68"/>
      <c r="H46" s="68"/>
      <c r="I46" s="68"/>
      <c r="J46" s="68"/>
      <c r="K46" s="68"/>
      <c r="L46" s="68"/>
      <c r="M46" s="68"/>
      <c r="N46" s="68"/>
      <c r="O46" s="127"/>
      <c r="P46" s="127"/>
      <c r="Q46" s="128"/>
      <c r="R46" s="128"/>
      <c r="S46" s="128"/>
      <c r="T46" s="129"/>
      <c r="U46" s="68"/>
    </row>
    <row r="47" spans="1:21" ht="17.25" x14ac:dyDescent="0.35">
      <c r="A47" s="119"/>
      <c r="B47" s="77"/>
      <c r="C47" s="68"/>
      <c r="D47" s="68"/>
      <c r="E47" s="68"/>
      <c r="F47" s="68"/>
      <c r="G47" s="68"/>
      <c r="H47" s="68"/>
      <c r="I47" s="68"/>
      <c r="J47" s="68"/>
      <c r="K47" s="68"/>
      <c r="L47" s="68"/>
      <c r="M47" s="68"/>
      <c r="N47" s="68"/>
      <c r="O47" s="127"/>
      <c r="P47" s="127"/>
      <c r="Q47" s="128"/>
      <c r="R47" s="128"/>
      <c r="S47" s="128"/>
      <c r="T47" s="129"/>
      <c r="U47" s="68"/>
    </row>
    <row r="48" spans="1:21" ht="17.25" x14ac:dyDescent="0.35">
      <c r="A48" s="119"/>
      <c r="B48" s="77"/>
      <c r="C48" s="68"/>
      <c r="D48" s="68"/>
      <c r="E48" s="68"/>
      <c r="F48" s="68"/>
      <c r="G48" s="68"/>
      <c r="H48" s="68"/>
      <c r="I48" s="68"/>
      <c r="J48" s="68"/>
      <c r="K48" s="68"/>
      <c r="L48" s="68"/>
      <c r="M48" s="68"/>
      <c r="N48" s="68"/>
      <c r="O48" s="127"/>
      <c r="P48" s="127"/>
      <c r="Q48" s="128"/>
      <c r="R48" s="128"/>
      <c r="S48" s="128"/>
      <c r="T48" s="129"/>
      <c r="U48" s="68"/>
    </row>
    <row r="49" spans="1:21" ht="17.25" x14ac:dyDescent="0.35">
      <c r="A49" s="119"/>
      <c r="B49" s="77"/>
      <c r="C49" s="68"/>
      <c r="D49" s="68"/>
      <c r="E49" s="68"/>
      <c r="F49" s="68"/>
      <c r="G49" s="68"/>
      <c r="H49" s="68"/>
      <c r="I49" s="68"/>
      <c r="J49" s="68"/>
      <c r="K49" s="68"/>
      <c r="L49" s="68"/>
      <c r="M49" s="68"/>
      <c r="N49" s="68"/>
      <c r="O49" s="127"/>
      <c r="P49" s="127"/>
      <c r="Q49" s="128"/>
      <c r="R49" s="128"/>
      <c r="S49" s="128"/>
      <c r="T49" s="129"/>
      <c r="U49" s="68"/>
    </row>
    <row r="50" spans="1:21" ht="17.25" x14ac:dyDescent="0.35">
      <c r="A50" s="119"/>
      <c r="B50" s="77"/>
      <c r="C50" s="68"/>
      <c r="D50" s="68"/>
      <c r="E50" s="68"/>
      <c r="F50" s="68"/>
      <c r="G50" s="68"/>
      <c r="H50" s="68"/>
      <c r="I50" s="68"/>
      <c r="J50" s="68"/>
      <c r="K50" s="68"/>
      <c r="L50" s="68"/>
      <c r="M50" s="68"/>
      <c r="N50" s="68"/>
      <c r="O50" s="127"/>
      <c r="P50" s="127"/>
      <c r="Q50" s="128"/>
      <c r="R50" s="128"/>
      <c r="S50" s="128"/>
      <c r="T50" s="129"/>
      <c r="U50" s="68"/>
    </row>
    <row r="51" spans="1:21" ht="17.25" x14ac:dyDescent="0.35">
      <c r="A51" s="119"/>
      <c r="B51" s="77"/>
      <c r="C51" s="68"/>
      <c r="D51" s="68"/>
      <c r="E51" s="68"/>
      <c r="F51" s="68"/>
      <c r="G51" s="68"/>
      <c r="H51" s="68"/>
      <c r="I51" s="68"/>
      <c r="J51" s="68"/>
      <c r="K51" s="68"/>
      <c r="L51" s="68"/>
      <c r="M51" s="68"/>
      <c r="N51" s="68"/>
      <c r="O51" s="127"/>
      <c r="P51" s="127"/>
      <c r="Q51" s="128"/>
      <c r="R51" s="128"/>
      <c r="S51" s="128"/>
      <c r="T51" s="129"/>
      <c r="U51" s="68"/>
    </row>
    <row r="52" spans="1:21" ht="17.25" x14ac:dyDescent="0.35">
      <c r="A52" s="119"/>
      <c r="B52" s="77"/>
      <c r="C52" s="68"/>
      <c r="D52" s="68"/>
      <c r="E52" s="68"/>
      <c r="F52" s="68"/>
      <c r="G52" s="68"/>
      <c r="H52" s="68"/>
      <c r="I52" s="68"/>
      <c r="J52" s="68"/>
      <c r="K52" s="68"/>
      <c r="L52" s="68"/>
      <c r="M52" s="68"/>
      <c r="N52" s="68"/>
      <c r="O52" s="127"/>
      <c r="P52" s="127"/>
      <c r="Q52" s="128"/>
      <c r="R52" s="128"/>
      <c r="S52" s="128"/>
      <c r="T52" s="129"/>
      <c r="U52" s="68"/>
    </row>
    <row r="53" spans="1:21" ht="17.25" x14ac:dyDescent="0.35">
      <c r="A53" s="119"/>
      <c r="B53" s="77"/>
      <c r="C53" s="68"/>
      <c r="D53" s="68"/>
      <c r="E53" s="68"/>
      <c r="F53" s="68"/>
      <c r="G53" s="68"/>
      <c r="H53" s="68"/>
      <c r="I53" s="68"/>
      <c r="J53" s="68"/>
      <c r="K53" s="68"/>
      <c r="L53" s="68"/>
      <c r="M53" s="68"/>
      <c r="N53" s="68"/>
      <c r="O53" s="127"/>
      <c r="P53" s="127"/>
      <c r="Q53" s="128"/>
      <c r="R53" s="128"/>
      <c r="S53" s="128"/>
      <c r="T53" s="129"/>
      <c r="U53" s="68"/>
    </row>
    <row r="54" spans="1:21" ht="17.25" x14ac:dyDescent="0.35">
      <c r="A54" s="119"/>
      <c r="B54" s="77"/>
      <c r="C54" s="68"/>
      <c r="D54" s="68"/>
      <c r="E54" s="68"/>
      <c r="F54" s="68"/>
      <c r="G54" s="68"/>
      <c r="H54" s="68"/>
      <c r="I54" s="68"/>
      <c r="J54" s="68"/>
      <c r="K54" s="68"/>
      <c r="L54" s="68"/>
      <c r="M54" s="68"/>
      <c r="N54" s="68"/>
      <c r="O54" s="127"/>
      <c r="P54" s="127"/>
      <c r="Q54" s="128"/>
      <c r="R54" s="128"/>
      <c r="S54" s="128"/>
      <c r="T54" s="129"/>
      <c r="U54" s="68"/>
    </row>
    <row r="55" spans="1:21" ht="17.25" x14ac:dyDescent="0.35">
      <c r="A55" s="119"/>
      <c r="B55" s="77"/>
      <c r="C55" s="68"/>
      <c r="D55" s="68"/>
      <c r="E55" s="68"/>
      <c r="F55" s="68"/>
      <c r="G55" s="68"/>
      <c r="H55" s="68"/>
      <c r="I55" s="68"/>
      <c r="J55" s="68"/>
      <c r="K55" s="68"/>
      <c r="L55" s="68"/>
      <c r="M55" s="68"/>
      <c r="N55" s="68"/>
      <c r="O55" s="127"/>
      <c r="P55" s="127"/>
      <c r="Q55" s="128"/>
      <c r="R55" s="128"/>
      <c r="S55" s="128"/>
      <c r="T55" s="129"/>
      <c r="U55" s="68"/>
    </row>
    <row r="56" spans="1:21" ht="17.25" x14ac:dyDescent="0.35">
      <c r="A56" s="119"/>
      <c r="B56" s="77"/>
      <c r="C56" s="68"/>
      <c r="D56" s="68"/>
      <c r="E56" s="68"/>
      <c r="F56" s="68"/>
      <c r="G56" s="68"/>
      <c r="H56" s="68"/>
      <c r="I56" s="68"/>
      <c r="J56" s="68"/>
      <c r="K56" s="68"/>
      <c r="L56" s="68"/>
      <c r="M56" s="68"/>
      <c r="N56" s="68"/>
      <c r="O56" s="127"/>
      <c r="P56" s="127"/>
      <c r="Q56" s="128"/>
      <c r="R56" s="128"/>
      <c r="S56" s="128"/>
      <c r="T56" s="129"/>
      <c r="U56" s="68"/>
    </row>
    <row r="57" spans="1:21" ht="17.25" x14ac:dyDescent="0.35">
      <c r="A57" s="119"/>
      <c r="B57" s="77"/>
      <c r="C57" s="68"/>
      <c r="D57" s="68"/>
      <c r="E57" s="68"/>
      <c r="F57" s="68"/>
      <c r="G57" s="68"/>
      <c r="H57" s="68"/>
      <c r="I57" s="68"/>
      <c r="J57" s="68"/>
      <c r="K57" s="68"/>
      <c r="L57" s="68"/>
      <c r="M57" s="68"/>
      <c r="N57" s="68"/>
      <c r="O57" s="127"/>
      <c r="P57" s="127"/>
      <c r="Q57" s="128"/>
      <c r="R57" s="128"/>
      <c r="S57" s="128"/>
      <c r="T57" s="129"/>
      <c r="U57" s="68"/>
    </row>
  </sheetData>
  <sheetProtection selectLockedCells="1"/>
  <mergeCells count="7">
    <mergeCell ref="B1:B2"/>
    <mergeCell ref="U1:U2"/>
    <mergeCell ref="S1:S2"/>
    <mergeCell ref="T1:T2"/>
    <mergeCell ref="C1:C2"/>
    <mergeCell ref="O1:O2"/>
    <mergeCell ref="P1:P2"/>
  </mergeCells>
  <conditionalFormatting sqref="O1:S1 O42:T1048576 P6:S23 P3:T3 O2:R2 P4:S4 O24:S41 T4:T41 P4:R41 O3:O41">
    <cfRule type="containsText" dxfId="225" priority="16" operator="containsText" text="1">
      <formula>NOT(ISERROR(SEARCH("1",O1)))</formula>
    </cfRule>
    <cfRule type="containsText" dxfId="224" priority="17" operator="containsText" text="2">
      <formula>NOT(ISERROR(SEARCH("2",O1)))</formula>
    </cfRule>
    <cfRule type="containsText" dxfId="223" priority="18" operator="containsText" text="3">
      <formula>NOT(ISERROR(SEARCH("3",O1)))</formula>
    </cfRule>
    <cfRule type="containsText" dxfId="222" priority="19" operator="containsText" text="4">
      <formula>NOT(ISERROR(SEARCH("4",O1)))</formula>
    </cfRule>
    <cfRule type="containsText" dxfId="221" priority="20" operator="containsText" text="5">
      <formula>NOT(ISERROR(SEARCH("5",O1)))</formula>
    </cfRule>
  </conditionalFormatting>
  <conditionalFormatting sqref="O3:O41">
    <cfRule type="containsText" dxfId="220" priority="11" operator="containsText" text="1">
      <formula>NOT(ISERROR(SEARCH("1",O3)))</formula>
    </cfRule>
    <cfRule type="containsText" dxfId="219" priority="12" operator="containsText" text="2">
      <formula>NOT(ISERROR(SEARCH("2",O3)))</formula>
    </cfRule>
    <cfRule type="containsText" dxfId="218" priority="13" operator="containsText" text="3">
      <formula>NOT(ISERROR(SEARCH("3",O3)))</formula>
    </cfRule>
    <cfRule type="containsText" dxfId="217" priority="14" operator="containsText" text="4">
      <formula>NOT(ISERROR(SEARCH("4",O3)))</formula>
    </cfRule>
    <cfRule type="containsText" dxfId="216" priority="15" operator="containsText" text="5">
      <formula>NOT(ISERROR(SEARCH("5",O3)))</formula>
    </cfRule>
  </conditionalFormatting>
  <conditionalFormatting sqref="P3:P41">
    <cfRule type="containsText" dxfId="215" priority="2" operator="containsText" text="4">
      <formula>NOT(ISERROR(SEARCH("4",P3)))</formula>
    </cfRule>
    <cfRule type="containsText" dxfId="214" priority="3" operator="containsText" text="3">
      <formula>NOT(ISERROR(SEARCH("3",P3)))</formula>
    </cfRule>
    <cfRule type="containsText" dxfId="213" priority="4" operator="containsText" text="2">
      <formula>NOT(ISERROR(SEARCH("2",P3)))</formula>
    </cfRule>
    <cfRule type="containsText" dxfId="212" priority="5" operator="containsText" text="1">
      <formula>NOT(ISERROR(SEARCH("1",P3)))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 operator="containsText" id="{70896B6F-02E2-4035-B3D4-0E2F69D80E74}">
            <xm:f>NOT(ISERROR(SEARCH(5,P3)))</xm:f>
            <xm:f>5</xm:f>
            <x14:dxf>
              <fill>
                <patternFill>
                  <bgColor rgb="FFFF0000"/>
                </patternFill>
              </fill>
            </x14:dxf>
          </x14:cfRule>
          <xm:sqref>P3:P41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error="Velg fra nedtrekksmeny" xr:uid="{00000000-0002-0000-0500-000002000000}">
          <x14:formula1>
            <xm:f>'Datasource 2'!$H$8:$H$9</xm:f>
          </x14:formula1>
          <xm:sqref>D3:L41</xm:sqref>
        </x14:dataValidation>
        <x14:dataValidation type="list" allowBlank="1" showInputMessage="1" showErrorMessage="1" xr:uid="{00000000-0002-0000-0500-000000000000}">
          <x14:formula1>
            <xm:f>'Datasource 2'!$A$16:$A$17</xm:f>
          </x14:formula1>
          <xm:sqref>C3:C41</xm:sqref>
        </x14:dataValidation>
        <x14:dataValidation type="list" allowBlank="1" showInputMessage="1" showErrorMessage="1" xr:uid="{00000000-0002-0000-0500-000001000000}">
          <x14:formula1>
            <xm:f>'Datasource 2'!$B$9:$B$14</xm:f>
          </x14:formula1>
          <xm:sqref>P3</xm:sqref>
        </x14:dataValidation>
        <x14:dataValidation type="list" allowBlank="1" showInputMessage="1" showErrorMessage="1" xr:uid="{AA6AAE36-B979-4558-9177-620D2121106C}">
          <x14:formula1>
            <xm:f>'Datasource 2'!$B$9:$B$13</xm:f>
          </x14:formula1>
          <xm:sqref>P4:P41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6">
    <tabColor rgb="FF00B050"/>
  </sheetPr>
  <dimension ref="A1:BB151"/>
  <sheetViews>
    <sheetView showGridLines="0" showRowColHeaders="0" zoomScale="70" zoomScaleNormal="70" workbookViewId="0">
      <selection activeCell="B3" sqref="B3"/>
    </sheetView>
  </sheetViews>
  <sheetFormatPr baseColWidth="10" defaultColWidth="11.5703125" defaultRowHeight="15" x14ac:dyDescent="0.25"/>
  <cols>
    <col min="1" max="1" width="5.140625" customWidth="1"/>
    <col min="2" max="2" width="36" customWidth="1"/>
    <col min="3" max="7" width="1.5703125" hidden="1" customWidth="1"/>
    <col min="8" max="24" width="2.5703125" hidden="1" customWidth="1"/>
    <col min="25" max="25" width="25.5703125" style="17" customWidth="1"/>
    <col min="26" max="26" width="6.5703125" hidden="1" customWidth="1"/>
    <col min="27" max="27" width="11.5703125" hidden="1" customWidth="1"/>
    <col min="28" max="28" width="2" hidden="1" customWidth="1"/>
    <col min="29" max="29" width="11.5703125" hidden="1" customWidth="1"/>
    <col min="30" max="30" width="2" hidden="1" customWidth="1"/>
    <col min="31" max="31" width="11.5703125" hidden="1" customWidth="1"/>
    <col min="32" max="32" width="2" hidden="1" customWidth="1"/>
    <col min="33" max="33" width="11.5703125" hidden="1" customWidth="1"/>
    <col min="34" max="34" width="2" hidden="1" customWidth="1"/>
    <col min="35" max="35" width="11.5703125" hidden="1" customWidth="1"/>
    <col min="36" max="36" width="2" hidden="1" customWidth="1"/>
    <col min="37" max="37" width="11.5703125" hidden="1" customWidth="1"/>
    <col min="38" max="38" width="2" hidden="1" customWidth="1"/>
    <col min="39" max="39" width="11.5703125" hidden="1" customWidth="1"/>
    <col min="40" max="40" width="2" hidden="1" customWidth="1"/>
    <col min="41" max="41" width="11.5703125" hidden="1" customWidth="1"/>
    <col min="42" max="42" width="2" hidden="1" customWidth="1"/>
    <col min="43" max="43" width="11.5703125" hidden="1" customWidth="1"/>
    <col min="44" max="44" width="2" hidden="1" customWidth="1"/>
    <col min="45" max="45" width="11.5703125" hidden="1" customWidth="1"/>
    <col min="46" max="46" width="2" hidden="1" customWidth="1"/>
    <col min="47" max="47" width="11.5703125" hidden="1" customWidth="1"/>
    <col min="48" max="48" width="2" hidden="1" customWidth="1"/>
    <col min="49" max="49" width="11.5703125" hidden="1" customWidth="1"/>
    <col min="50" max="50" width="4.5703125" hidden="1" customWidth="1"/>
    <col min="51" max="51" width="10.140625" style="17" hidden="1" customWidth="1"/>
    <col min="52" max="52" width="50.7109375" style="17" hidden="1" customWidth="1"/>
    <col min="53" max="53" width="63" style="17" hidden="1" customWidth="1"/>
    <col min="54" max="54" width="4.85546875" style="40" hidden="1" customWidth="1"/>
  </cols>
  <sheetData>
    <row r="1" spans="1:54" ht="80.45" customHeight="1" x14ac:dyDescent="0.25">
      <c r="A1" s="35" t="s">
        <v>78</v>
      </c>
      <c r="B1" s="35" t="s">
        <v>110</v>
      </c>
      <c r="C1" s="50"/>
      <c r="D1" s="50"/>
      <c r="E1" s="50"/>
      <c r="F1" s="50"/>
      <c r="G1" s="50"/>
      <c r="H1" s="50"/>
      <c r="I1" s="50"/>
      <c r="J1" s="50"/>
      <c r="K1" s="50"/>
      <c r="L1" s="50"/>
      <c r="M1" s="50"/>
      <c r="N1" s="50"/>
      <c r="O1" s="50"/>
      <c r="P1" s="50"/>
      <c r="Q1" s="50"/>
      <c r="R1" s="50"/>
      <c r="S1" s="50"/>
      <c r="T1" s="50"/>
      <c r="U1" s="50"/>
      <c r="V1" s="50"/>
      <c r="W1" s="50"/>
      <c r="X1" s="50"/>
      <c r="Y1" s="359" t="s">
        <v>111</v>
      </c>
      <c r="Z1" s="360"/>
      <c r="AA1" s="360"/>
      <c r="AB1" s="360"/>
      <c r="AC1" s="360"/>
      <c r="AD1" s="360"/>
      <c r="AE1" s="360"/>
      <c r="AF1" s="360"/>
      <c r="AG1" s="360"/>
      <c r="AH1" s="360"/>
      <c r="AI1" s="360"/>
      <c r="AJ1" s="360"/>
      <c r="AK1" s="360"/>
      <c r="AL1" s="360"/>
      <c r="AM1" s="360"/>
      <c r="AN1" s="360"/>
      <c r="AO1" s="360"/>
      <c r="AP1" s="360"/>
      <c r="AQ1" s="360"/>
      <c r="AR1" s="360"/>
      <c r="AS1" s="360"/>
      <c r="AT1" s="360"/>
      <c r="AU1" s="360"/>
      <c r="AV1" s="360"/>
      <c r="AW1" s="360"/>
      <c r="AX1" s="41"/>
      <c r="AY1" s="35" t="s">
        <v>98</v>
      </c>
      <c r="AZ1" s="36"/>
      <c r="BA1" s="35" t="s">
        <v>112</v>
      </c>
      <c r="BB1" s="35" t="s">
        <v>99</v>
      </c>
    </row>
    <row r="2" spans="1:54" x14ac:dyDescent="0.25">
      <c r="A2" s="37">
        <v>1</v>
      </c>
      <c r="B2" s="22" t="s">
        <v>113</v>
      </c>
      <c r="C2" s="22"/>
      <c r="D2" s="22"/>
      <c r="E2" s="22"/>
      <c r="F2" s="22"/>
      <c r="G2" s="22"/>
      <c r="H2" s="22"/>
      <c r="I2" s="22"/>
      <c r="J2" s="22"/>
      <c r="K2" s="22"/>
      <c r="L2" s="22"/>
      <c r="M2" s="22"/>
      <c r="N2" s="22"/>
      <c r="O2" s="22"/>
      <c r="P2" s="22"/>
      <c r="Q2" s="22"/>
      <c r="R2" s="22"/>
      <c r="S2" s="22"/>
      <c r="T2" s="22"/>
      <c r="U2" s="22"/>
      <c r="V2" s="22"/>
      <c r="W2" s="22"/>
      <c r="X2" s="22"/>
      <c r="Y2" s="39" t="s">
        <v>7</v>
      </c>
      <c r="Z2" s="22">
        <f>VLOOKUP(Y2,'Datasource 2'!$I$14:$J$18,2,FALSE)</f>
        <v>1</v>
      </c>
      <c r="AA2" s="22"/>
      <c r="AB2" s="22"/>
      <c r="AC2" s="22"/>
      <c r="AD2" s="22"/>
      <c r="AE2" s="22"/>
      <c r="AF2" s="22" t="str">
        <f>IF(AE2="","",VLOOKUP(AE2,Verdivurdering!$B$2:$K$100,15,FALSE))</f>
        <v/>
      </c>
      <c r="AG2" s="22"/>
      <c r="AH2" s="22" t="str">
        <f>IF(AG2="","",VLOOKUP(AG2,Verdivurdering!$B$2:$K$100,15,FALSE))</f>
        <v/>
      </c>
      <c r="AI2" s="22"/>
      <c r="AJ2" s="22" t="str">
        <f>IF(AI2="","",VLOOKUP(AI2,Verdivurdering!$B$2:$K$100,15,FALSE))</f>
        <v/>
      </c>
      <c r="AK2" s="22"/>
      <c r="AL2" s="22" t="str">
        <f>IF(AK2="","",VLOOKUP(AK2,Verdivurdering!$B$2:$K$100,15,FALSE))</f>
        <v/>
      </c>
      <c r="AM2" s="22"/>
      <c r="AN2" s="22" t="str">
        <f>IF(AM2="","",VLOOKUP(AM2,Verdivurdering!$B$2:$K$100,15,FALSE))</f>
        <v/>
      </c>
      <c r="AO2" s="22"/>
      <c r="AP2" s="22" t="str">
        <f>IF(AO2="","",VLOOKUP(AO2,Verdivurdering!$B$2:$K$100,15,FALSE))</f>
        <v/>
      </c>
      <c r="AQ2" s="22"/>
      <c r="AR2" s="22" t="str">
        <f>IF(AQ2="","",VLOOKUP(AQ2,Verdivurdering!$B$2:$K$100,15,FALSE))</f>
        <v/>
      </c>
      <c r="AS2" s="22"/>
      <c r="AT2" s="22" t="str">
        <f>IF(AS2="","",VLOOKUP(AS2,Verdivurdering!$B$2:$K$100,15,FALSE))</f>
        <v/>
      </c>
      <c r="AU2" s="22"/>
      <c r="AV2" s="22" t="str">
        <f>IF(AU2="","",VLOOKUP(AU2,Verdivurdering!$B$2:$K$100,15,FALSE))</f>
        <v/>
      </c>
      <c r="AW2" s="22"/>
      <c r="AX2" s="21" t="str">
        <f>IF(AW2="","",VLOOKUP(AW2,Verdivurdering!$B$2:$K$100,15,FALSE))</f>
        <v/>
      </c>
      <c r="AY2" s="19">
        <f t="shared" ref="AY2:AY4" si="0">IF(MAX(Y2:AX2)&gt;0,MAX(Y2:AX2),"")</f>
        <v>1</v>
      </c>
      <c r="AZ2" s="19" t="str">
        <f>IF(ISNUMBER(AY2),VLOOKUP(AY2,'Datasource 2'!$H$14:$I$18,2,FALSE),"")</f>
        <v>Lav</v>
      </c>
      <c r="BA2" s="39" t="s">
        <v>114</v>
      </c>
      <c r="BB2" s="27">
        <f>_xlfn.IFNA(VLOOKUP(BA2,'Datasource 2'!I$14:$J$18,2,FALSE),AY2)</f>
        <v>1</v>
      </c>
    </row>
    <row r="3" spans="1:54" x14ac:dyDescent="0.25">
      <c r="A3" s="37">
        <v>2</v>
      </c>
      <c r="B3" s="22" t="s">
        <v>115</v>
      </c>
      <c r="C3" s="22"/>
      <c r="D3" s="22"/>
      <c r="E3" s="22"/>
      <c r="F3" s="22"/>
      <c r="G3" s="22"/>
      <c r="H3" s="22"/>
      <c r="I3" s="22"/>
      <c r="J3" s="22"/>
      <c r="K3" s="22"/>
      <c r="L3" s="22"/>
      <c r="M3" s="22"/>
      <c r="N3" s="22"/>
      <c r="O3" s="22"/>
      <c r="P3" s="22"/>
      <c r="Q3" s="22"/>
      <c r="R3" s="22"/>
      <c r="S3" s="22"/>
      <c r="T3" s="22"/>
      <c r="U3" s="22"/>
      <c r="V3" s="22"/>
      <c r="W3" s="22"/>
      <c r="X3" s="22"/>
      <c r="Y3" s="39" t="s">
        <v>11</v>
      </c>
      <c r="Z3" s="22">
        <f>VLOOKUP(Y3,'Datasource 2'!$I$14:$J$18,2,FALSE)</f>
        <v>3</v>
      </c>
      <c r="AA3" s="22"/>
      <c r="AB3" s="22"/>
      <c r="AC3" s="22"/>
      <c r="AD3" s="22"/>
      <c r="AE3" s="22"/>
      <c r="AF3" s="22" t="str">
        <f>IF(AE3="","",VLOOKUP(AE3,Verdivurdering!$B$2:$K$100,15,FALSE))</f>
        <v/>
      </c>
      <c r="AG3" s="22"/>
      <c r="AH3" s="22" t="str">
        <f>IF(AG3="","",VLOOKUP(AG3,Verdivurdering!$B$2:$K$100,15,FALSE))</f>
        <v/>
      </c>
      <c r="AI3" s="22"/>
      <c r="AJ3" s="22" t="str">
        <f>IF(AI3="","",VLOOKUP(AI3,Verdivurdering!$B$2:$K$100,15,FALSE))</f>
        <v/>
      </c>
      <c r="AK3" s="22"/>
      <c r="AL3" s="22" t="str">
        <f>IF(AK3="","",VLOOKUP(AK3,Verdivurdering!$B$2:$K$100,15,FALSE))</f>
        <v/>
      </c>
      <c r="AM3" s="22"/>
      <c r="AN3" s="22" t="str">
        <f>IF(AM3="","",VLOOKUP(AM3,Verdivurdering!$B$2:$K$100,15,FALSE))</f>
        <v/>
      </c>
      <c r="AO3" s="22"/>
      <c r="AP3" s="22" t="str">
        <f>IF(AO3="","",VLOOKUP(AO3,Verdivurdering!$B$2:$K$100,15,FALSE))</f>
        <v/>
      </c>
      <c r="AQ3" s="22"/>
      <c r="AR3" s="22" t="str">
        <f>IF(AQ3="","",VLOOKUP(AQ3,Verdivurdering!$B$2:$K$100,15,FALSE))</f>
        <v/>
      </c>
      <c r="AS3" s="22"/>
      <c r="AT3" s="22" t="str">
        <f>IF(AS3="","",VLOOKUP(AS3,Verdivurdering!$B$2:$K$100,15,FALSE))</f>
        <v/>
      </c>
      <c r="AU3" s="22"/>
      <c r="AV3" s="22" t="str">
        <f>IF(AU3="","",VLOOKUP(AU3,Verdivurdering!$B$2:$K$100,15,FALSE))</f>
        <v/>
      </c>
      <c r="AW3" s="22"/>
      <c r="AX3" s="21" t="str">
        <f>IF(AW3="","",VLOOKUP(AW3,Verdivurdering!$B$2:$K$100,15,FALSE))</f>
        <v/>
      </c>
      <c r="AY3" s="19">
        <f t="shared" si="0"/>
        <v>3</v>
      </c>
      <c r="AZ3" s="19" t="str">
        <f>IF(ISNUMBER(AY3),VLOOKUP(AY3,'Datasource 2'!$H$14:$I$18,2,FALSE),"")</f>
        <v>Høy</v>
      </c>
      <c r="BA3" s="39" t="s">
        <v>116</v>
      </c>
      <c r="BB3" s="27">
        <f>_xlfn.IFNA(VLOOKUP(BA3,'Datasource 2'!I$14:$J$18,2,FALSE),AY3)</f>
        <v>3</v>
      </c>
    </row>
    <row r="4" spans="1:54" x14ac:dyDescent="0.25">
      <c r="A4" s="37">
        <v>3</v>
      </c>
      <c r="B4" s="22" t="s">
        <v>117</v>
      </c>
      <c r="C4" s="22"/>
      <c r="D4" s="22"/>
      <c r="E4" s="22"/>
      <c r="F4" s="22"/>
      <c r="G4" s="22"/>
      <c r="H4" s="22"/>
      <c r="I4" s="22"/>
      <c r="J4" s="22"/>
      <c r="K4" s="22"/>
      <c r="L4" s="22"/>
      <c r="M4" s="22"/>
      <c r="N4" s="22"/>
      <c r="O4" s="22"/>
      <c r="P4" s="22"/>
      <c r="Q4" s="22"/>
      <c r="R4" s="22"/>
      <c r="S4" s="22"/>
      <c r="T4" s="22"/>
      <c r="U4" s="22"/>
      <c r="V4" s="22"/>
      <c r="W4" s="22"/>
      <c r="X4" s="22"/>
      <c r="Y4" s="39" t="s">
        <v>11</v>
      </c>
      <c r="Z4" s="22">
        <f>VLOOKUP(Y4,'Datasource 2'!$I$14:$J$18,2,FALSE)</f>
        <v>3</v>
      </c>
      <c r="AA4" s="22"/>
      <c r="AB4" s="22"/>
      <c r="AC4" s="22"/>
      <c r="AD4" s="22"/>
      <c r="AE4" s="22"/>
      <c r="AF4" s="22" t="str">
        <f>IF(AE4="","",VLOOKUP(AE4,Verdivurdering!$B$2:$K$100,15,FALSE))</f>
        <v/>
      </c>
      <c r="AG4" s="22"/>
      <c r="AH4" s="22" t="str">
        <f>IF(AG4="","",VLOOKUP(AG4,Verdivurdering!$B$2:$K$100,15,FALSE))</f>
        <v/>
      </c>
      <c r="AI4" s="22"/>
      <c r="AJ4" s="22" t="str">
        <f>IF(AI4="","",VLOOKUP(AI4,Verdivurdering!$B$2:$K$100,15,FALSE))</f>
        <v/>
      </c>
      <c r="AK4" s="22"/>
      <c r="AL4" s="22" t="str">
        <f>IF(AK4="","",VLOOKUP(AK4,Verdivurdering!$B$2:$K$100,15,FALSE))</f>
        <v/>
      </c>
      <c r="AM4" s="22"/>
      <c r="AN4" s="22" t="str">
        <f>IF(AM4="","",VLOOKUP(AM4,Verdivurdering!$B$2:$K$100,15,FALSE))</f>
        <v/>
      </c>
      <c r="AO4" s="22"/>
      <c r="AP4" s="22" t="str">
        <f>IF(AO4="","",VLOOKUP(AO4,Verdivurdering!$B$2:$K$100,15,FALSE))</f>
        <v/>
      </c>
      <c r="AQ4" s="22"/>
      <c r="AR4" s="22" t="str">
        <f>IF(AQ4="","",VLOOKUP(AQ4,Verdivurdering!$B$2:$K$100,15,FALSE))</f>
        <v/>
      </c>
      <c r="AS4" s="22"/>
      <c r="AT4" s="22" t="str">
        <f>IF(AS4="","",VLOOKUP(AS4,Verdivurdering!$B$2:$K$100,15,FALSE))</f>
        <v/>
      </c>
      <c r="AU4" s="22"/>
      <c r="AV4" s="22" t="str">
        <f>IF(AU4="","",VLOOKUP(AU4,Verdivurdering!$B$2:$K$100,15,FALSE))</f>
        <v/>
      </c>
      <c r="AW4" s="22"/>
      <c r="AX4" s="21" t="str">
        <f>IF(AW4="","",VLOOKUP(AW4,Verdivurdering!$B$2:$K$100,15,FALSE))</f>
        <v/>
      </c>
      <c r="AY4" s="19">
        <f t="shared" si="0"/>
        <v>3</v>
      </c>
      <c r="AZ4" s="19" t="str">
        <f>IF(ISNUMBER(AY4),VLOOKUP(AY4,'Datasource 2'!$H$14:$I$18,2,FALSE),"")</f>
        <v>Høy</v>
      </c>
      <c r="BA4" s="39" t="s">
        <v>118</v>
      </c>
      <c r="BB4" s="27">
        <f>_xlfn.IFNA(VLOOKUP(BA4,'Datasource 2'!I$14:$J$18,2,FALSE),AY4)</f>
        <v>3</v>
      </c>
    </row>
    <row r="5" spans="1:54" x14ac:dyDescent="0.25">
      <c r="A5" s="37">
        <v>4</v>
      </c>
      <c r="B5" s="22"/>
      <c r="C5" s="22"/>
      <c r="D5" s="22"/>
      <c r="E5" s="22"/>
      <c r="F5" s="22"/>
      <c r="G5" s="22"/>
      <c r="H5" s="22"/>
      <c r="I5" s="22"/>
      <c r="J5" s="22"/>
      <c r="K5" s="22"/>
      <c r="L5" s="22"/>
      <c r="M5" s="22"/>
      <c r="N5" s="22"/>
      <c r="O5" s="22"/>
      <c r="P5" s="22"/>
      <c r="Q5" s="22"/>
      <c r="R5" s="22"/>
      <c r="S5" s="22"/>
      <c r="T5" s="22"/>
      <c r="U5" s="22"/>
      <c r="V5" s="22"/>
      <c r="W5" s="22"/>
      <c r="X5" s="22"/>
      <c r="Y5" s="39"/>
      <c r="Z5" s="22" t="e">
        <f>VLOOKUP(Y5,'Datasource 2'!$I$14:$J$18,2,FALSE)</f>
        <v>#N/A</v>
      </c>
      <c r="AA5" s="22"/>
      <c r="AB5" s="22"/>
      <c r="AC5" s="22"/>
      <c r="AD5" s="22"/>
      <c r="AE5" s="22"/>
      <c r="AF5" s="22" t="str">
        <f>IF(AE5="","",VLOOKUP(AE5,Verdivurdering!$B$2:$K$100,15,FALSE))</f>
        <v/>
      </c>
      <c r="AG5" s="22"/>
      <c r="AH5" s="22" t="str">
        <f>IF(AG5="","",VLOOKUP(AG5,Verdivurdering!$B$2:$K$100,15,FALSE))</f>
        <v/>
      </c>
      <c r="AI5" s="22"/>
      <c r="AJ5" s="22" t="str">
        <f>IF(AI5="","",VLOOKUP(AI5,Verdivurdering!$B$2:$K$100,15,FALSE))</f>
        <v/>
      </c>
      <c r="AK5" s="22"/>
      <c r="AL5" s="22" t="str">
        <f>IF(AK5="","",VLOOKUP(AK5,Verdivurdering!$B$2:$K$100,15,FALSE))</f>
        <v/>
      </c>
      <c r="AM5" s="22"/>
      <c r="AN5" s="22" t="str">
        <f>IF(AM5="","",VLOOKUP(AM5,Verdivurdering!$B$2:$K$100,15,FALSE))</f>
        <v/>
      </c>
      <c r="AO5" s="22"/>
      <c r="AP5" s="22" t="str">
        <f>IF(AO5="","",VLOOKUP(AO5,Verdivurdering!$B$2:$K$100,15,FALSE))</f>
        <v/>
      </c>
      <c r="AQ5" s="22"/>
      <c r="AR5" s="22" t="str">
        <f>IF(AQ5="","",VLOOKUP(AQ5,Verdivurdering!$B$2:$K$100,15,FALSE))</f>
        <v/>
      </c>
      <c r="AS5" s="22"/>
      <c r="AT5" s="22" t="str">
        <f>IF(AS5="","",VLOOKUP(AS5,Verdivurdering!$B$2:$K$100,15,FALSE))</f>
        <v/>
      </c>
      <c r="AU5" s="22"/>
      <c r="AV5" s="22" t="str">
        <f>IF(AU5="","",VLOOKUP(AU5,Verdivurdering!$B$2:$K$100,15,FALSE))</f>
        <v/>
      </c>
      <c r="AW5" s="22"/>
      <c r="AX5" s="21" t="str">
        <f>IF(AW5="","",VLOOKUP(AW5,Verdivurdering!$B$2:$K$100,15,FALSE))</f>
        <v/>
      </c>
      <c r="AY5" s="19" t="e">
        <f>IF(MAX(Y5:AX5)&gt;0,MAX(Y5:AX5),"")</f>
        <v>#N/A</v>
      </c>
      <c r="AZ5" s="19" t="str">
        <f>IF(ISNUMBER(AY5),VLOOKUP(AY5,'Datasource 2'!$H$14:$I$18,2,FALSE),"")</f>
        <v/>
      </c>
      <c r="BA5" s="39" t="s">
        <v>114</v>
      </c>
      <c r="BB5" s="27" t="e">
        <f>_xlfn.IFNA(VLOOKUP(BA5,'Datasource 2'!I$14:$J$18,2,FALSE),AY5)</f>
        <v>#N/A</v>
      </c>
    </row>
    <row r="6" spans="1:54" x14ac:dyDescent="0.25">
      <c r="A6" s="37">
        <v>5</v>
      </c>
      <c r="B6" s="22"/>
      <c r="C6" s="22"/>
      <c r="D6" s="22"/>
      <c r="E6" s="22"/>
      <c r="F6" s="22"/>
      <c r="G6" s="22"/>
      <c r="H6" s="22"/>
      <c r="I6" s="22"/>
      <c r="J6" s="22"/>
      <c r="K6" s="22"/>
      <c r="L6" s="22"/>
      <c r="M6" s="22"/>
      <c r="N6" s="22"/>
      <c r="O6" s="22"/>
      <c r="P6" s="22"/>
      <c r="Q6" s="22"/>
      <c r="R6" s="22"/>
      <c r="S6" s="22"/>
      <c r="T6" s="22"/>
      <c r="U6" s="22"/>
      <c r="V6" s="22"/>
      <c r="W6" s="22"/>
      <c r="X6" s="22"/>
      <c r="Y6" s="39"/>
      <c r="Z6" s="22" t="e">
        <f>VLOOKUP(Y6,'Datasource 2'!$I$14:$J$18,2,FALSE)</f>
        <v>#N/A</v>
      </c>
      <c r="AA6" s="22"/>
      <c r="AB6" s="22"/>
      <c r="AC6" s="22"/>
      <c r="AD6" s="22"/>
      <c r="AE6" s="22"/>
      <c r="AF6" s="22" t="str">
        <f>IF(AE6="","",VLOOKUP(AE6,Verdivurdering!$B$2:$K$100,15,FALSE))</f>
        <v/>
      </c>
      <c r="AG6" s="22"/>
      <c r="AH6" s="22" t="str">
        <f>IF(AG6="","",VLOOKUP(AG6,Verdivurdering!$B$2:$K$100,15,FALSE))</f>
        <v/>
      </c>
      <c r="AI6" s="22"/>
      <c r="AJ6" s="22" t="str">
        <f>IF(AI6="","",VLOOKUP(AI6,Verdivurdering!$B$2:$K$100,15,FALSE))</f>
        <v/>
      </c>
      <c r="AK6" s="22"/>
      <c r="AL6" s="22" t="str">
        <f>IF(AK6="","",VLOOKUP(AK6,Verdivurdering!$B$2:$K$100,15,FALSE))</f>
        <v/>
      </c>
      <c r="AM6" s="22"/>
      <c r="AN6" s="22" t="str">
        <f>IF(AM6="","",VLOOKUP(AM6,Verdivurdering!$B$2:$K$100,15,FALSE))</f>
        <v/>
      </c>
      <c r="AO6" s="22"/>
      <c r="AP6" s="22" t="str">
        <f>IF(AO6="","",VLOOKUP(AO6,Verdivurdering!$B$2:$K$100,15,FALSE))</f>
        <v/>
      </c>
      <c r="AQ6" s="22"/>
      <c r="AR6" s="22" t="str">
        <f>IF(AQ6="","",VLOOKUP(AQ6,Verdivurdering!$B$2:$K$100,15,FALSE))</f>
        <v/>
      </c>
      <c r="AS6" s="22"/>
      <c r="AT6" s="22" t="str">
        <f>IF(AS6="","",VLOOKUP(AS6,Verdivurdering!$B$2:$K$100,15,FALSE))</f>
        <v/>
      </c>
      <c r="AU6" s="22"/>
      <c r="AV6" s="22" t="str">
        <f>IF(AU6="","",VLOOKUP(AU6,Verdivurdering!$B$2:$K$100,15,FALSE))</f>
        <v/>
      </c>
      <c r="AW6" s="22"/>
      <c r="AX6" s="21" t="str">
        <f>IF(AW6="","",VLOOKUP(AW6,Verdivurdering!$B$2:$K$100,15,FALSE))</f>
        <v/>
      </c>
      <c r="AY6" s="19" t="e">
        <f>IF(MAX(Y6:AX6)&gt;0,MAX(Y6:AX6),"")</f>
        <v>#N/A</v>
      </c>
      <c r="AZ6" s="19" t="str">
        <f>IF(ISNUMBER(AY6),VLOOKUP(AY6,'Datasource 2'!$H$14:$I$18,2,FALSE),"")</f>
        <v/>
      </c>
      <c r="BA6" s="39" t="s">
        <v>114</v>
      </c>
      <c r="BB6" s="27" t="e">
        <f>_xlfn.IFNA(VLOOKUP(BA6,'Datasource 2'!I$14:$J$18,2,FALSE),AY6)</f>
        <v>#N/A</v>
      </c>
    </row>
    <row r="7" spans="1:54" x14ac:dyDescent="0.25">
      <c r="A7" s="37">
        <v>6</v>
      </c>
      <c r="B7" s="22"/>
      <c r="C7" s="22"/>
      <c r="D7" s="22"/>
      <c r="E7" s="22"/>
      <c r="F7" s="22"/>
      <c r="G7" s="22"/>
      <c r="H7" s="22"/>
      <c r="I7" s="22"/>
      <c r="J7" s="22"/>
      <c r="K7" s="22"/>
      <c r="L7" s="22"/>
      <c r="M7" s="22"/>
      <c r="N7" s="22"/>
      <c r="O7" s="22"/>
      <c r="P7" s="22"/>
      <c r="Q7" s="22"/>
      <c r="R7" s="22"/>
      <c r="S7" s="22"/>
      <c r="T7" s="22"/>
      <c r="U7" s="22"/>
      <c r="V7" s="22"/>
      <c r="W7" s="22"/>
      <c r="X7" s="22"/>
      <c r="Y7" s="39"/>
      <c r="Z7" s="22" t="e">
        <f>VLOOKUP(Y7,'Datasource 2'!$I$14:$J$18,2,FALSE)</f>
        <v>#N/A</v>
      </c>
      <c r="AA7" s="22"/>
      <c r="AB7" s="22"/>
      <c r="AC7" s="22"/>
      <c r="AD7" s="22"/>
      <c r="AE7" s="22"/>
      <c r="AF7" s="22" t="str">
        <f>IF(AE7="","",VLOOKUP(AE7,Verdivurdering!$B$2:$K$100,15,FALSE))</f>
        <v/>
      </c>
      <c r="AG7" s="22"/>
      <c r="AH7" s="22" t="str">
        <f>IF(AG7="","",VLOOKUP(AG7,Verdivurdering!$B$2:$K$100,15,FALSE))</f>
        <v/>
      </c>
      <c r="AI7" s="22"/>
      <c r="AJ7" s="22" t="str">
        <f>IF(AI7="","",VLOOKUP(AI7,Verdivurdering!$B$2:$K$100,15,FALSE))</f>
        <v/>
      </c>
      <c r="AK7" s="22"/>
      <c r="AL7" s="22" t="str">
        <f>IF(AK7="","",VLOOKUP(AK7,Verdivurdering!$B$2:$K$100,15,FALSE))</f>
        <v/>
      </c>
      <c r="AM7" s="22"/>
      <c r="AN7" s="22" t="str">
        <f>IF(AM7="","",VLOOKUP(AM7,Verdivurdering!$B$2:$K$100,15,FALSE))</f>
        <v/>
      </c>
      <c r="AO7" s="22"/>
      <c r="AP7" s="22" t="str">
        <f>IF(AO7="","",VLOOKUP(AO7,Verdivurdering!$B$2:$K$100,15,FALSE))</f>
        <v/>
      </c>
      <c r="AQ7" s="22"/>
      <c r="AR7" s="22" t="str">
        <f>IF(AQ7="","",VLOOKUP(AQ7,Verdivurdering!$B$2:$K$100,15,FALSE))</f>
        <v/>
      </c>
      <c r="AS7" s="22"/>
      <c r="AT7" s="22" t="str">
        <f>IF(AS7="","",VLOOKUP(AS7,Verdivurdering!$B$2:$K$100,15,FALSE))</f>
        <v/>
      </c>
      <c r="AU7" s="22"/>
      <c r="AV7" s="22" t="str">
        <f>IF(AU7="","",VLOOKUP(AU7,Verdivurdering!$B$2:$K$100,15,FALSE))</f>
        <v/>
      </c>
      <c r="AW7" s="22"/>
      <c r="AX7" s="21" t="str">
        <f>IF(AW7="","",VLOOKUP(AW7,Verdivurdering!$B$2:$K$100,15,FALSE))</f>
        <v/>
      </c>
      <c r="AY7" s="19" t="e">
        <f t="shared" ref="AY7:AY70" si="1">IF(MAX(Y7:AX7)&gt;0,MAX(Y7:AX7),"")</f>
        <v>#N/A</v>
      </c>
      <c r="AZ7" s="19" t="str">
        <f>IF(ISNUMBER(AY7),VLOOKUP(AY7,'Datasource 2'!$H$14:$I$18,2,FALSE),"")</f>
        <v/>
      </c>
      <c r="BA7" s="39" t="s">
        <v>114</v>
      </c>
      <c r="BB7" s="27" t="e">
        <f>_xlfn.IFNA(VLOOKUP(BA7,'Datasource 2'!I$14:$J$18,2,FALSE),AY7)</f>
        <v>#N/A</v>
      </c>
    </row>
    <row r="8" spans="1:54" x14ac:dyDescent="0.25">
      <c r="A8" s="37">
        <v>7</v>
      </c>
      <c r="B8" s="22"/>
      <c r="C8" s="22"/>
      <c r="D8" s="22"/>
      <c r="E8" s="22"/>
      <c r="F8" s="22"/>
      <c r="G8" s="22"/>
      <c r="H8" s="22"/>
      <c r="I8" s="22"/>
      <c r="J8" s="22"/>
      <c r="K8" s="22"/>
      <c r="L8" s="22"/>
      <c r="M8" s="22"/>
      <c r="N8" s="22"/>
      <c r="O8" s="22"/>
      <c r="P8" s="22"/>
      <c r="Q8" s="22"/>
      <c r="R8" s="22"/>
      <c r="S8" s="22"/>
      <c r="T8" s="22"/>
      <c r="U8" s="22"/>
      <c r="V8" s="22"/>
      <c r="W8" s="22"/>
      <c r="X8" s="22"/>
      <c r="Y8" s="39"/>
      <c r="Z8" s="22" t="e">
        <f>VLOOKUP(Y8,'Datasource 2'!$I$14:$J$18,2,FALSE)</f>
        <v>#N/A</v>
      </c>
      <c r="AA8" s="22"/>
      <c r="AB8" s="22"/>
      <c r="AC8" s="22"/>
      <c r="AD8" s="22"/>
      <c r="AE8" s="22"/>
      <c r="AF8" s="22" t="str">
        <f>IF(AE8="","",VLOOKUP(AE8,Verdivurdering!$B$2:$K$100,15,FALSE))</f>
        <v/>
      </c>
      <c r="AG8" s="22"/>
      <c r="AH8" s="22" t="str">
        <f>IF(AG8="","",VLOOKUP(AG8,Verdivurdering!$B$2:$K$100,15,FALSE))</f>
        <v/>
      </c>
      <c r="AI8" s="22"/>
      <c r="AJ8" s="22" t="str">
        <f>IF(AI8="","",VLOOKUP(AI8,Verdivurdering!$B$2:$K$100,15,FALSE))</f>
        <v/>
      </c>
      <c r="AK8" s="22"/>
      <c r="AL8" s="22" t="str">
        <f>IF(AK8="","",VLOOKUP(AK8,Verdivurdering!$B$2:$K$100,15,FALSE))</f>
        <v/>
      </c>
      <c r="AM8" s="22"/>
      <c r="AN8" s="22" t="str">
        <f>IF(AM8="","",VLOOKUP(AM8,Verdivurdering!$B$2:$K$100,15,FALSE))</f>
        <v/>
      </c>
      <c r="AO8" s="22"/>
      <c r="AP8" s="22" t="str">
        <f>IF(AO8="","",VLOOKUP(AO8,Verdivurdering!$B$2:$K$100,15,FALSE))</f>
        <v/>
      </c>
      <c r="AQ8" s="22"/>
      <c r="AR8" s="22" t="str">
        <f>IF(AQ8="","",VLOOKUP(AQ8,Verdivurdering!$B$2:$K$100,15,FALSE))</f>
        <v/>
      </c>
      <c r="AS8" s="22"/>
      <c r="AT8" s="22" t="str">
        <f>IF(AS8="","",VLOOKUP(AS8,Verdivurdering!$B$2:$K$100,15,FALSE))</f>
        <v/>
      </c>
      <c r="AU8" s="22"/>
      <c r="AV8" s="22" t="str">
        <f>IF(AU8="","",VLOOKUP(AU8,Verdivurdering!$B$2:$K$100,15,FALSE))</f>
        <v/>
      </c>
      <c r="AW8" s="22"/>
      <c r="AX8" s="21" t="str">
        <f>IF(AW8="","",VLOOKUP(AW8,Verdivurdering!$B$2:$K$100,15,FALSE))</f>
        <v/>
      </c>
      <c r="AY8" s="19" t="e">
        <f t="shared" si="1"/>
        <v>#N/A</v>
      </c>
      <c r="AZ8" s="19" t="str">
        <f>IF(ISNUMBER(AY8),VLOOKUP(AY8,'Datasource 2'!$H$14:$I$18,2,FALSE),"")</f>
        <v/>
      </c>
      <c r="BA8" s="39" t="s">
        <v>116</v>
      </c>
      <c r="BB8" s="27" t="e">
        <f>_xlfn.IFNA(VLOOKUP(BA8,'Datasource 2'!I$14:$J$18,2,FALSE),AY8)</f>
        <v>#N/A</v>
      </c>
    </row>
    <row r="9" spans="1:54" x14ac:dyDescent="0.25">
      <c r="A9" s="37">
        <v>8</v>
      </c>
      <c r="B9" s="22"/>
      <c r="C9" s="22"/>
      <c r="D9" s="22"/>
      <c r="E9" s="22"/>
      <c r="F9" s="22"/>
      <c r="G9" s="22"/>
      <c r="H9" s="22"/>
      <c r="I9" s="22"/>
      <c r="J9" s="22"/>
      <c r="K9" s="22"/>
      <c r="L9" s="22"/>
      <c r="M9" s="22"/>
      <c r="N9" s="22"/>
      <c r="O9" s="22"/>
      <c r="P9" s="22"/>
      <c r="Q9" s="22"/>
      <c r="R9" s="22"/>
      <c r="S9" s="22"/>
      <c r="T9" s="22"/>
      <c r="U9" s="22"/>
      <c r="V9" s="22"/>
      <c r="W9" s="22"/>
      <c r="X9" s="22"/>
      <c r="Y9" s="39"/>
      <c r="Z9" s="22" t="e">
        <f>VLOOKUP(Y9,'Datasource 2'!$I$14:$J$18,2,FALSE)</f>
        <v>#N/A</v>
      </c>
      <c r="AA9" s="22"/>
      <c r="AB9" s="22"/>
      <c r="AC9" s="22"/>
      <c r="AD9" s="22"/>
      <c r="AE9" s="22"/>
      <c r="AF9" s="22" t="str">
        <f>IF(AE9="","",VLOOKUP(AE9,Verdivurdering!$B$2:$K$100,15,FALSE))</f>
        <v/>
      </c>
      <c r="AG9" s="22"/>
      <c r="AH9" s="22" t="str">
        <f>IF(AG9="","",VLOOKUP(AG9,Verdivurdering!$B$2:$K$100,15,FALSE))</f>
        <v/>
      </c>
      <c r="AI9" s="22"/>
      <c r="AJ9" s="22" t="str">
        <f>IF(AI9="","",VLOOKUP(AI9,Verdivurdering!$B$2:$K$100,15,FALSE))</f>
        <v/>
      </c>
      <c r="AK9" s="22"/>
      <c r="AL9" s="22" t="str">
        <f>IF(AK9="","",VLOOKUP(AK9,Verdivurdering!$B$2:$K$100,15,FALSE))</f>
        <v/>
      </c>
      <c r="AM9" s="22"/>
      <c r="AN9" s="22" t="str">
        <f>IF(AM9="","",VLOOKUP(AM9,Verdivurdering!$B$2:$K$100,15,FALSE))</f>
        <v/>
      </c>
      <c r="AO9" s="22"/>
      <c r="AP9" s="22" t="str">
        <f>IF(AO9="","",VLOOKUP(AO9,Verdivurdering!$B$2:$K$100,15,FALSE))</f>
        <v/>
      </c>
      <c r="AQ9" s="22"/>
      <c r="AR9" s="22" t="str">
        <f>IF(AQ9="","",VLOOKUP(AQ9,Verdivurdering!$B$2:$K$100,15,FALSE))</f>
        <v/>
      </c>
      <c r="AS9" s="22"/>
      <c r="AT9" s="22" t="str">
        <f>IF(AS9="","",VLOOKUP(AS9,Verdivurdering!$B$2:$K$100,15,FALSE))</f>
        <v/>
      </c>
      <c r="AU9" s="22"/>
      <c r="AV9" s="22" t="str">
        <f>IF(AU9="","",VLOOKUP(AU9,Verdivurdering!$B$2:$K$100,15,FALSE))</f>
        <v/>
      </c>
      <c r="AW9" s="22"/>
      <c r="AX9" s="21" t="str">
        <f>IF(AW9="","",VLOOKUP(AW9,Verdivurdering!$B$2:$K$100,15,FALSE))</f>
        <v/>
      </c>
      <c r="AY9" s="19" t="e">
        <f t="shared" si="1"/>
        <v>#N/A</v>
      </c>
      <c r="AZ9" s="19" t="str">
        <f>IF(ISNUMBER(AY9),VLOOKUP(AY9,'Datasource 2'!$H$14:$I$18,2,FALSE),"")</f>
        <v/>
      </c>
      <c r="BA9" s="39" t="s">
        <v>118</v>
      </c>
      <c r="BB9" s="27" t="e">
        <f>_xlfn.IFNA(VLOOKUP(BA9,'Datasource 2'!I$14:$J$18,2,FALSE),AY9)</f>
        <v>#N/A</v>
      </c>
    </row>
    <row r="10" spans="1:54" x14ac:dyDescent="0.25">
      <c r="A10" s="37">
        <v>9</v>
      </c>
      <c r="B10" s="22"/>
      <c r="C10" s="22"/>
      <c r="D10" s="22"/>
      <c r="E10" s="22"/>
      <c r="F10" s="22"/>
      <c r="G10" s="22"/>
      <c r="H10" s="22"/>
      <c r="I10" s="22"/>
      <c r="J10" s="22"/>
      <c r="K10" s="22"/>
      <c r="L10" s="22"/>
      <c r="M10" s="22"/>
      <c r="N10" s="22"/>
      <c r="O10" s="22"/>
      <c r="P10" s="22"/>
      <c r="Q10" s="22"/>
      <c r="R10" s="22"/>
      <c r="S10" s="22"/>
      <c r="T10" s="22"/>
      <c r="U10" s="22"/>
      <c r="V10" s="22"/>
      <c r="W10" s="22"/>
      <c r="X10" s="22"/>
      <c r="Y10" s="39"/>
      <c r="Z10" s="22" t="e">
        <f>VLOOKUP(Y10,'Datasource 2'!$I$14:$J$18,2,FALSE)</f>
        <v>#N/A</v>
      </c>
      <c r="AA10" s="22"/>
      <c r="AB10" s="22" t="str">
        <f>IF(AA10="","",VLOOKUP(AA10,Verdivurdering!$B$2:$K$100,15,FALSE))</f>
        <v/>
      </c>
      <c r="AC10" s="22"/>
      <c r="AD10" s="22" t="str">
        <f>IF(AC10="","",VLOOKUP(AC10,Verdivurdering!$B$2:$K$100,15,FALSE))</f>
        <v/>
      </c>
      <c r="AE10" s="22"/>
      <c r="AF10" s="22" t="str">
        <f>IF(AE10="","",VLOOKUP(AE10,Verdivurdering!$B$2:$K$100,15,FALSE))</f>
        <v/>
      </c>
      <c r="AG10" s="22"/>
      <c r="AH10" s="22" t="str">
        <f>IF(AG10="","",VLOOKUP(AG10,Verdivurdering!$B$2:$K$100,15,FALSE))</f>
        <v/>
      </c>
      <c r="AI10" s="22"/>
      <c r="AJ10" s="22" t="str">
        <f>IF(AI10="","",VLOOKUP(AI10,Verdivurdering!$B$2:$K$100,15,FALSE))</f>
        <v/>
      </c>
      <c r="AK10" s="22"/>
      <c r="AL10" s="22" t="str">
        <f>IF(AK10="","",VLOOKUP(AK10,Verdivurdering!$B$2:$K$100,15,FALSE))</f>
        <v/>
      </c>
      <c r="AM10" s="22"/>
      <c r="AN10" s="22" t="str">
        <f>IF(AM10="","",VLOOKUP(AM10,Verdivurdering!$B$2:$K$100,15,FALSE))</f>
        <v/>
      </c>
      <c r="AO10" s="22"/>
      <c r="AP10" s="22" t="str">
        <f>IF(AO10="","",VLOOKUP(AO10,Verdivurdering!$B$2:$K$100,15,FALSE))</f>
        <v/>
      </c>
      <c r="AQ10" s="22"/>
      <c r="AR10" s="22" t="str">
        <f>IF(AQ10="","",VLOOKUP(AQ10,Verdivurdering!$B$2:$K$100,15,FALSE))</f>
        <v/>
      </c>
      <c r="AS10" s="22"/>
      <c r="AT10" s="22" t="str">
        <f>IF(AS10="","",VLOOKUP(AS10,Verdivurdering!$B$2:$K$100,15,FALSE))</f>
        <v/>
      </c>
      <c r="AU10" s="22"/>
      <c r="AV10" s="22" t="str">
        <f>IF(AU10="","",VLOOKUP(AU10,Verdivurdering!$B$2:$K$100,15,FALSE))</f>
        <v/>
      </c>
      <c r="AW10" s="22"/>
      <c r="AX10" s="21" t="str">
        <f>IF(AW10="","",VLOOKUP(AW10,Verdivurdering!$B$2:$K$100,15,FALSE))</f>
        <v/>
      </c>
      <c r="AY10" s="19" t="e">
        <f t="shared" si="1"/>
        <v>#N/A</v>
      </c>
      <c r="AZ10" s="19" t="str">
        <f>IF(ISNUMBER(AY10),VLOOKUP(AY10,'Datasource 2'!$H$14:$I$18,2,FALSE),"")</f>
        <v/>
      </c>
      <c r="BA10" s="39"/>
      <c r="BB10" s="27" t="e">
        <f>_xlfn.IFNA(VLOOKUP(BA10,'Datasource 2'!I$14:$J$18,2,FALSE),AY10)</f>
        <v>#N/A</v>
      </c>
    </row>
    <row r="11" spans="1:54" x14ac:dyDescent="0.25">
      <c r="A11" s="37">
        <v>10</v>
      </c>
      <c r="B11" s="22"/>
      <c r="C11" s="22"/>
      <c r="D11" s="22"/>
      <c r="E11" s="22"/>
      <c r="F11" s="22"/>
      <c r="G11" s="22"/>
      <c r="H11" s="22"/>
      <c r="I11" s="22"/>
      <c r="J11" s="22"/>
      <c r="K11" s="22"/>
      <c r="L11" s="22"/>
      <c r="M11" s="22"/>
      <c r="N11" s="22"/>
      <c r="O11" s="22"/>
      <c r="P11" s="22"/>
      <c r="Q11" s="22"/>
      <c r="R11" s="22"/>
      <c r="S11" s="22"/>
      <c r="T11" s="22"/>
      <c r="U11" s="22"/>
      <c r="V11" s="22"/>
      <c r="W11" s="22"/>
      <c r="X11" s="22"/>
      <c r="Y11" s="39"/>
      <c r="Z11" s="22" t="e">
        <f>VLOOKUP(Y11,'Datasource 2'!$I$14:$J$18,2,FALSE)</f>
        <v>#N/A</v>
      </c>
      <c r="AA11" s="22"/>
      <c r="AB11" s="22" t="str">
        <f>IF(AA11="","",VLOOKUP(AA11,Verdivurdering!$B$2:$K$100,15,FALSE))</f>
        <v/>
      </c>
      <c r="AC11" s="22"/>
      <c r="AD11" s="22" t="str">
        <f>IF(AC11="","",VLOOKUP(AC11,Verdivurdering!$B$2:$K$100,15,FALSE))</f>
        <v/>
      </c>
      <c r="AE11" s="22"/>
      <c r="AF11" s="22" t="str">
        <f>IF(AE11="","",VLOOKUP(AE11,Verdivurdering!$B$2:$K$100,15,FALSE))</f>
        <v/>
      </c>
      <c r="AG11" s="22"/>
      <c r="AH11" s="22" t="str">
        <f>IF(AG11="","",VLOOKUP(AG11,Verdivurdering!$B$2:$K$100,15,FALSE))</f>
        <v/>
      </c>
      <c r="AI11" s="22"/>
      <c r="AJ11" s="22" t="str">
        <f>IF(AI11="","",VLOOKUP(AI11,Verdivurdering!$B$2:$K$100,15,FALSE))</f>
        <v/>
      </c>
      <c r="AK11" s="22"/>
      <c r="AL11" s="22" t="str">
        <f>IF(AK11="","",VLOOKUP(AK11,Verdivurdering!$B$2:$K$100,15,FALSE))</f>
        <v/>
      </c>
      <c r="AM11" s="22"/>
      <c r="AN11" s="22" t="str">
        <f>IF(AM11="","",VLOOKUP(AM11,Verdivurdering!$B$2:$K$100,15,FALSE))</f>
        <v/>
      </c>
      <c r="AO11" s="22"/>
      <c r="AP11" s="22" t="str">
        <f>IF(AO11="","",VLOOKUP(AO11,Verdivurdering!$B$2:$K$100,15,FALSE))</f>
        <v/>
      </c>
      <c r="AQ11" s="22"/>
      <c r="AR11" s="22" t="str">
        <f>IF(AQ11="","",VLOOKUP(AQ11,Verdivurdering!$B$2:$K$100,15,FALSE))</f>
        <v/>
      </c>
      <c r="AS11" s="22"/>
      <c r="AT11" s="22" t="str">
        <f>IF(AS11="","",VLOOKUP(AS11,Verdivurdering!$B$2:$K$100,15,FALSE))</f>
        <v/>
      </c>
      <c r="AU11" s="22"/>
      <c r="AV11" s="22" t="str">
        <f>IF(AU11="","",VLOOKUP(AU11,Verdivurdering!$B$2:$K$100,15,FALSE))</f>
        <v/>
      </c>
      <c r="AW11" s="22"/>
      <c r="AX11" s="21" t="str">
        <f>IF(AW11="","",VLOOKUP(AW11,Verdivurdering!$B$2:$K$100,15,FALSE))</f>
        <v/>
      </c>
      <c r="AY11" s="19" t="e">
        <f t="shared" si="1"/>
        <v>#N/A</v>
      </c>
      <c r="AZ11" s="19" t="str">
        <f>IF(ISNUMBER(AY11),VLOOKUP(AY11,'Datasource 2'!$H$14:$I$18,2,FALSE),"")</f>
        <v/>
      </c>
      <c r="BA11" s="39"/>
      <c r="BB11" s="27" t="e">
        <f>_xlfn.IFNA(VLOOKUP(BA11,'Datasource 2'!I$14:$J$18,2,FALSE),AY11)</f>
        <v>#N/A</v>
      </c>
    </row>
    <row r="12" spans="1:54" x14ac:dyDescent="0.25">
      <c r="A12" s="37">
        <v>11</v>
      </c>
      <c r="B12" s="22"/>
      <c r="C12" s="22"/>
      <c r="D12" s="22"/>
      <c r="E12" s="22"/>
      <c r="F12" s="22"/>
      <c r="G12" s="22"/>
      <c r="H12" s="22"/>
      <c r="I12" s="22"/>
      <c r="J12" s="22"/>
      <c r="K12" s="22"/>
      <c r="L12" s="22"/>
      <c r="M12" s="22"/>
      <c r="N12" s="22"/>
      <c r="O12" s="22"/>
      <c r="P12" s="22"/>
      <c r="Q12" s="22"/>
      <c r="R12" s="22"/>
      <c r="S12" s="22"/>
      <c r="T12" s="22"/>
      <c r="U12" s="22"/>
      <c r="V12" s="22"/>
      <c r="W12" s="22"/>
      <c r="X12" s="22"/>
      <c r="Y12" s="39"/>
      <c r="Z12" s="22" t="e">
        <f>VLOOKUP(Y12,'Datasource 2'!$I$14:$J$18,2,FALSE)</f>
        <v>#N/A</v>
      </c>
      <c r="AA12" s="22"/>
      <c r="AB12" s="22" t="str">
        <f>IF(AA12="","",VLOOKUP(AA12,Verdivurdering!$B$2:$K$100,15,FALSE))</f>
        <v/>
      </c>
      <c r="AC12" s="22"/>
      <c r="AD12" s="22" t="str">
        <f>IF(AC12="","",VLOOKUP(AC12,Verdivurdering!$B$2:$K$100,15,FALSE))</f>
        <v/>
      </c>
      <c r="AE12" s="22"/>
      <c r="AF12" s="22" t="str">
        <f>IF(AE12="","",VLOOKUP(AE12,Verdivurdering!$B$2:$K$100,15,FALSE))</f>
        <v/>
      </c>
      <c r="AG12" s="22"/>
      <c r="AH12" s="22" t="str">
        <f>IF(AG12="","",VLOOKUP(AG12,Verdivurdering!$B$2:$K$100,15,FALSE))</f>
        <v/>
      </c>
      <c r="AI12" s="22"/>
      <c r="AJ12" s="22" t="str">
        <f>IF(AI12="","",VLOOKUP(AI12,Verdivurdering!$B$2:$K$100,15,FALSE))</f>
        <v/>
      </c>
      <c r="AK12" s="22"/>
      <c r="AL12" s="22" t="str">
        <f>IF(AK12="","",VLOOKUP(AK12,Verdivurdering!$B$2:$K$100,15,FALSE))</f>
        <v/>
      </c>
      <c r="AM12" s="22"/>
      <c r="AN12" s="22" t="str">
        <f>IF(AM12="","",VLOOKUP(AM12,Verdivurdering!$B$2:$K$100,15,FALSE))</f>
        <v/>
      </c>
      <c r="AO12" s="22"/>
      <c r="AP12" s="22" t="str">
        <f>IF(AO12="","",VLOOKUP(AO12,Verdivurdering!$B$2:$K$100,15,FALSE))</f>
        <v/>
      </c>
      <c r="AQ12" s="22"/>
      <c r="AR12" s="22" t="str">
        <f>IF(AQ12="","",VLOOKUP(AQ12,Verdivurdering!$B$2:$K$100,15,FALSE))</f>
        <v/>
      </c>
      <c r="AS12" s="22"/>
      <c r="AT12" s="22" t="str">
        <f>IF(AS12="","",VLOOKUP(AS12,Verdivurdering!$B$2:$K$100,15,FALSE))</f>
        <v/>
      </c>
      <c r="AU12" s="22"/>
      <c r="AV12" s="22" t="str">
        <f>IF(AU12="","",VLOOKUP(AU12,Verdivurdering!$B$2:$K$100,15,FALSE))</f>
        <v/>
      </c>
      <c r="AW12" s="22"/>
      <c r="AX12" s="21" t="str">
        <f>IF(AW12="","",VLOOKUP(AW12,Verdivurdering!$B$2:$K$100,15,FALSE))</f>
        <v/>
      </c>
      <c r="AY12" s="19" t="e">
        <f t="shared" si="1"/>
        <v>#N/A</v>
      </c>
      <c r="AZ12" s="19" t="str">
        <f>IF(ISNUMBER(AY12),VLOOKUP(AY12,'Datasource 2'!$H$14:$I$18,2,FALSE),"")</f>
        <v/>
      </c>
      <c r="BA12" s="39"/>
      <c r="BB12" s="27" t="e">
        <f>_xlfn.IFNA(VLOOKUP(BA12,'Datasource 2'!I$14:$J$18,2,FALSE),AY12)</f>
        <v>#N/A</v>
      </c>
    </row>
    <row r="13" spans="1:54" x14ac:dyDescent="0.25">
      <c r="A13" s="37">
        <v>12</v>
      </c>
      <c r="B13" s="22"/>
      <c r="C13" s="22"/>
      <c r="D13" s="22"/>
      <c r="E13" s="22"/>
      <c r="F13" s="22"/>
      <c r="G13" s="22"/>
      <c r="H13" s="22"/>
      <c r="I13" s="22"/>
      <c r="J13" s="22"/>
      <c r="K13" s="22"/>
      <c r="L13" s="22"/>
      <c r="M13" s="22"/>
      <c r="N13" s="22"/>
      <c r="O13" s="22"/>
      <c r="P13" s="22"/>
      <c r="Q13" s="22"/>
      <c r="R13" s="22"/>
      <c r="S13" s="22"/>
      <c r="T13" s="22"/>
      <c r="U13" s="22"/>
      <c r="V13" s="22"/>
      <c r="W13" s="22"/>
      <c r="X13" s="22"/>
      <c r="Y13" s="39"/>
      <c r="Z13" s="22" t="e">
        <f>VLOOKUP(Y13,'Datasource 2'!$I$14:$J$18,2,FALSE)</f>
        <v>#N/A</v>
      </c>
      <c r="AA13" s="22"/>
      <c r="AB13" s="22" t="str">
        <f>IF(AA13="","",VLOOKUP(AA13,Verdivurdering!$B$2:$K$100,15,FALSE))</f>
        <v/>
      </c>
      <c r="AC13" s="22"/>
      <c r="AD13" s="22" t="str">
        <f>IF(AC13="","",VLOOKUP(AC13,Verdivurdering!$B$2:$K$100,15,FALSE))</f>
        <v/>
      </c>
      <c r="AE13" s="22"/>
      <c r="AF13" s="22" t="str">
        <f>IF(AE13="","",VLOOKUP(AE13,Verdivurdering!$B$2:$K$100,15,FALSE))</f>
        <v/>
      </c>
      <c r="AG13" s="22"/>
      <c r="AH13" s="22" t="str">
        <f>IF(AG13="","",VLOOKUP(AG13,Verdivurdering!$B$2:$K$100,15,FALSE))</f>
        <v/>
      </c>
      <c r="AI13" s="22"/>
      <c r="AJ13" s="22" t="str">
        <f>IF(AI13="","",VLOOKUP(AI13,Verdivurdering!$B$2:$K$100,15,FALSE))</f>
        <v/>
      </c>
      <c r="AK13" s="22"/>
      <c r="AL13" s="22" t="str">
        <f>IF(AK13="","",VLOOKUP(AK13,Verdivurdering!$B$2:$K$100,15,FALSE))</f>
        <v/>
      </c>
      <c r="AM13" s="22"/>
      <c r="AN13" s="22" t="str">
        <f>IF(AM13="","",VLOOKUP(AM13,Verdivurdering!$B$2:$K$100,15,FALSE))</f>
        <v/>
      </c>
      <c r="AO13" s="22"/>
      <c r="AP13" s="22" t="str">
        <f>IF(AO13="","",VLOOKUP(AO13,Verdivurdering!$B$2:$K$100,15,FALSE))</f>
        <v/>
      </c>
      <c r="AQ13" s="22"/>
      <c r="AR13" s="22" t="str">
        <f>IF(AQ13="","",VLOOKUP(AQ13,Verdivurdering!$B$2:$K$100,15,FALSE))</f>
        <v/>
      </c>
      <c r="AS13" s="22"/>
      <c r="AT13" s="22" t="str">
        <f>IF(AS13="","",VLOOKUP(AS13,Verdivurdering!$B$2:$K$100,15,FALSE))</f>
        <v/>
      </c>
      <c r="AU13" s="22"/>
      <c r="AV13" s="22" t="str">
        <f>IF(AU13="","",VLOOKUP(AU13,Verdivurdering!$B$2:$K$100,15,FALSE))</f>
        <v/>
      </c>
      <c r="AW13" s="22"/>
      <c r="AX13" s="21" t="str">
        <f>IF(AW13="","",VLOOKUP(AW13,Verdivurdering!$B$2:$K$100,15,FALSE))</f>
        <v/>
      </c>
      <c r="AY13" s="19" t="e">
        <f t="shared" si="1"/>
        <v>#N/A</v>
      </c>
      <c r="AZ13" s="19" t="str">
        <f>IF(ISNUMBER(AY13),VLOOKUP(AY13,'Datasource 2'!$H$14:$I$18,2,FALSE),"")</f>
        <v/>
      </c>
      <c r="BA13" s="39"/>
      <c r="BB13" s="27" t="e">
        <f>_xlfn.IFNA(VLOOKUP(BA13,'Datasource 2'!I$14:$J$18,2,FALSE),AY13)</f>
        <v>#N/A</v>
      </c>
    </row>
    <row r="14" spans="1:54" x14ac:dyDescent="0.25">
      <c r="A14" s="37">
        <v>13</v>
      </c>
      <c r="B14" s="22"/>
      <c r="C14" s="22"/>
      <c r="D14" s="22"/>
      <c r="E14" s="22"/>
      <c r="F14" s="22"/>
      <c r="G14" s="22"/>
      <c r="H14" s="22"/>
      <c r="I14" s="22"/>
      <c r="J14" s="22"/>
      <c r="K14" s="22"/>
      <c r="L14" s="22"/>
      <c r="M14" s="22"/>
      <c r="N14" s="22"/>
      <c r="O14" s="22"/>
      <c r="P14" s="22"/>
      <c r="Q14" s="22"/>
      <c r="R14" s="22"/>
      <c r="S14" s="22"/>
      <c r="T14" s="22"/>
      <c r="U14" s="22"/>
      <c r="V14" s="22"/>
      <c r="W14" s="22"/>
      <c r="X14" s="22"/>
      <c r="Y14" s="39"/>
      <c r="Z14" s="22" t="e">
        <f>VLOOKUP(Y14,'Datasource 2'!$I$14:$J$18,2,FALSE)</f>
        <v>#N/A</v>
      </c>
      <c r="AA14" s="22"/>
      <c r="AB14" s="22" t="str">
        <f>IF(AA14="","",VLOOKUP(AA14,Verdivurdering!$B$2:$K$100,15,FALSE))</f>
        <v/>
      </c>
      <c r="AC14" s="22"/>
      <c r="AD14" s="22" t="str">
        <f>IF(AC14="","",VLOOKUP(AC14,Verdivurdering!$B$2:$K$100,15,FALSE))</f>
        <v/>
      </c>
      <c r="AE14" s="22"/>
      <c r="AF14" s="22" t="str">
        <f>IF(AE14="","",VLOOKUP(AE14,Verdivurdering!$B$2:$K$100,15,FALSE))</f>
        <v/>
      </c>
      <c r="AG14" s="22"/>
      <c r="AH14" s="22" t="str">
        <f>IF(AG14="","",VLOOKUP(AG14,Verdivurdering!$B$2:$K$100,15,FALSE))</f>
        <v/>
      </c>
      <c r="AI14" s="22"/>
      <c r="AJ14" s="22" t="str">
        <f>IF(AI14="","",VLOOKUP(AI14,Verdivurdering!$B$2:$K$100,15,FALSE))</f>
        <v/>
      </c>
      <c r="AK14" s="22"/>
      <c r="AL14" s="22" t="str">
        <f>IF(AK14="","",VLOOKUP(AK14,Verdivurdering!$B$2:$K$100,15,FALSE))</f>
        <v/>
      </c>
      <c r="AM14" s="22"/>
      <c r="AN14" s="22" t="str">
        <f>IF(AM14="","",VLOOKUP(AM14,Verdivurdering!$B$2:$K$100,15,FALSE))</f>
        <v/>
      </c>
      <c r="AO14" s="22"/>
      <c r="AP14" s="22" t="str">
        <f>IF(AO14="","",VLOOKUP(AO14,Verdivurdering!$B$2:$K$100,15,FALSE))</f>
        <v/>
      </c>
      <c r="AQ14" s="22"/>
      <c r="AR14" s="22" t="str">
        <f>IF(AQ14="","",VLOOKUP(AQ14,Verdivurdering!$B$2:$K$100,15,FALSE))</f>
        <v/>
      </c>
      <c r="AS14" s="22"/>
      <c r="AT14" s="22" t="str">
        <f>IF(AS14="","",VLOOKUP(AS14,Verdivurdering!$B$2:$K$100,15,FALSE))</f>
        <v/>
      </c>
      <c r="AU14" s="22"/>
      <c r="AV14" s="22" t="str">
        <f>IF(AU14="","",VLOOKUP(AU14,Verdivurdering!$B$2:$K$100,15,FALSE))</f>
        <v/>
      </c>
      <c r="AW14" s="22"/>
      <c r="AX14" s="21" t="str">
        <f>IF(AW14="","",VLOOKUP(AW14,Verdivurdering!$B$2:$K$100,15,FALSE))</f>
        <v/>
      </c>
      <c r="AY14" s="19" t="e">
        <f t="shared" si="1"/>
        <v>#N/A</v>
      </c>
      <c r="AZ14" s="19" t="str">
        <f>IF(ISNUMBER(AY14),VLOOKUP(AY14,'Datasource 2'!$H$14:$I$18,2,FALSE),"")</f>
        <v/>
      </c>
      <c r="BA14" s="39"/>
      <c r="BB14" s="27" t="e">
        <f>_xlfn.IFNA(VLOOKUP(BA14,'Datasource 2'!I$14:$J$18,2,FALSE),AY14)</f>
        <v>#N/A</v>
      </c>
    </row>
    <row r="15" spans="1:54" x14ac:dyDescent="0.25">
      <c r="A15" s="37">
        <v>14</v>
      </c>
      <c r="B15" s="22"/>
      <c r="C15" s="22"/>
      <c r="D15" s="22"/>
      <c r="E15" s="22"/>
      <c r="F15" s="22"/>
      <c r="G15" s="22"/>
      <c r="H15" s="22"/>
      <c r="I15" s="22"/>
      <c r="J15" s="22"/>
      <c r="K15" s="22"/>
      <c r="L15" s="22"/>
      <c r="M15" s="22"/>
      <c r="N15" s="22"/>
      <c r="O15" s="22"/>
      <c r="P15" s="22"/>
      <c r="Q15" s="22"/>
      <c r="R15" s="22"/>
      <c r="S15" s="22"/>
      <c r="T15" s="22"/>
      <c r="U15" s="22"/>
      <c r="V15" s="22"/>
      <c r="W15" s="22"/>
      <c r="X15" s="22"/>
      <c r="Y15" s="39"/>
      <c r="Z15" s="22" t="e">
        <f>VLOOKUP(Y15,'Datasource 2'!$I$14:$J$18,2,FALSE)</f>
        <v>#N/A</v>
      </c>
      <c r="AA15" s="22"/>
      <c r="AB15" s="22" t="str">
        <f>IF(AA15="","",VLOOKUP(AA15,Verdivurdering!$B$2:$K$100,15,FALSE))</f>
        <v/>
      </c>
      <c r="AC15" s="22"/>
      <c r="AD15" s="22" t="str">
        <f>IF(AC15="","",VLOOKUP(AC15,Verdivurdering!$B$2:$K$100,15,FALSE))</f>
        <v/>
      </c>
      <c r="AE15" s="22"/>
      <c r="AF15" s="22" t="str">
        <f>IF(AE15="","",VLOOKUP(AE15,Verdivurdering!$B$2:$K$100,15,FALSE))</f>
        <v/>
      </c>
      <c r="AG15" s="22"/>
      <c r="AH15" s="22" t="str">
        <f>IF(AG15="","",VLOOKUP(AG15,Verdivurdering!$B$2:$K$100,15,FALSE))</f>
        <v/>
      </c>
      <c r="AI15" s="22"/>
      <c r="AJ15" s="22" t="str">
        <f>IF(AI15="","",VLOOKUP(AI15,Verdivurdering!$B$2:$K$100,15,FALSE))</f>
        <v/>
      </c>
      <c r="AK15" s="22"/>
      <c r="AL15" s="22" t="str">
        <f>IF(AK15="","",VLOOKUP(AK15,Verdivurdering!$B$2:$K$100,15,FALSE))</f>
        <v/>
      </c>
      <c r="AM15" s="22"/>
      <c r="AN15" s="22" t="str">
        <f>IF(AM15="","",VLOOKUP(AM15,Verdivurdering!$B$2:$K$100,15,FALSE))</f>
        <v/>
      </c>
      <c r="AO15" s="22"/>
      <c r="AP15" s="22" t="str">
        <f>IF(AO15="","",VLOOKUP(AO15,Verdivurdering!$B$2:$K$100,15,FALSE))</f>
        <v/>
      </c>
      <c r="AQ15" s="22"/>
      <c r="AR15" s="22" t="str">
        <f>IF(AQ15="","",VLOOKUP(AQ15,Verdivurdering!$B$2:$K$100,15,FALSE))</f>
        <v/>
      </c>
      <c r="AS15" s="22"/>
      <c r="AT15" s="22" t="str">
        <f>IF(AS15="","",VLOOKUP(AS15,Verdivurdering!$B$2:$K$100,15,FALSE))</f>
        <v/>
      </c>
      <c r="AU15" s="22"/>
      <c r="AV15" s="22" t="str">
        <f>IF(AU15="","",VLOOKUP(AU15,Verdivurdering!$B$2:$K$100,15,FALSE))</f>
        <v/>
      </c>
      <c r="AW15" s="22"/>
      <c r="AX15" s="21" t="str">
        <f>IF(AW15="","",VLOOKUP(AW15,Verdivurdering!$B$2:$K$100,15,FALSE))</f>
        <v/>
      </c>
      <c r="AY15" s="19" t="e">
        <f t="shared" si="1"/>
        <v>#N/A</v>
      </c>
      <c r="AZ15" s="19" t="str">
        <f>IF(ISNUMBER(AY15),VLOOKUP(AY15,'Datasource 2'!$H$14:$I$18,2,FALSE),"")</f>
        <v/>
      </c>
      <c r="BA15" s="39"/>
      <c r="BB15" s="27" t="e">
        <f>_xlfn.IFNA(VLOOKUP(BA15,'Datasource 2'!I$14:$J$18,2,FALSE),AY15)</f>
        <v>#N/A</v>
      </c>
    </row>
    <row r="16" spans="1:54" x14ac:dyDescent="0.25">
      <c r="A16" s="37">
        <v>15</v>
      </c>
      <c r="B16" s="22"/>
      <c r="C16" s="22"/>
      <c r="D16" s="22"/>
      <c r="E16" s="22"/>
      <c r="F16" s="22"/>
      <c r="G16" s="22"/>
      <c r="H16" s="22"/>
      <c r="I16" s="22"/>
      <c r="J16" s="22"/>
      <c r="K16" s="22"/>
      <c r="L16" s="22"/>
      <c r="M16" s="22"/>
      <c r="N16" s="22"/>
      <c r="O16" s="22"/>
      <c r="P16" s="22"/>
      <c r="Q16" s="22"/>
      <c r="R16" s="22"/>
      <c r="S16" s="22"/>
      <c r="T16" s="22"/>
      <c r="U16" s="22"/>
      <c r="V16" s="22"/>
      <c r="W16" s="22"/>
      <c r="X16" s="22"/>
      <c r="Y16" s="39"/>
      <c r="Z16" s="22" t="e">
        <f>VLOOKUP(Y16,'Datasource 2'!$I$14:$J$18,2,FALSE)</f>
        <v>#N/A</v>
      </c>
      <c r="AA16" s="22"/>
      <c r="AB16" s="22" t="str">
        <f>IF(AA16="","",VLOOKUP(AA16,Verdivurdering!$B$2:$K$100,15,FALSE))</f>
        <v/>
      </c>
      <c r="AC16" s="22"/>
      <c r="AD16" s="22" t="str">
        <f>IF(AC16="","",VLOOKUP(AC16,Verdivurdering!$B$2:$K$100,15,FALSE))</f>
        <v/>
      </c>
      <c r="AE16" s="22"/>
      <c r="AF16" s="22" t="str">
        <f>IF(AE16="","",VLOOKUP(AE16,Verdivurdering!$B$2:$K$100,15,FALSE))</f>
        <v/>
      </c>
      <c r="AG16" s="22"/>
      <c r="AH16" s="22" t="str">
        <f>IF(AG16="","",VLOOKUP(AG16,Verdivurdering!$B$2:$K$100,15,FALSE))</f>
        <v/>
      </c>
      <c r="AI16" s="22"/>
      <c r="AJ16" s="22" t="str">
        <f>IF(AI16="","",VLOOKUP(AI16,Verdivurdering!$B$2:$K$100,15,FALSE))</f>
        <v/>
      </c>
      <c r="AK16" s="22"/>
      <c r="AL16" s="22" t="str">
        <f>IF(AK16="","",VLOOKUP(AK16,Verdivurdering!$B$2:$K$100,15,FALSE))</f>
        <v/>
      </c>
      <c r="AM16" s="22"/>
      <c r="AN16" s="22" t="str">
        <f>IF(AM16="","",VLOOKUP(AM16,Verdivurdering!$B$2:$K$100,15,FALSE))</f>
        <v/>
      </c>
      <c r="AO16" s="22"/>
      <c r="AP16" s="22" t="str">
        <f>IF(AO16="","",VLOOKUP(AO16,Verdivurdering!$B$2:$K$100,15,FALSE))</f>
        <v/>
      </c>
      <c r="AQ16" s="22"/>
      <c r="AR16" s="22" t="str">
        <f>IF(AQ16="","",VLOOKUP(AQ16,Verdivurdering!$B$2:$K$100,15,FALSE))</f>
        <v/>
      </c>
      <c r="AS16" s="22"/>
      <c r="AT16" s="22" t="str">
        <f>IF(AS16="","",VLOOKUP(AS16,Verdivurdering!$B$2:$K$100,15,FALSE))</f>
        <v/>
      </c>
      <c r="AU16" s="22"/>
      <c r="AV16" s="22" t="str">
        <f>IF(AU16="","",VLOOKUP(AU16,Verdivurdering!$B$2:$K$100,15,FALSE))</f>
        <v/>
      </c>
      <c r="AW16" s="22"/>
      <c r="AX16" s="21" t="str">
        <f>IF(AW16="","",VLOOKUP(AW16,Verdivurdering!$B$2:$K$100,15,FALSE))</f>
        <v/>
      </c>
      <c r="AY16" s="19" t="e">
        <f t="shared" si="1"/>
        <v>#N/A</v>
      </c>
      <c r="AZ16" s="19" t="str">
        <f>IF(ISNUMBER(AY16),VLOOKUP(AY16,'Datasource 2'!$H$14:$I$18,2,FALSE),"")</f>
        <v/>
      </c>
      <c r="BA16" s="39"/>
      <c r="BB16" s="27" t="e">
        <f>_xlfn.IFNA(VLOOKUP(BA16,'Datasource 2'!I$14:$J$18,2,FALSE),AY16)</f>
        <v>#N/A</v>
      </c>
    </row>
    <row r="17" spans="1:54" x14ac:dyDescent="0.25">
      <c r="A17" s="37">
        <v>16</v>
      </c>
      <c r="B17" s="22"/>
      <c r="C17" s="22"/>
      <c r="D17" s="22"/>
      <c r="E17" s="22"/>
      <c r="F17" s="22"/>
      <c r="G17" s="22"/>
      <c r="H17" s="22"/>
      <c r="I17" s="22"/>
      <c r="J17" s="22"/>
      <c r="K17" s="22"/>
      <c r="L17" s="22"/>
      <c r="M17" s="22"/>
      <c r="N17" s="22"/>
      <c r="O17" s="22"/>
      <c r="P17" s="22"/>
      <c r="Q17" s="22"/>
      <c r="R17" s="22"/>
      <c r="S17" s="22"/>
      <c r="T17" s="22"/>
      <c r="U17" s="22"/>
      <c r="V17" s="22"/>
      <c r="W17" s="22"/>
      <c r="X17" s="22"/>
      <c r="Y17" s="39"/>
      <c r="Z17" s="22" t="e">
        <f>VLOOKUP(Y17,'Datasource 2'!$I$14:$J$18,2,FALSE)</f>
        <v>#N/A</v>
      </c>
      <c r="AA17" s="22"/>
      <c r="AB17" s="22" t="str">
        <f>IF(AA17="","",VLOOKUP(AA17,Verdivurdering!$B$2:$K$100,15,FALSE))</f>
        <v/>
      </c>
      <c r="AC17" s="22"/>
      <c r="AD17" s="22" t="str">
        <f>IF(AC17="","",VLOOKUP(AC17,Verdivurdering!$B$2:$K$100,15,FALSE))</f>
        <v/>
      </c>
      <c r="AE17" s="22"/>
      <c r="AF17" s="22" t="str">
        <f>IF(AE17="","",VLOOKUP(AE17,Verdivurdering!$B$2:$K$100,15,FALSE))</f>
        <v/>
      </c>
      <c r="AG17" s="22"/>
      <c r="AH17" s="22" t="str">
        <f>IF(AG17="","",VLOOKUP(AG17,Verdivurdering!$B$2:$K$100,15,FALSE))</f>
        <v/>
      </c>
      <c r="AI17" s="22"/>
      <c r="AJ17" s="22" t="str">
        <f>IF(AI17="","",VLOOKUP(AI17,Verdivurdering!$B$2:$K$100,15,FALSE))</f>
        <v/>
      </c>
      <c r="AK17" s="22"/>
      <c r="AL17" s="22" t="str">
        <f>IF(AK17="","",VLOOKUP(AK17,Verdivurdering!$B$2:$K$100,15,FALSE))</f>
        <v/>
      </c>
      <c r="AM17" s="22"/>
      <c r="AN17" s="22" t="str">
        <f>IF(AM17="","",VLOOKUP(AM17,Verdivurdering!$B$2:$K$100,15,FALSE))</f>
        <v/>
      </c>
      <c r="AO17" s="22"/>
      <c r="AP17" s="22" t="str">
        <f>IF(AO17="","",VLOOKUP(AO17,Verdivurdering!$B$2:$K$100,15,FALSE))</f>
        <v/>
      </c>
      <c r="AQ17" s="22"/>
      <c r="AR17" s="22" t="str">
        <f>IF(AQ17="","",VLOOKUP(AQ17,Verdivurdering!$B$2:$K$100,15,FALSE))</f>
        <v/>
      </c>
      <c r="AS17" s="22"/>
      <c r="AT17" s="22" t="str">
        <f>IF(AS17="","",VLOOKUP(AS17,Verdivurdering!$B$2:$K$100,15,FALSE))</f>
        <v/>
      </c>
      <c r="AU17" s="22"/>
      <c r="AV17" s="22" t="str">
        <f>IF(AU17="","",VLOOKUP(AU17,Verdivurdering!$B$2:$K$100,15,FALSE))</f>
        <v/>
      </c>
      <c r="AW17" s="22"/>
      <c r="AX17" s="21" t="str">
        <f>IF(AW17="","",VLOOKUP(AW17,Verdivurdering!$B$2:$K$100,15,FALSE))</f>
        <v/>
      </c>
      <c r="AY17" s="19" t="e">
        <f t="shared" si="1"/>
        <v>#N/A</v>
      </c>
      <c r="AZ17" s="19" t="str">
        <f>IF(ISNUMBER(AY17),VLOOKUP(AY17,'Datasource 2'!$H$14:$I$18,2,FALSE),"")</f>
        <v/>
      </c>
      <c r="BA17" s="39"/>
      <c r="BB17" s="27" t="e">
        <f>_xlfn.IFNA(VLOOKUP(BA17,'Datasource 2'!I$14:$J$18,2,FALSE),AY17)</f>
        <v>#N/A</v>
      </c>
    </row>
    <row r="18" spans="1:54" x14ac:dyDescent="0.25">
      <c r="A18" s="37">
        <v>17</v>
      </c>
      <c r="B18" s="22"/>
      <c r="C18" s="22"/>
      <c r="D18" s="22"/>
      <c r="E18" s="22"/>
      <c r="F18" s="22"/>
      <c r="G18" s="22"/>
      <c r="H18" s="22"/>
      <c r="I18" s="22"/>
      <c r="J18" s="22"/>
      <c r="K18" s="22"/>
      <c r="L18" s="22"/>
      <c r="M18" s="22"/>
      <c r="N18" s="22"/>
      <c r="O18" s="22"/>
      <c r="P18" s="22"/>
      <c r="Q18" s="22"/>
      <c r="R18" s="22"/>
      <c r="S18" s="22"/>
      <c r="T18" s="22"/>
      <c r="U18" s="22"/>
      <c r="V18" s="22"/>
      <c r="W18" s="22"/>
      <c r="X18" s="22"/>
      <c r="Y18" s="39"/>
      <c r="Z18" s="22" t="e">
        <f>VLOOKUP(Y18,'Datasource 2'!$I$14:$J$18,2,FALSE)</f>
        <v>#N/A</v>
      </c>
      <c r="AA18" s="22"/>
      <c r="AB18" s="22" t="str">
        <f>IF(AA18="","",VLOOKUP(AA18,Verdivurdering!$B$2:$K$100,15,FALSE))</f>
        <v/>
      </c>
      <c r="AC18" s="22"/>
      <c r="AD18" s="22" t="str">
        <f>IF(AC18="","",VLOOKUP(AC18,Verdivurdering!$B$2:$K$100,15,FALSE))</f>
        <v/>
      </c>
      <c r="AE18" s="22"/>
      <c r="AF18" s="22" t="str">
        <f>IF(AE18="","",VLOOKUP(AE18,Verdivurdering!$B$2:$K$100,15,FALSE))</f>
        <v/>
      </c>
      <c r="AG18" s="22"/>
      <c r="AH18" s="22" t="str">
        <f>IF(AG18="","",VLOOKUP(AG18,Verdivurdering!$B$2:$K$100,15,FALSE))</f>
        <v/>
      </c>
      <c r="AI18" s="22"/>
      <c r="AJ18" s="22" t="str">
        <f>IF(AI18="","",VLOOKUP(AI18,Verdivurdering!$B$2:$K$100,15,FALSE))</f>
        <v/>
      </c>
      <c r="AK18" s="22"/>
      <c r="AL18" s="22" t="str">
        <f>IF(AK18="","",VLOOKUP(AK18,Verdivurdering!$B$2:$K$100,15,FALSE))</f>
        <v/>
      </c>
      <c r="AM18" s="22"/>
      <c r="AN18" s="22" t="str">
        <f>IF(AM18="","",VLOOKUP(AM18,Verdivurdering!$B$2:$K$100,15,FALSE))</f>
        <v/>
      </c>
      <c r="AO18" s="22"/>
      <c r="AP18" s="22" t="str">
        <f>IF(AO18="","",VLOOKUP(AO18,Verdivurdering!$B$2:$K$100,15,FALSE))</f>
        <v/>
      </c>
      <c r="AQ18" s="22"/>
      <c r="AR18" s="22" t="str">
        <f>IF(AQ18="","",VLOOKUP(AQ18,Verdivurdering!$B$2:$K$100,15,FALSE))</f>
        <v/>
      </c>
      <c r="AS18" s="22"/>
      <c r="AT18" s="22" t="str">
        <f>IF(AS18="","",VLOOKUP(AS18,Verdivurdering!$B$2:$K$100,15,FALSE))</f>
        <v/>
      </c>
      <c r="AU18" s="22"/>
      <c r="AV18" s="22" t="str">
        <f>IF(AU18="","",VLOOKUP(AU18,Verdivurdering!$B$2:$K$100,15,FALSE))</f>
        <v/>
      </c>
      <c r="AW18" s="22"/>
      <c r="AX18" s="21" t="str">
        <f>IF(AW18="","",VLOOKUP(AW18,Verdivurdering!$B$2:$K$100,15,FALSE))</f>
        <v/>
      </c>
      <c r="AY18" s="19" t="e">
        <f t="shared" si="1"/>
        <v>#N/A</v>
      </c>
      <c r="AZ18" s="19" t="str">
        <f>IF(ISNUMBER(AY18),VLOOKUP(AY18,'Datasource 2'!$H$14:$I$18,2,FALSE),"")</f>
        <v/>
      </c>
      <c r="BA18" s="39"/>
      <c r="BB18" s="27" t="e">
        <f>_xlfn.IFNA(VLOOKUP(BA18,'Datasource 2'!I$14:$J$18,2,FALSE),AY18)</f>
        <v>#N/A</v>
      </c>
    </row>
    <row r="19" spans="1:54" x14ac:dyDescent="0.25">
      <c r="A19" s="37">
        <v>18</v>
      </c>
      <c r="B19" s="22"/>
      <c r="C19" s="22"/>
      <c r="D19" s="22"/>
      <c r="E19" s="22"/>
      <c r="F19" s="22"/>
      <c r="G19" s="22"/>
      <c r="H19" s="22"/>
      <c r="I19" s="22"/>
      <c r="J19" s="22"/>
      <c r="K19" s="22"/>
      <c r="L19" s="22"/>
      <c r="M19" s="22"/>
      <c r="N19" s="22"/>
      <c r="O19" s="22"/>
      <c r="P19" s="22"/>
      <c r="Q19" s="22"/>
      <c r="R19" s="22"/>
      <c r="S19" s="22"/>
      <c r="T19" s="22"/>
      <c r="U19" s="22"/>
      <c r="V19" s="22"/>
      <c r="W19" s="22"/>
      <c r="X19" s="22"/>
      <c r="Y19" s="39"/>
      <c r="Z19" s="22" t="e">
        <f>VLOOKUP(Y19,'Datasource 2'!$I$14:$J$18,2,FALSE)</f>
        <v>#N/A</v>
      </c>
      <c r="AA19" s="22"/>
      <c r="AB19" s="22" t="str">
        <f>IF(AA19="","",VLOOKUP(AA19,Verdivurdering!$B$2:$K$100,15,FALSE))</f>
        <v/>
      </c>
      <c r="AC19" s="22"/>
      <c r="AD19" s="22" t="str">
        <f>IF(AC19="","",VLOOKUP(AC19,Verdivurdering!$B$2:$K$100,15,FALSE))</f>
        <v/>
      </c>
      <c r="AE19" s="22"/>
      <c r="AF19" s="22" t="str">
        <f>IF(AE19="","",VLOOKUP(AE19,Verdivurdering!$B$2:$K$100,15,FALSE))</f>
        <v/>
      </c>
      <c r="AG19" s="22"/>
      <c r="AH19" s="22" t="str">
        <f>IF(AG19="","",VLOOKUP(AG19,Verdivurdering!$B$2:$K$100,15,FALSE))</f>
        <v/>
      </c>
      <c r="AI19" s="22"/>
      <c r="AJ19" s="22" t="str">
        <f>IF(AI19="","",VLOOKUP(AI19,Verdivurdering!$B$2:$K$100,15,FALSE))</f>
        <v/>
      </c>
      <c r="AK19" s="22"/>
      <c r="AL19" s="22" t="str">
        <f>IF(AK19="","",VLOOKUP(AK19,Verdivurdering!$B$2:$K$100,15,FALSE))</f>
        <v/>
      </c>
      <c r="AM19" s="22"/>
      <c r="AN19" s="22" t="str">
        <f>IF(AM19="","",VLOOKUP(AM19,Verdivurdering!$B$2:$K$100,15,FALSE))</f>
        <v/>
      </c>
      <c r="AO19" s="22"/>
      <c r="AP19" s="22" t="str">
        <f>IF(AO19="","",VLOOKUP(AO19,Verdivurdering!$B$2:$K$100,15,FALSE))</f>
        <v/>
      </c>
      <c r="AQ19" s="22"/>
      <c r="AR19" s="22" t="str">
        <f>IF(AQ19="","",VLOOKUP(AQ19,Verdivurdering!$B$2:$K$100,15,FALSE))</f>
        <v/>
      </c>
      <c r="AS19" s="22"/>
      <c r="AT19" s="22" t="str">
        <f>IF(AS19="","",VLOOKUP(AS19,Verdivurdering!$B$2:$K$100,15,FALSE))</f>
        <v/>
      </c>
      <c r="AU19" s="22"/>
      <c r="AV19" s="22" t="str">
        <f>IF(AU19="","",VLOOKUP(AU19,Verdivurdering!$B$2:$K$100,15,FALSE))</f>
        <v/>
      </c>
      <c r="AW19" s="22"/>
      <c r="AX19" s="21" t="str">
        <f>IF(AW19="","",VLOOKUP(AW19,Verdivurdering!$B$2:$K$100,15,FALSE))</f>
        <v/>
      </c>
      <c r="AY19" s="19" t="e">
        <f t="shared" si="1"/>
        <v>#N/A</v>
      </c>
      <c r="AZ19" s="19" t="str">
        <f>IF(ISNUMBER(AY19),VLOOKUP(AY19,'Datasource 2'!$H$14:$I$18,2,FALSE),"")</f>
        <v/>
      </c>
      <c r="BA19" s="39"/>
      <c r="BB19" s="27" t="e">
        <f>_xlfn.IFNA(VLOOKUP(BA19,'Datasource 2'!I$14:$J$18,2,FALSE),AY19)</f>
        <v>#N/A</v>
      </c>
    </row>
    <row r="20" spans="1:54" x14ac:dyDescent="0.25">
      <c r="A20" s="37">
        <v>19</v>
      </c>
      <c r="B20" s="22"/>
      <c r="C20" s="22"/>
      <c r="D20" s="22"/>
      <c r="E20" s="22"/>
      <c r="F20" s="22"/>
      <c r="G20" s="22"/>
      <c r="H20" s="22"/>
      <c r="I20" s="22"/>
      <c r="J20" s="22"/>
      <c r="K20" s="22"/>
      <c r="L20" s="22"/>
      <c r="M20" s="22"/>
      <c r="N20" s="22"/>
      <c r="O20" s="22"/>
      <c r="P20" s="22"/>
      <c r="Q20" s="22"/>
      <c r="R20" s="22"/>
      <c r="S20" s="22"/>
      <c r="T20" s="22"/>
      <c r="U20" s="22"/>
      <c r="V20" s="22"/>
      <c r="W20" s="22"/>
      <c r="X20" s="22"/>
      <c r="Y20" s="39"/>
      <c r="Z20" s="22" t="e">
        <f>VLOOKUP(Y20,'Datasource 2'!$I$14:$J$18,2,FALSE)</f>
        <v>#N/A</v>
      </c>
      <c r="AA20" s="22"/>
      <c r="AB20" s="22" t="str">
        <f>IF(AA20="","",VLOOKUP(AA20,Verdivurdering!$B$2:$K$100,15,FALSE))</f>
        <v/>
      </c>
      <c r="AC20" s="22"/>
      <c r="AD20" s="22" t="str">
        <f>IF(AC20="","",VLOOKUP(AC20,Verdivurdering!$B$2:$K$100,15,FALSE))</f>
        <v/>
      </c>
      <c r="AE20" s="22"/>
      <c r="AF20" s="22" t="str">
        <f>IF(AE20="","",VLOOKUP(AE20,Verdivurdering!$B$2:$K$100,15,FALSE))</f>
        <v/>
      </c>
      <c r="AG20" s="22"/>
      <c r="AH20" s="22" t="str">
        <f>IF(AG20="","",VLOOKUP(AG20,Verdivurdering!$B$2:$K$100,15,FALSE))</f>
        <v/>
      </c>
      <c r="AI20" s="22"/>
      <c r="AJ20" s="22" t="str">
        <f>IF(AI20="","",VLOOKUP(AI20,Verdivurdering!$B$2:$K$100,15,FALSE))</f>
        <v/>
      </c>
      <c r="AK20" s="22"/>
      <c r="AL20" s="22" t="str">
        <f>IF(AK20="","",VLOOKUP(AK20,Verdivurdering!$B$2:$K$100,15,FALSE))</f>
        <v/>
      </c>
      <c r="AM20" s="22"/>
      <c r="AN20" s="22" t="str">
        <f>IF(AM20="","",VLOOKUP(AM20,Verdivurdering!$B$2:$K$100,15,FALSE))</f>
        <v/>
      </c>
      <c r="AO20" s="22"/>
      <c r="AP20" s="22" t="str">
        <f>IF(AO20="","",VLOOKUP(AO20,Verdivurdering!$B$2:$K$100,15,FALSE))</f>
        <v/>
      </c>
      <c r="AQ20" s="22"/>
      <c r="AR20" s="22" t="str">
        <f>IF(AQ20="","",VLOOKUP(AQ20,Verdivurdering!$B$2:$K$100,15,FALSE))</f>
        <v/>
      </c>
      <c r="AS20" s="22"/>
      <c r="AT20" s="22" t="str">
        <f>IF(AS20="","",VLOOKUP(AS20,Verdivurdering!$B$2:$K$100,15,FALSE))</f>
        <v/>
      </c>
      <c r="AU20" s="22"/>
      <c r="AV20" s="22" t="str">
        <f>IF(AU20="","",VLOOKUP(AU20,Verdivurdering!$B$2:$K$100,15,FALSE))</f>
        <v/>
      </c>
      <c r="AW20" s="22"/>
      <c r="AX20" s="21" t="str">
        <f>IF(AW20="","",VLOOKUP(AW20,Verdivurdering!$B$2:$K$100,15,FALSE))</f>
        <v/>
      </c>
      <c r="AY20" s="19" t="e">
        <f t="shared" si="1"/>
        <v>#N/A</v>
      </c>
      <c r="AZ20" s="19" t="str">
        <f>IF(ISNUMBER(AY20),VLOOKUP(AY20,'Datasource 2'!$H$14:$I$18,2,FALSE),"")</f>
        <v/>
      </c>
      <c r="BA20" s="39"/>
      <c r="BB20" s="27" t="e">
        <f>_xlfn.IFNA(VLOOKUP(BA20,'Datasource 2'!I$14:$J$18,2,FALSE),AY20)</f>
        <v>#N/A</v>
      </c>
    </row>
    <row r="21" spans="1:54" x14ac:dyDescent="0.25">
      <c r="A21" s="37">
        <v>20</v>
      </c>
      <c r="B21" s="22"/>
      <c r="C21" s="22"/>
      <c r="D21" s="22"/>
      <c r="E21" s="22"/>
      <c r="F21" s="22"/>
      <c r="G21" s="22"/>
      <c r="H21" s="22"/>
      <c r="I21" s="22"/>
      <c r="J21" s="22"/>
      <c r="K21" s="22"/>
      <c r="L21" s="22"/>
      <c r="M21" s="22"/>
      <c r="N21" s="22"/>
      <c r="O21" s="22"/>
      <c r="P21" s="22"/>
      <c r="Q21" s="22"/>
      <c r="R21" s="22"/>
      <c r="S21" s="22"/>
      <c r="T21" s="22"/>
      <c r="U21" s="22"/>
      <c r="V21" s="22"/>
      <c r="W21" s="22"/>
      <c r="X21" s="22"/>
      <c r="Y21" s="39"/>
      <c r="Z21" s="22" t="e">
        <f>VLOOKUP(Y21,'Datasource 2'!$I$14:$J$18,2,FALSE)</f>
        <v>#N/A</v>
      </c>
      <c r="AA21" s="22"/>
      <c r="AB21" s="22" t="str">
        <f>IF(AA21="","",VLOOKUP(AA21,Verdivurdering!$B$2:$K$100,15,FALSE))</f>
        <v/>
      </c>
      <c r="AC21" s="22"/>
      <c r="AD21" s="22" t="str">
        <f>IF(AC21="","",VLOOKUP(AC21,Verdivurdering!$B$2:$K$100,15,FALSE))</f>
        <v/>
      </c>
      <c r="AE21" s="22"/>
      <c r="AF21" s="22" t="str">
        <f>IF(AE21="","",VLOOKUP(AE21,Verdivurdering!$B$2:$K$100,15,FALSE))</f>
        <v/>
      </c>
      <c r="AG21" s="22"/>
      <c r="AH21" s="22" t="str">
        <f>IF(AG21="","",VLOOKUP(AG21,Verdivurdering!$B$2:$K$100,15,FALSE))</f>
        <v/>
      </c>
      <c r="AI21" s="22"/>
      <c r="AJ21" s="22" t="str">
        <f>IF(AI21="","",VLOOKUP(AI21,Verdivurdering!$B$2:$K$100,15,FALSE))</f>
        <v/>
      </c>
      <c r="AK21" s="22"/>
      <c r="AL21" s="22" t="str">
        <f>IF(AK21="","",VLOOKUP(AK21,Verdivurdering!$B$2:$K$100,15,FALSE))</f>
        <v/>
      </c>
      <c r="AM21" s="22"/>
      <c r="AN21" s="22" t="str">
        <f>IF(AM21="","",VLOOKUP(AM21,Verdivurdering!$B$2:$K$100,15,FALSE))</f>
        <v/>
      </c>
      <c r="AO21" s="22"/>
      <c r="AP21" s="22" t="str">
        <f>IF(AO21="","",VLOOKUP(AO21,Verdivurdering!$B$2:$K$100,15,FALSE))</f>
        <v/>
      </c>
      <c r="AQ21" s="22"/>
      <c r="AR21" s="22" t="str">
        <f>IF(AQ21="","",VLOOKUP(AQ21,Verdivurdering!$B$2:$K$100,15,FALSE))</f>
        <v/>
      </c>
      <c r="AS21" s="22"/>
      <c r="AT21" s="22" t="str">
        <f>IF(AS21="","",VLOOKUP(AS21,Verdivurdering!$B$2:$K$100,15,FALSE))</f>
        <v/>
      </c>
      <c r="AU21" s="22"/>
      <c r="AV21" s="22" t="str">
        <f>IF(AU21="","",VLOOKUP(AU21,Verdivurdering!$B$2:$K$100,15,FALSE))</f>
        <v/>
      </c>
      <c r="AW21" s="22"/>
      <c r="AX21" s="21" t="str">
        <f>IF(AW21="","",VLOOKUP(AW21,Verdivurdering!$B$2:$K$100,15,FALSE))</f>
        <v/>
      </c>
      <c r="AY21" s="19" t="e">
        <f t="shared" si="1"/>
        <v>#N/A</v>
      </c>
      <c r="AZ21" s="19" t="str">
        <f>IF(ISNUMBER(AY21),VLOOKUP(AY21,'Datasource 2'!$H$14:$I$18,2,FALSE),"")</f>
        <v/>
      </c>
      <c r="BA21" s="39"/>
      <c r="BB21" s="27" t="e">
        <f>_xlfn.IFNA(VLOOKUP(BA21,'Datasource 2'!I$14:$J$18,2,FALSE),AY21)</f>
        <v>#N/A</v>
      </c>
    </row>
    <row r="22" spans="1:54" x14ac:dyDescent="0.25">
      <c r="A22" s="37">
        <v>21</v>
      </c>
      <c r="B22" s="22"/>
      <c r="C22" s="22"/>
      <c r="D22" s="22"/>
      <c r="E22" s="22"/>
      <c r="F22" s="22"/>
      <c r="G22" s="22"/>
      <c r="H22" s="22"/>
      <c r="I22" s="22"/>
      <c r="J22" s="22"/>
      <c r="K22" s="22"/>
      <c r="L22" s="22"/>
      <c r="M22" s="22"/>
      <c r="N22" s="22"/>
      <c r="O22" s="22"/>
      <c r="P22" s="22"/>
      <c r="Q22" s="22"/>
      <c r="R22" s="22"/>
      <c r="S22" s="22"/>
      <c r="T22" s="22"/>
      <c r="U22" s="22"/>
      <c r="V22" s="22"/>
      <c r="W22" s="22"/>
      <c r="X22" s="22"/>
      <c r="Y22" s="39"/>
      <c r="Z22" s="22" t="e">
        <f>VLOOKUP(Y22,'Datasource 2'!$I$14:$J$18,2,FALSE)</f>
        <v>#N/A</v>
      </c>
      <c r="AA22" s="22"/>
      <c r="AB22" s="22" t="str">
        <f>IF(AA22="","",VLOOKUP(AA22,Verdivurdering!$B$2:$K$100,15,FALSE))</f>
        <v/>
      </c>
      <c r="AC22" s="22"/>
      <c r="AD22" s="22" t="str">
        <f>IF(AC22="","",VLOOKUP(AC22,Verdivurdering!$B$2:$K$100,15,FALSE))</f>
        <v/>
      </c>
      <c r="AE22" s="22"/>
      <c r="AF22" s="22" t="str">
        <f>IF(AE22="","",VLOOKUP(AE22,Verdivurdering!$B$2:$K$100,15,FALSE))</f>
        <v/>
      </c>
      <c r="AG22" s="22"/>
      <c r="AH22" s="22" t="str">
        <f>IF(AG22="","",VLOOKUP(AG22,Verdivurdering!$B$2:$K$100,15,FALSE))</f>
        <v/>
      </c>
      <c r="AI22" s="22"/>
      <c r="AJ22" s="22" t="str">
        <f>IF(AI22="","",VLOOKUP(AI22,Verdivurdering!$B$2:$K$100,15,FALSE))</f>
        <v/>
      </c>
      <c r="AK22" s="22"/>
      <c r="AL22" s="22" t="str">
        <f>IF(AK22="","",VLOOKUP(AK22,Verdivurdering!$B$2:$K$100,15,FALSE))</f>
        <v/>
      </c>
      <c r="AM22" s="22"/>
      <c r="AN22" s="22" t="str">
        <f>IF(AM22="","",VLOOKUP(AM22,Verdivurdering!$B$2:$K$100,15,FALSE))</f>
        <v/>
      </c>
      <c r="AO22" s="22"/>
      <c r="AP22" s="22" t="str">
        <f>IF(AO22="","",VLOOKUP(AO22,Verdivurdering!$B$2:$K$100,15,FALSE))</f>
        <v/>
      </c>
      <c r="AQ22" s="22"/>
      <c r="AR22" s="22" t="str">
        <f>IF(AQ22="","",VLOOKUP(AQ22,Verdivurdering!$B$2:$K$100,15,FALSE))</f>
        <v/>
      </c>
      <c r="AS22" s="22"/>
      <c r="AT22" s="22" t="str">
        <f>IF(AS22="","",VLOOKUP(AS22,Verdivurdering!$B$2:$K$100,15,FALSE))</f>
        <v/>
      </c>
      <c r="AU22" s="22"/>
      <c r="AV22" s="22" t="str">
        <f>IF(AU22="","",VLOOKUP(AU22,Verdivurdering!$B$2:$K$100,15,FALSE))</f>
        <v/>
      </c>
      <c r="AW22" s="22"/>
      <c r="AX22" s="21" t="str">
        <f>IF(AW22="","",VLOOKUP(AW22,Verdivurdering!$B$2:$K$100,15,FALSE))</f>
        <v/>
      </c>
      <c r="AY22" s="19" t="e">
        <f t="shared" si="1"/>
        <v>#N/A</v>
      </c>
      <c r="AZ22" s="19" t="str">
        <f>IF(ISNUMBER(AY22),VLOOKUP(AY22,'Datasource 2'!$H$14:$I$18,2,FALSE),"")</f>
        <v/>
      </c>
      <c r="BA22" s="39"/>
      <c r="BB22" s="27" t="e">
        <f>_xlfn.IFNA(VLOOKUP(BA22,'Datasource 2'!I$14:$J$18,2,FALSE),AY22)</f>
        <v>#N/A</v>
      </c>
    </row>
    <row r="23" spans="1:54" x14ac:dyDescent="0.25">
      <c r="A23" s="37">
        <v>22</v>
      </c>
      <c r="B23" s="22"/>
      <c r="C23" s="22"/>
      <c r="D23" s="22"/>
      <c r="E23" s="22"/>
      <c r="F23" s="22"/>
      <c r="G23" s="22"/>
      <c r="H23" s="22"/>
      <c r="I23" s="22"/>
      <c r="J23" s="22"/>
      <c r="K23" s="22"/>
      <c r="L23" s="22"/>
      <c r="M23" s="22"/>
      <c r="N23" s="22"/>
      <c r="O23" s="22"/>
      <c r="P23" s="22"/>
      <c r="Q23" s="22"/>
      <c r="R23" s="22"/>
      <c r="S23" s="22"/>
      <c r="T23" s="22"/>
      <c r="U23" s="22"/>
      <c r="V23" s="22"/>
      <c r="W23" s="22"/>
      <c r="X23" s="22"/>
      <c r="Y23" s="39"/>
      <c r="Z23" s="22" t="e">
        <f>VLOOKUP(Y23,'Datasource 2'!$I$14:$J$18,2,FALSE)</f>
        <v>#N/A</v>
      </c>
      <c r="AA23" s="22"/>
      <c r="AB23" s="22" t="str">
        <f>IF(AA23="","",VLOOKUP(AA23,Verdivurdering!$B$2:$K$100,15,FALSE))</f>
        <v/>
      </c>
      <c r="AC23" s="22"/>
      <c r="AD23" s="22" t="str">
        <f>IF(AC23="","",VLOOKUP(AC23,Verdivurdering!$B$2:$K$100,15,FALSE))</f>
        <v/>
      </c>
      <c r="AE23" s="22"/>
      <c r="AF23" s="22" t="str">
        <f>IF(AE23="","",VLOOKUP(AE23,Verdivurdering!$B$2:$K$100,15,FALSE))</f>
        <v/>
      </c>
      <c r="AG23" s="22"/>
      <c r="AH23" s="22" t="str">
        <f>IF(AG23="","",VLOOKUP(AG23,Verdivurdering!$B$2:$K$100,15,FALSE))</f>
        <v/>
      </c>
      <c r="AI23" s="22"/>
      <c r="AJ23" s="22" t="str">
        <f>IF(AI23="","",VLOOKUP(AI23,Verdivurdering!$B$2:$K$100,15,FALSE))</f>
        <v/>
      </c>
      <c r="AK23" s="22"/>
      <c r="AL23" s="22" t="str">
        <f>IF(AK23="","",VLOOKUP(AK23,Verdivurdering!$B$2:$K$100,15,FALSE))</f>
        <v/>
      </c>
      <c r="AM23" s="22"/>
      <c r="AN23" s="22" t="str">
        <f>IF(AM23="","",VLOOKUP(AM23,Verdivurdering!$B$2:$K$100,15,FALSE))</f>
        <v/>
      </c>
      <c r="AO23" s="22"/>
      <c r="AP23" s="22" t="str">
        <f>IF(AO23="","",VLOOKUP(AO23,Verdivurdering!$B$2:$K$100,15,FALSE))</f>
        <v/>
      </c>
      <c r="AQ23" s="22"/>
      <c r="AR23" s="22" t="str">
        <f>IF(AQ23="","",VLOOKUP(AQ23,Verdivurdering!$B$2:$K$100,15,FALSE))</f>
        <v/>
      </c>
      <c r="AS23" s="22"/>
      <c r="AT23" s="22" t="str">
        <f>IF(AS23="","",VLOOKUP(AS23,Verdivurdering!$B$2:$K$100,15,FALSE))</f>
        <v/>
      </c>
      <c r="AU23" s="22"/>
      <c r="AV23" s="22" t="str">
        <f>IF(AU23="","",VLOOKUP(AU23,Verdivurdering!$B$2:$K$100,15,FALSE))</f>
        <v/>
      </c>
      <c r="AW23" s="22"/>
      <c r="AX23" s="21" t="str">
        <f>IF(AW23="","",VLOOKUP(AW23,Verdivurdering!$B$2:$K$100,15,FALSE))</f>
        <v/>
      </c>
      <c r="AY23" s="19" t="e">
        <f t="shared" si="1"/>
        <v>#N/A</v>
      </c>
      <c r="AZ23" s="19" t="str">
        <f>IF(ISNUMBER(AY23),VLOOKUP(AY23,'Datasource 2'!$H$14:$I$18,2,FALSE),"")</f>
        <v/>
      </c>
      <c r="BA23" s="39"/>
      <c r="BB23" s="27" t="e">
        <f>_xlfn.IFNA(VLOOKUP(BA23,'Datasource 2'!I$14:$J$18,2,FALSE),AY23)</f>
        <v>#N/A</v>
      </c>
    </row>
    <row r="24" spans="1:54" x14ac:dyDescent="0.25">
      <c r="A24" s="37">
        <v>23</v>
      </c>
      <c r="B24" s="22"/>
      <c r="C24" s="22"/>
      <c r="D24" s="22"/>
      <c r="E24" s="22"/>
      <c r="F24" s="22"/>
      <c r="G24" s="22"/>
      <c r="H24" s="22"/>
      <c r="I24" s="22"/>
      <c r="J24" s="22"/>
      <c r="K24" s="22"/>
      <c r="L24" s="22"/>
      <c r="M24" s="22"/>
      <c r="N24" s="22"/>
      <c r="O24" s="22"/>
      <c r="P24" s="22"/>
      <c r="Q24" s="22"/>
      <c r="R24" s="22"/>
      <c r="S24" s="22"/>
      <c r="T24" s="22"/>
      <c r="U24" s="22"/>
      <c r="V24" s="22"/>
      <c r="W24" s="22"/>
      <c r="X24" s="22"/>
      <c r="Y24" s="39"/>
      <c r="Z24" s="22" t="e">
        <f>VLOOKUP(Y24,'Datasource 2'!$I$14:$J$18,2,FALSE)</f>
        <v>#N/A</v>
      </c>
      <c r="AA24" s="24"/>
      <c r="AB24" s="22" t="str">
        <f>IF(AA24="","",VLOOKUP(AA24,Verdivurdering!$B$2:$K$100,15,FALSE))</f>
        <v/>
      </c>
      <c r="AC24" s="24"/>
      <c r="AD24" s="22" t="str">
        <f>IF(AC24="","",VLOOKUP(AC24,Verdivurdering!$B$2:$K$100,15,FALSE))</f>
        <v/>
      </c>
      <c r="AE24" s="24"/>
      <c r="AF24" s="22" t="str">
        <f>IF(AE24="","",VLOOKUP(AE24,Verdivurdering!$B$2:$K$100,15,FALSE))</f>
        <v/>
      </c>
      <c r="AG24" s="24"/>
      <c r="AH24" s="22" t="str">
        <f>IF(AG24="","",VLOOKUP(AG24,Verdivurdering!$B$2:$K$100,15,FALSE))</f>
        <v/>
      </c>
      <c r="AI24" s="24"/>
      <c r="AJ24" s="22" t="str">
        <f>IF(AI24="","",VLOOKUP(AI24,Verdivurdering!$B$2:$K$100,15,FALSE))</f>
        <v/>
      </c>
      <c r="AK24" s="24"/>
      <c r="AL24" s="22" t="str">
        <f>IF(AK24="","",VLOOKUP(AK24,Verdivurdering!$B$2:$K$100,15,FALSE))</f>
        <v/>
      </c>
      <c r="AM24" s="24"/>
      <c r="AN24" s="22" t="str">
        <f>IF(AM24="","",VLOOKUP(AM24,Verdivurdering!$B$2:$K$100,15,FALSE))</f>
        <v/>
      </c>
      <c r="AO24" s="24"/>
      <c r="AP24" s="22" t="str">
        <f>IF(AO24="","",VLOOKUP(AO24,Verdivurdering!$B$2:$K$100,15,FALSE))</f>
        <v/>
      </c>
      <c r="AQ24" s="24"/>
      <c r="AR24" s="22" t="str">
        <f>IF(AQ24="","",VLOOKUP(AQ24,Verdivurdering!$B$2:$K$100,15,FALSE))</f>
        <v/>
      </c>
      <c r="AS24" s="24"/>
      <c r="AT24" s="22" t="str">
        <f>IF(AS24="","",VLOOKUP(AS24,Verdivurdering!$B$2:$K$100,15,FALSE))</f>
        <v/>
      </c>
      <c r="AU24" s="24"/>
      <c r="AV24" s="22" t="str">
        <f>IF(AU24="","",VLOOKUP(AU24,Verdivurdering!$B$2:$K$100,15,FALSE))</f>
        <v/>
      </c>
      <c r="AW24" s="24"/>
      <c r="AX24" s="21" t="str">
        <f>IF(AW24="","",VLOOKUP(AW24,Verdivurdering!$B$2:$K$100,15,FALSE))</f>
        <v/>
      </c>
      <c r="AY24" s="19" t="e">
        <f t="shared" si="1"/>
        <v>#N/A</v>
      </c>
      <c r="AZ24" s="19" t="str">
        <f>IF(ISNUMBER(AY24),VLOOKUP(AY24,'Datasource 2'!$H$14:$I$18,2,FALSE),"")</f>
        <v/>
      </c>
      <c r="BA24" s="39"/>
      <c r="BB24" s="27" t="e">
        <f>_xlfn.IFNA(VLOOKUP(BA24,'Datasource 2'!I$14:$J$18,2,FALSE),AY24)</f>
        <v>#N/A</v>
      </c>
    </row>
    <row r="25" spans="1:54" x14ac:dyDescent="0.25">
      <c r="A25" s="37">
        <v>24</v>
      </c>
      <c r="B25" s="22"/>
      <c r="C25" s="22"/>
      <c r="D25" s="22"/>
      <c r="E25" s="22"/>
      <c r="F25" s="22"/>
      <c r="G25" s="22"/>
      <c r="H25" s="22"/>
      <c r="I25" s="22"/>
      <c r="J25" s="22"/>
      <c r="K25" s="22"/>
      <c r="L25" s="22"/>
      <c r="M25" s="22"/>
      <c r="N25" s="22"/>
      <c r="O25" s="22"/>
      <c r="P25" s="22"/>
      <c r="Q25" s="22"/>
      <c r="R25" s="22"/>
      <c r="S25" s="22"/>
      <c r="T25" s="22"/>
      <c r="U25" s="22"/>
      <c r="V25" s="22"/>
      <c r="W25" s="22"/>
      <c r="X25" s="22"/>
      <c r="Y25" s="39"/>
      <c r="Z25" s="22" t="e">
        <f>VLOOKUP(Y25,'Datasource 2'!$I$14:$J$18,2,FALSE)</f>
        <v>#N/A</v>
      </c>
      <c r="AA25" s="22"/>
      <c r="AB25" s="22" t="str">
        <f>IF(AA25="","",VLOOKUP(AA25,Verdivurdering!$B$2:$K$100,15,FALSE))</f>
        <v/>
      </c>
      <c r="AC25" s="22"/>
      <c r="AD25" s="22" t="str">
        <f>IF(AC25="","",VLOOKUP(AC25,Verdivurdering!$B$2:$K$100,15,FALSE))</f>
        <v/>
      </c>
      <c r="AE25" s="22"/>
      <c r="AF25" s="22" t="str">
        <f>IF(AE25="","",VLOOKUP(AE25,Verdivurdering!$B$2:$K$100,15,FALSE))</f>
        <v/>
      </c>
      <c r="AG25" s="22"/>
      <c r="AH25" s="22" t="str">
        <f>IF(AG25="","",VLOOKUP(AG25,Verdivurdering!$B$2:$K$100,15,FALSE))</f>
        <v/>
      </c>
      <c r="AI25" s="22"/>
      <c r="AJ25" s="22" t="str">
        <f>IF(AI25="","",VLOOKUP(AI25,Verdivurdering!$B$2:$K$100,15,FALSE))</f>
        <v/>
      </c>
      <c r="AK25" s="22"/>
      <c r="AL25" s="22" t="str">
        <f>IF(AK25="","",VLOOKUP(AK25,Verdivurdering!$B$2:$K$100,15,FALSE))</f>
        <v/>
      </c>
      <c r="AM25" s="22"/>
      <c r="AN25" s="22" t="str">
        <f>IF(AM25="","",VLOOKUP(AM25,Verdivurdering!$B$2:$K$100,15,FALSE))</f>
        <v/>
      </c>
      <c r="AO25" s="22"/>
      <c r="AP25" s="22" t="str">
        <f>IF(AO25="","",VLOOKUP(AO25,Verdivurdering!$B$2:$K$100,15,FALSE))</f>
        <v/>
      </c>
      <c r="AQ25" s="22"/>
      <c r="AR25" s="22" t="str">
        <f>IF(AQ25="","",VLOOKUP(AQ25,Verdivurdering!$B$2:$K$100,15,FALSE))</f>
        <v/>
      </c>
      <c r="AS25" s="22"/>
      <c r="AT25" s="22" t="str">
        <f>IF(AS25="","",VLOOKUP(AS25,Verdivurdering!$B$2:$K$100,15,FALSE))</f>
        <v/>
      </c>
      <c r="AU25" s="22"/>
      <c r="AV25" s="22" t="str">
        <f>IF(AU25="","",VLOOKUP(AU25,Verdivurdering!$B$2:$K$100,15,FALSE))</f>
        <v/>
      </c>
      <c r="AW25" s="22"/>
      <c r="AX25" s="21" t="str">
        <f>IF(AW25="","",VLOOKUP(AW25,Verdivurdering!$B$2:$K$100,15,FALSE))</f>
        <v/>
      </c>
      <c r="AY25" s="19" t="e">
        <f t="shared" si="1"/>
        <v>#N/A</v>
      </c>
      <c r="AZ25" s="19" t="str">
        <f>IF(ISNUMBER(AY25),VLOOKUP(AY25,'Datasource 2'!$H$14:$I$18,2,FALSE),"")</f>
        <v/>
      </c>
      <c r="BA25" s="39"/>
      <c r="BB25" s="27" t="e">
        <f>_xlfn.IFNA(VLOOKUP(BA25,'Datasource 2'!I$14:$J$18,2,FALSE),AY25)</f>
        <v>#N/A</v>
      </c>
    </row>
    <row r="26" spans="1:54" x14ac:dyDescent="0.25">
      <c r="A26" s="37">
        <v>25</v>
      </c>
      <c r="B26" s="22"/>
      <c r="C26" s="22"/>
      <c r="D26" s="22"/>
      <c r="E26" s="22"/>
      <c r="F26" s="22"/>
      <c r="G26" s="22"/>
      <c r="H26" s="22"/>
      <c r="I26" s="22"/>
      <c r="J26" s="22"/>
      <c r="K26" s="22"/>
      <c r="L26" s="22"/>
      <c r="M26" s="22"/>
      <c r="N26" s="22"/>
      <c r="O26" s="22"/>
      <c r="P26" s="22"/>
      <c r="Q26" s="22"/>
      <c r="R26" s="22"/>
      <c r="S26" s="22"/>
      <c r="T26" s="22"/>
      <c r="U26" s="22"/>
      <c r="V26" s="22"/>
      <c r="W26" s="22"/>
      <c r="X26" s="22"/>
      <c r="Y26" s="39"/>
      <c r="Z26" s="22" t="e">
        <f>VLOOKUP(Y26,'Datasource 2'!$I$14:$J$18,2,FALSE)</f>
        <v>#N/A</v>
      </c>
      <c r="AA26" s="22"/>
      <c r="AB26" s="22" t="str">
        <f>IF(AA26="","",VLOOKUP(AA26,Verdivurdering!$B$2:$K$100,15,FALSE))</f>
        <v/>
      </c>
      <c r="AC26" s="22"/>
      <c r="AD26" s="22" t="str">
        <f>IF(AC26="","",VLOOKUP(AC26,Verdivurdering!$B$2:$K$100,15,FALSE))</f>
        <v/>
      </c>
      <c r="AE26" s="22"/>
      <c r="AF26" s="22" t="str">
        <f>IF(AE26="","",VLOOKUP(AE26,Verdivurdering!$B$2:$K$100,15,FALSE))</f>
        <v/>
      </c>
      <c r="AG26" s="22"/>
      <c r="AH26" s="22" t="str">
        <f>IF(AG26="","",VLOOKUP(AG26,Verdivurdering!$B$2:$K$100,15,FALSE))</f>
        <v/>
      </c>
      <c r="AI26" s="22"/>
      <c r="AJ26" s="22" t="str">
        <f>IF(AI26="","",VLOOKUP(AI26,Verdivurdering!$B$2:$K$100,15,FALSE))</f>
        <v/>
      </c>
      <c r="AK26" s="22"/>
      <c r="AL26" s="22" t="str">
        <f>IF(AK26="","",VLOOKUP(AK26,Verdivurdering!$B$2:$K$100,15,FALSE))</f>
        <v/>
      </c>
      <c r="AM26" s="22"/>
      <c r="AN26" s="22" t="str">
        <f>IF(AM26="","",VLOOKUP(AM26,Verdivurdering!$B$2:$K$100,15,FALSE))</f>
        <v/>
      </c>
      <c r="AO26" s="22"/>
      <c r="AP26" s="22" t="str">
        <f>IF(AO26="","",VLOOKUP(AO26,Verdivurdering!$B$2:$K$100,15,FALSE))</f>
        <v/>
      </c>
      <c r="AQ26" s="22"/>
      <c r="AR26" s="22" t="str">
        <f>IF(AQ26="","",VLOOKUP(AQ26,Verdivurdering!$B$2:$K$100,15,FALSE))</f>
        <v/>
      </c>
      <c r="AS26" s="22"/>
      <c r="AT26" s="22" t="str">
        <f>IF(AS26="","",VLOOKUP(AS26,Verdivurdering!$B$2:$K$100,15,FALSE))</f>
        <v/>
      </c>
      <c r="AU26" s="22"/>
      <c r="AV26" s="22" t="str">
        <f>IF(AU26="","",VLOOKUP(AU26,Verdivurdering!$B$2:$K$100,15,FALSE))</f>
        <v/>
      </c>
      <c r="AW26" s="22"/>
      <c r="AX26" s="21" t="str">
        <f>IF(AW26="","",VLOOKUP(AW26,Verdivurdering!$B$2:$K$100,15,FALSE))</f>
        <v/>
      </c>
      <c r="AY26" s="19" t="e">
        <f t="shared" si="1"/>
        <v>#N/A</v>
      </c>
      <c r="AZ26" s="19" t="str">
        <f>IF(ISNUMBER(AY26),VLOOKUP(AY26,'Datasource 2'!$H$14:$I$18,2,FALSE),"")</f>
        <v/>
      </c>
      <c r="BA26" s="39"/>
      <c r="BB26" s="27" t="e">
        <f>_xlfn.IFNA(VLOOKUP(BA26,'Datasource 2'!I$14:$J$18,2,FALSE),AY26)</f>
        <v>#N/A</v>
      </c>
    </row>
    <row r="27" spans="1:54" x14ac:dyDescent="0.25">
      <c r="A27" s="37">
        <v>26</v>
      </c>
      <c r="B27" s="22"/>
      <c r="C27" s="22"/>
      <c r="D27" s="22"/>
      <c r="E27" s="22"/>
      <c r="F27" s="22"/>
      <c r="G27" s="22"/>
      <c r="H27" s="22"/>
      <c r="I27" s="22"/>
      <c r="J27" s="22"/>
      <c r="K27" s="22"/>
      <c r="L27" s="22"/>
      <c r="M27" s="22"/>
      <c r="N27" s="22"/>
      <c r="O27" s="22"/>
      <c r="P27" s="22"/>
      <c r="Q27" s="22"/>
      <c r="R27" s="22"/>
      <c r="S27" s="22"/>
      <c r="T27" s="22"/>
      <c r="U27" s="22"/>
      <c r="V27" s="22"/>
      <c r="W27" s="22"/>
      <c r="X27" s="22"/>
      <c r="Y27" s="39"/>
      <c r="Z27" s="22" t="e">
        <f>VLOOKUP(Y27,'Datasource 2'!$I$14:$J$18,2,FALSE)</f>
        <v>#N/A</v>
      </c>
      <c r="AA27" s="22"/>
      <c r="AB27" s="22" t="str">
        <f>IF(AA27="","",VLOOKUP(AA27,Verdivurdering!$B$2:$K$100,15,FALSE))</f>
        <v/>
      </c>
      <c r="AC27" s="22"/>
      <c r="AD27" s="22" t="str">
        <f>IF(AC27="","",VLOOKUP(AC27,Verdivurdering!$B$2:$K$100,15,FALSE))</f>
        <v/>
      </c>
      <c r="AE27" s="22"/>
      <c r="AF27" s="22" t="str">
        <f>IF(AE27="","",VLOOKUP(AE27,Verdivurdering!$B$2:$K$100,15,FALSE))</f>
        <v/>
      </c>
      <c r="AG27" s="22"/>
      <c r="AH27" s="22" t="str">
        <f>IF(AG27="","",VLOOKUP(AG27,Verdivurdering!$B$2:$K$100,15,FALSE))</f>
        <v/>
      </c>
      <c r="AI27" s="22"/>
      <c r="AJ27" s="22" t="str">
        <f>IF(AI27="","",VLOOKUP(AI27,Verdivurdering!$B$2:$K$100,15,FALSE))</f>
        <v/>
      </c>
      <c r="AK27" s="22"/>
      <c r="AL27" s="22" t="str">
        <f>IF(AK27="","",VLOOKUP(AK27,Verdivurdering!$B$2:$K$100,15,FALSE))</f>
        <v/>
      </c>
      <c r="AM27" s="22"/>
      <c r="AN27" s="22" t="str">
        <f>IF(AM27="","",VLOOKUP(AM27,Verdivurdering!$B$2:$K$100,15,FALSE))</f>
        <v/>
      </c>
      <c r="AO27" s="22"/>
      <c r="AP27" s="22" t="str">
        <f>IF(AO27="","",VLOOKUP(AO27,Verdivurdering!$B$2:$K$100,15,FALSE))</f>
        <v/>
      </c>
      <c r="AQ27" s="22"/>
      <c r="AR27" s="22" t="str">
        <f>IF(AQ27="","",VLOOKUP(AQ27,Verdivurdering!$B$2:$K$100,15,FALSE))</f>
        <v/>
      </c>
      <c r="AS27" s="22"/>
      <c r="AT27" s="22" t="str">
        <f>IF(AS27="","",VLOOKUP(AS27,Verdivurdering!$B$2:$K$100,15,FALSE))</f>
        <v/>
      </c>
      <c r="AU27" s="22"/>
      <c r="AV27" s="22" t="str">
        <f>IF(AU27="","",VLOOKUP(AU27,Verdivurdering!$B$2:$K$100,15,FALSE))</f>
        <v/>
      </c>
      <c r="AW27" s="22"/>
      <c r="AX27" s="21" t="str">
        <f>IF(AW27="","",VLOOKUP(AW27,Verdivurdering!$B$2:$K$100,15,FALSE))</f>
        <v/>
      </c>
      <c r="AY27" s="19" t="e">
        <f t="shared" si="1"/>
        <v>#N/A</v>
      </c>
      <c r="AZ27" s="19" t="str">
        <f>IF(ISNUMBER(AY27),VLOOKUP(AY27,'Datasource 2'!$H$14:$I$18,2,FALSE),"")</f>
        <v/>
      </c>
      <c r="BA27" s="39"/>
      <c r="BB27" s="27" t="e">
        <f>_xlfn.IFNA(VLOOKUP(BA27,'Datasource 2'!I$14:$J$18,2,FALSE),AY27)</f>
        <v>#N/A</v>
      </c>
    </row>
    <row r="28" spans="1:54" x14ac:dyDescent="0.25">
      <c r="A28" s="37">
        <v>27</v>
      </c>
      <c r="B28" s="24"/>
      <c r="C28" s="24"/>
      <c r="D28" s="24"/>
      <c r="E28" s="24"/>
      <c r="F28" s="24"/>
      <c r="G28" s="24"/>
      <c r="H28" s="24"/>
      <c r="I28" s="24"/>
      <c r="J28" s="24"/>
      <c r="K28" s="24"/>
      <c r="L28" s="24"/>
      <c r="M28" s="24"/>
      <c r="N28" s="24"/>
      <c r="O28" s="24"/>
      <c r="P28" s="24"/>
      <c r="Q28" s="24"/>
      <c r="R28" s="24"/>
      <c r="S28" s="24"/>
      <c r="T28" s="24"/>
      <c r="U28" s="24"/>
      <c r="V28" s="24"/>
      <c r="W28" s="24"/>
      <c r="X28" s="24"/>
      <c r="Y28" s="39"/>
      <c r="Z28" s="22" t="e">
        <f>VLOOKUP(Y28,'Datasource 2'!$I$14:$J$18,2,FALSE)</f>
        <v>#N/A</v>
      </c>
      <c r="AA28" s="22"/>
      <c r="AB28" s="22" t="str">
        <f>IF(AA28="","",VLOOKUP(AA28,Verdivurdering!$B$2:$K$100,15,FALSE))</f>
        <v/>
      </c>
      <c r="AC28" s="22"/>
      <c r="AD28" s="22" t="str">
        <f>IF(AC28="","",VLOOKUP(AC28,Verdivurdering!$B$2:$K$100,15,FALSE))</f>
        <v/>
      </c>
      <c r="AE28" s="22"/>
      <c r="AF28" s="22" t="str">
        <f>IF(AE28="","",VLOOKUP(AE28,Verdivurdering!$B$2:$K$100,15,FALSE))</f>
        <v/>
      </c>
      <c r="AG28" s="22"/>
      <c r="AH28" s="22" t="str">
        <f>IF(AG28="","",VLOOKUP(AG28,Verdivurdering!$B$2:$K$100,15,FALSE))</f>
        <v/>
      </c>
      <c r="AI28" s="22"/>
      <c r="AJ28" s="22" t="str">
        <f>IF(AI28="","",VLOOKUP(AI28,Verdivurdering!$B$2:$K$100,15,FALSE))</f>
        <v/>
      </c>
      <c r="AK28" s="22"/>
      <c r="AL28" s="22" t="str">
        <f>IF(AK28="","",VLOOKUP(AK28,Verdivurdering!$B$2:$K$100,15,FALSE))</f>
        <v/>
      </c>
      <c r="AM28" s="22"/>
      <c r="AN28" s="22" t="str">
        <f>IF(AM28="","",VLOOKUP(AM28,Verdivurdering!$B$2:$K$100,15,FALSE))</f>
        <v/>
      </c>
      <c r="AO28" s="22"/>
      <c r="AP28" s="22" t="str">
        <f>IF(AO28="","",VLOOKUP(AO28,Verdivurdering!$B$2:$K$100,15,FALSE))</f>
        <v/>
      </c>
      <c r="AQ28" s="22"/>
      <c r="AR28" s="22" t="str">
        <f>IF(AQ28="","",VLOOKUP(AQ28,Verdivurdering!$B$2:$K$100,15,FALSE))</f>
        <v/>
      </c>
      <c r="AS28" s="22"/>
      <c r="AT28" s="22" t="str">
        <f>IF(AS28="","",VLOOKUP(AS28,Verdivurdering!$B$2:$K$100,15,FALSE))</f>
        <v/>
      </c>
      <c r="AU28" s="22"/>
      <c r="AV28" s="22" t="str">
        <f>IF(AU28="","",VLOOKUP(AU28,Verdivurdering!$B$2:$K$100,15,FALSE))</f>
        <v/>
      </c>
      <c r="AW28" s="22"/>
      <c r="AX28" s="21" t="str">
        <f>IF(AW28="","",VLOOKUP(AW28,Verdivurdering!$B$2:$K$100,15,FALSE))</f>
        <v/>
      </c>
      <c r="AY28" s="19" t="e">
        <f t="shared" si="1"/>
        <v>#N/A</v>
      </c>
      <c r="AZ28" s="19" t="str">
        <f>IF(ISNUMBER(AY28),VLOOKUP(AY28,'Datasource 2'!$H$14:$I$18,2,FALSE),"")</f>
        <v/>
      </c>
      <c r="BA28" s="39"/>
      <c r="BB28" s="27" t="e">
        <f>_xlfn.IFNA(VLOOKUP(BA28,'Datasource 2'!I$14:$J$18,2,FALSE),AY28)</f>
        <v>#N/A</v>
      </c>
    </row>
    <row r="29" spans="1:54" x14ac:dyDescent="0.25">
      <c r="A29" s="37">
        <v>28</v>
      </c>
      <c r="B29" s="24"/>
      <c r="C29" s="24"/>
      <c r="D29" s="24"/>
      <c r="E29" s="24"/>
      <c r="F29" s="24"/>
      <c r="G29" s="24"/>
      <c r="H29" s="24"/>
      <c r="I29" s="24"/>
      <c r="J29" s="24"/>
      <c r="K29" s="24"/>
      <c r="L29" s="24"/>
      <c r="M29" s="24"/>
      <c r="N29" s="24"/>
      <c r="O29" s="24"/>
      <c r="P29" s="24"/>
      <c r="Q29" s="24"/>
      <c r="R29" s="24"/>
      <c r="S29" s="24"/>
      <c r="T29" s="24"/>
      <c r="U29" s="24"/>
      <c r="V29" s="24"/>
      <c r="W29" s="24"/>
      <c r="X29" s="24"/>
      <c r="Y29" s="39"/>
      <c r="Z29" s="22" t="e">
        <f>VLOOKUP(Y29,'Datasource 2'!$I$14:$J$18,2,FALSE)</f>
        <v>#N/A</v>
      </c>
      <c r="AA29" s="22"/>
      <c r="AB29" s="22" t="str">
        <f>IF(AA29="","",VLOOKUP(AA29,Verdivurdering!$B$2:$K$100,15,FALSE))</f>
        <v/>
      </c>
      <c r="AC29" s="22"/>
      <c r="AD29" s="22" t="str">
        <f>IF(AC29="","",VLOOKUP(AC29,Verdivurdering!$B$2:$K$100,15,FALSE))</f>
        <v/>
      </c>
      <c r="AE29" s="22"/>
      <c r="AF29" s="22" t="str">
        <f>IF(AE29="","",VLOOKUP(AE29,Verdivurdering!$B$2:$K$100,15,FALSE))</f>
        <v/>
      </c>
      <c r="AG29" s="22"/>
      <c r="AH29" s="22" t="str">
        <f>IF(AG29="","",VLOOKUP(AG29,Verdivurdering!$B$2:$K$100,15,FALSE))</f>
        <v/>
      </c>
      <c r="AI29" s="22"/>
      <c r="AJ29" s="22" t="str">
        <f>IF(AI29="","",VLOOKUP(AI29,Verdivurdering!$B$2:$K$100,15,FALSE))</f>
        <v/>
      </c>
      <c r="AK29" s="22"/>
      <c r="AL29" s="22" t="str">
        <f>IF(AK29="","",VLOOKUP(AK29,Verdivurdering!$B$2:$K$100,15,FALSE))</f>
        <v/>
      </c>
      <c r="AM29" s="22"/>
      <c r="AN29" s="22" t="str">
        <f>IF(AM29="","",VLOOKUP(AM29,Verdivurdering!$B$2:$K$100,15,FALSE))</f>
        <v/>
      </c>
      <c r="AO29" s="22"/>
      <c r="AP29" s="22" t="str">
        <f>IF(AO29="","",VLOOKUP(AO29,Verdivurdering!$B$2:$K$100,15,FALSE))</f>
        <v/>
      </c>
      <c r="AQ29" s="22"/>
      <c r="AR29" s="22" t="str">
        <f>IF(AQ29="","",VLOOKUP(AQ29,Verdivurdering!$B$2:$K$100,15,FALSE))</f>
        <v/>
      </c>
      <c r="AS29" s="22"/>
      <c r="AT29" s="22" t="str">
        <f>IF(AS29="","",VLOOKUP(AS29,Verdivurdering!$B$2:$K$100,15,FALSE))</f>
        <v/>
      </c>
      <c r="AU29" s="22"/>
      <c r="AV29" s="22" t="str">
        <f>IF(AU29="","",VLOOKUP(AU29,Verdivurdering!$B$2:$K$100,15,FALSE))</f>
        <v/>
      </c>
      <c r="AW29" s="22"/>
      <c r="AX29" s="21" t="str">
        <f>IF(AW29="","",VLOOKUP(AW29,Verdivurdering!$B$2:$K$100,15,FALSE))</f>
        <v/>
      </c>
      <c r="AY29" s="19" t="e">
        <f t="shared" si="1"/>
        <v>#N/A</v>
      </c>
      <c r="AZ29" s="19" t="str">
        <f>IF(ISNUMBER(AY29),VLOOKUP(AY29,'Datasource 2'!$H$14:$I$18,2,FALSE),"")</f>
        <v/>
      </c>
      <c r="BA29" s="39"/>
      <c r="BB29" s="27" t="e">
        <f>_xlfn.IFNA(VLOOKUP(BA29,'Datasource 2'!I$14:$J$18,2,FALSE),AY29)</f>
        <v>#N/A</v>
      </c>
    </row>
    <row r="30" spans="1:54" x14ac:dyDescent="0.25">
      <c r="A30" s="37">
        <v>29</v>
      </c>
      <c r="B30" s="23"/>
      <c r="C30" s="23"/>
      <c r="D30" s="23"/>
      <c r="E30" s="23"/>
      <c r="F30" s="23"/>
      <c r="G30" s="23"/>
      <c r="H30" s="23"/>
      <c r="I30" s="23"/>
      <c r="J30" s="23"/>
      <c r="K30" s="23"/>
      <c r="L30" s="23"/>
      <c r="M30" s="23"/>
      <c r="N30" s="23"/>
      <c r="O30" s="23"/>
      <c r="P30" s="23"/>
      <c r="Q30" s="23"/>
      <c r="R30" s="23"/>
      <c r="S30" s="23"/>
      <c r="T30" s="23"/>
      <c r="U30" s="23"/>
      <c r="V30" s="23"/>
      <c r="W30" s="23"/>
      <c r="X30" s="23"/>
      <c r="Y30" s="39"/>
      <c r="Z30" s="22" t="e">
        <f>VLOOKUP(Y30,'Datasource 2'!$I$14:$J$18,2,FALSE)</f>
        <v>#N/A</v>
      </c>
      <c r="AA30" s="22"/>
      <c r="AB30" s="22" t="str">
        <f>IF(AA30="","",VLOOKUP(AA30,Verdivurdering!$B$2:$K$100,15,FALSE))</f>
        <v/>
      </c>
      <c r="AC30" s="22"/>
      <c r="AD30" s="22" t="str">
        <f>IF(AC30="","",VLOOKUP(AC30,Verdivurdering!$B$2:$K$100,15,FALSE))</f>
        <v/>
      </c>
      <c r="AE30" s="22"/>
      <c r="AF30" s="22" t="str">
        <f>IF(AE30="","",VLOOKUP(AE30,Verdivurdering!$B$2:$K$100,15,FALSE))</f>
        <v/>
      </c>
      <c r="AG30" s="22"/>
      <c r="AH30" s="22" t="str">
        <f>IF(AG30="","",VLOOKUP(AG30,Verdivurdering!$B$2:$K$100,15,FALSE))</f>
        <v/>
      </c>
      <c r="AI30" s="22"/>
      <c r="AJ30" s="22" t="str">
        <f>IF(AI30="","",VLOOKUP(AI30,Verdivurdering!$B$2:$K$100,15,FALSE))</f>
        <v/>
      </c>
      <c r="AK30" s="22"/>
      <c r="AL30" s="22" t="str">
        <f>IF(AK30="","",VLOOKUP(AK30,Verdivurdering!$B$2:$K$100,15,FALSE))</f>
        <v/>
      </c>
      <c r="AM30" s="22"/>
      <c r="AN30" s="22" t="str">
        <f>IF(AM30="","",VLOOKUP(AM30,Verdivurdering!$B$2:$K$100,15,FALSE))</f>
        <v/>
      </c>
      <c r="AO30" s="22"/>
      <c r="AP30" s="22" t="str">
        <f>IF(AO30="","",VLOOKUP(AO30,Verdivurdering!$B$2:$K$100,15,FALSE))</f>
        <v/>
      </c>
      <c r="AQ30" s="22"/>
      <c r="AR30" s="22" t="str">
        <f>IF(AQ30="","",VLOOKUP(AQ30,Verdivurdering!$B$2:$K$100,15,FALSE))</f>
        <v/>
      </c>
      <c r="AS30" s="22"/>
      <c r="AT30" s="22" t="str">
        <f>IF(AS30="","",VLOOKUP(AS30,Verdivurdering!$B$2:$K$100,15,FALSE))</f>
        <v/>
      </c>
      <c r="AU30" s="22"/>
      <c r="AV30" s="22" t="str">
        <f>IF(AU30="","",VLOOKUP(AU30,Verdivurdering!$B$2:$K$100,15,FALSE))</f>
        <v/>
      </c>
      <c r="AW30" s="22"/>
      <c r="AX30" s="21" t="str">
        <f>IF(AW30="","",VLOOKUP(AW30,Verdivurdering!$B$2:$K$100,15,FALSE))</f>
        <v/>
      </c>
      <c r="AY30" s="19" t="e">
        <f t="shared" si="1"/>
        <v>#N/A</v>
      </c>
      <c r="AZ30" s="19" t="str">
        <f>IF(ISNUMBER(AY30),VLOOKUP(AY30,'Datasource 2'!$H$14:$I$18,2,FALSE),"")</f>
        <v/>
      </c>
      <c r="BA30" s="39"/>
      <c r="BB30" s="27" t="e">
        <f>_xlfn.IFNA(VLOOKUP(BA30,'Datasource 2'!I$14:$J$18,2,FALSE),AY30)</f>
        <v>#N/A</v>
      </c>
    </row>
    <row r="31" spans="1:54" x14ac:dyDescent="0.25">
      <c r="A31" s="37">
        <v>30</v>
      </c>
      <c r="B31" s="23"/>
      <c r="C31" s="23"/>
      <c r="D31" s="23"/>
      <c r="E31" s="23"/>
      <c r="F31" s="23"/>
      <c r="G31" s="23"/>
      <c r="H31" s="23"/>
      <c r="I31" s="23"/>
      <c r="J31" s="23"/>
      <c r="K31" s="23"/>
      <c r="L31" s="23"/>
      <c r="M31" s="23"/>
      <c r="N31" s="23"/>
      <c r="O31" s="23"/>
      <c r="P31" s="23"/>
      <c r="Q31" s="23"/>
      <c r="R31" s="23"/>
      <c r="S31" s="23"/>
      <c r="T31" s="23"/>
      <c r="U31" s="23"/>
      <c r="V31" s="23"/>
      <c r="W31" s="23"/>
      <c r="X31" s="23"/>
      <c r="Y31" s="39"/>
      <c r="Z31" s="22" t="e">
        <f>VLOOKUP(Y31,'Datasource 2'!$I$14:$J$18,2,FALSE)</f>
        <v>#N/A</v>
      </c>
      <c r="AA31" s="22"/>
      <c r="AB31" s="22" t="str">
        <f>IF(AA31="","",VLOOKUP(AA31,Verdivurdering!$B$2:$K$100,15,FALSE))</f>
        <v/>
      </c>
      <c r="AC31" s="22"/>
      <c r="AD31" s="22" t="str">
        <f>IF(AC31="","",VLOOKUP(AC31,Verdivurdering!$B$2:$K$100,15,FALSE))</f>
        <v/>
      </c>
      <c r="AE31" s="22"/>
      <c r="AF31" s="22" t="str">
        <f>IF(AE31="","",VLOOKUP(AE31,Verdivurdering!$B$2:$K$100,15,FALSE))</f>
        <v/>
      </c>
      <c r="AG31" s="22"/>
      <c r="AH31" s="22" t="str">
        <f>IF(AG31="","",VLOOKUP(AG31,Verdivurdering!$B$2:$K$100,15,FALSE))</f>
        <v/>
      </c>
      <c r="AI31" s="22"/>
      <c r="AJ31" s="22" t="str">
        <f>IF(AI31="","",VLOOKUP(AI31,Verdivurdering!$B$2:$K$100,15,FALSE))</f>
        <v/>
      </c>
      <c r="AK31" s="22"/>
      <c r="AL31" s="22" t="str">
        <f>IF(AK31="","",VLOOKUP(AK31,Verdivurdering!$B$2:$K$100,15,FALSE))</f>
        <v/>
      </c>
      <c r="AM31" s="22"/>
      <c r="AN31" s="22" t="str">
        <f>IF(AM31="","",VLOOKUP(AM31,Verdivurdering!$B$2:$K$100,15,FALSE))</f>
        <v/>
      </c>
      <c r="AO31" s="22"/>
      <c r="AP31" s="22" t="str">
        <f>IF(AO31="","",VLOOKUP(AO31,Verdivurdering!$B$2:$K$100,15,FALSE))</f>
        <v/>
      </c>
      <c r="AQ31" s="22"/>
      <c r="AR31" s="22" t="str">
        <f>IF(AQ31="","",VLOOKUP(AQ31,Verdivurdering!$B$2:$K$100,15,FALSE))</f>
        <v/>
      </c>
      <c r="AS31" s="22"/>
      <c r="AT31" s="22" t="str">
        <f>IF(AS31="","",VLOOKUP(AS31,Verdivurdering!$B$2:$K$100,15,FALSE))</f>
        <v/>
      </c>
      <c r="AU31" s="22"/>
      <c r="AV31" s="22" t="str">
        <f>IF(AU31="","",VLOOKUP(AU31,Verdivurdering!$B$2:$K$100,15,FALSE))</f>
        <v/>
      </c>
      <c r="AW31" s="22"/>
      <c r="AX31" s="21" t="str">
        <f>IF(AW31="","",VLOOKUP(AW31,Verdivurdering!$B$2:$K$100,15,FALSE))</f>
        <v/>
      </c>
      <c r="AY31" s="19" t="e">
        <f t="shared" si="1"/>
        <v>#N/A</v>
      </c>
      <c r="AZ31" s="19" t="str">
        <f>IF(ISNUMBER(AY31),VLOOKUP(AY31,'Datasource 2'!$H$14:$I$18,2,FALSE),"")</f>
        <v/>
      </c>
      <c r="BA31" s="39"/>
      <c r="BB31" s="27" t="e">
        <f>_xlfn.IFNA(VLOOKUP(BA31,'Datasource 2'!I$14:$J$18,2,FALSE),AY31)</f>
        <v>#N/A</v>
      </c>
    </row>
    <row r="32" spans="1:54" x14ac:dyDescent="0.25">
      <c r="A32" s="37">
        <v>31</v>
      </c>
      <c r="B32" s="23"/>
      <c r="C32" s="23"/>
      <c r="D32" s="23"/>
      <c r="E32" s="23"/>
      <c r="F32" s="23"/>
      <c r="G32" s="23"/>
      <c r="H32" s="23"/>
      <c r="I32" s="23"/>
      <c r="J32" s="23"/>
      <c r="K32" s="23"/>
      <c r="L32" s="23"/>
      <c r="M32" s="23"/>
      <c r="N32" s="23"/>
      <c r="O32" s="23"/>
      <c r="P32" s="23"/>
      <c r="Q32" s="23"/>
      <c r="R32" s="23"/>
      <c r="S32" s="23"/>
      <c r="T32" s="23"/>
      <c r="U32" s="23"/>
      <c r="V32" s="23"/>
      <c r="W32" s="23"/>
      <c r="X32" s="23"/>
      <c r="Y32" s="39"/>
      <c r="Z32" s="22" t="e">
        <f>VLOOKUP(Y32,'Datasource 2'!$I$14:$J$18,2,FALSE)</f>
        <v>#N/A</v>
      </c>
      <c r="AA32" s="22"/>
      <c r="AB32" s="22" t="str">
        <f>IF(AA32="","",VLOOKUP(AA32,Verdivurdering!$B$2:$K$100,15,FALSE))</f>
        <v/>
      </c>
      <c r="AC32" s="22"/>
      <c r="AD32" s="22" t="str">
        <f>IF(AC32="","",VLOOKUP(AC32,Verdivurdering!$B$2:$K$100,15,FALSE))</f>
        <v/>
      </c>
      <c r="AE32" s="22"/>
      <c r="AF32" s="22" t="str">
        <f>IF(AE32="","",VLOOKUP(AE32,Verdivurdering!$B$2:$K$100,15,FALSE))</f>
        <v/>
      </c>
      <c r="AG32" s="22"/>
      <c r="AH32" s="22" t="str">
        <f>IF(AG32="","",VLOOKUP(AG32,Verdivurdering!$B$2:$K$100,15,FALSE))</f>
        <v/>
      </c>
      <c r="AI32" s="22"/>
      <c r="AJ32" s="22" t="str">
        <f>IF(AI32="","",VLOOKUP(AI32,Verdivurdering!$B$2:$K$100,15,FALSE))</f>
        <v/>
      </c>
      <c r="AK32" s="22"/>
      <c r="AL32" s="22" t="str">
        <f>IF(AK32="","",VLOOKUP(AK32,Verdivurdering!$B$2:$K$100,15,FALSE))</f>
        <v/>
      </c>
      <c r="AM32" s="22"/>
      <c r="AN32" s="22" t="str">
        <f>IF(AM32="","",VLOOKUP(AM32,Verdivurdering!$B$2:$K$100,15,FALSE))</f>
        <v/>
      </c>
      <c r="AO32" s="22"/>
      <c r="AP32" s="22" t="str">
        <f>IF(AO32="","",VLOOKUP(AO32,Verdivurdering!$B$2:$K$100,15,FALSE))</f>
        <v/>
      </c>
      <c r="AQ32" s="22"/>
      <c r="AR32" s="22" t="str">
        <f>IF(AQ32="","",VLOOKUP(AQ32,Verdivurdering!$B$2:$K$100,15,FALSE))</f>
        <v/>
      </c>
      <c r="AS32" s="22"/>
      <c r="AT32" s="22" t="str">
        <f>IF(AS32="","",VLOOKUP(AS32,Verdivurdering!$B$2:$K$100,15,FALSE))</f>
        <v/>
      </c>
      <c r="AU32" s="22"/>
      <c r="AV32" s="22" t="str">
        <f>IF(AU32="","",VLOOKUP(AU32,Verdivurdering!$B$2:$K$100,15,FALSE))</f>
        <v/>
      </c>
      <c r="AW32" s="22"/>
      <c r="AX32" s="21" t="str">
        <f>IF(AW32="","",VLOOKUP(AW32,Verdivurdering!$B$2:$K$100,15,FALSE))</f>
        <v/>
      </c>
      <c r="AY32" s="19" t="e">
        <f t="shared" si="1"/>
        <v>#N/A</v>
      </c>
      <c r="AZ32" s="19" t="str">
        <f>IF(ISNUMBER(AY32),VLOOKUP(AY32,'Datasource 2'!$H$14:$I$18,2,FALSE),"")</f>
        <v/>
      </c>
      <c r="BA32" s="39"/>
      <c r="BB32" s="27" t="e">
        <f>_xlfn.IFNA(VLOOKUP(BA32,'Datasource 2'!I$14:$J$18,2,FALSE),AY32)</f>
        <v>#N/A</v>
      </c>
    </row>
    <row r="33" spans="1:54" x14ac:dyDescent="0.25">
      <c r="A33" s="37">
        <v>32</v>
      </c>
      <c r="B33" s="23"/>
      <c r="C33" s="23"/>
      <c r="D33" s="23"/>
      <c r="E33" s="23"/>
      <c r="F33" s="23"/>
      <c r="G33" s="23"/>
      <c r="H33" s="23"/>
      <c r="I33" s="23"/>
      <c r="J33" s="23"/>
      <c r="K33" s="23"/>
      <c r="L33" s="23"/>
      <c r="M33" s="23"/>
      <c r="N33" s="23"/>
      <c r="O33" s="23"/>
      <c r="P33" s="23"/>
      <c r="Q33" s="23"/>
      <c r="R33" s="23"/>
      <c r="S33" s="23"/>
      <c r="T33" s="23"/>
      <c r="U33" s="23"/>
      <c r="V33" s="23"/>
      <c r="W33" s="23"/>
      <c r="X33" s="23"/>
      <c r="Y33" s="39"/>
      <c r="Z33" s="22" t="e">
        <f>VLOOKUP(Y33,'Datasource 2'!$I$14:$J$18,2,FALSE)</f>
        <v>#N/A</v>
      </c>
      <c r="AA33" s="22"/>
      <c r="AB33" s="22" t="str">
        <f>IF(AA33="","",VLOOKUP(AA33,Verdivurdering!$B$2:$K$100,15,FALSE))</f>
        <v/>
      </c>
      <c r="AC33" s="22"/>
      <c r="AD33" s="22" t="str">
        <f>IF(AC33="","",VLOOKUP(AC33,Verdivurdering!$B$2:$K$100,15,FALSE))</f>
        <v/>
      </c>
      <c r="AE33" s="22"/>
      <c r="AF33" s="22" t="str">
        <f>IF(AE33="","",VLOOKUP(AE33,Verdivurdering!$B$2:$K$100,15,FALSE))</f>
        <v/>
      </c>
      <c r="AG33" s="22"/>
      <c r="AH33" s="22" t="str">
        <f>IF(AG33="","",VLOOKUP(AG33,Verdivurdering!$B$2:$K$100,15,FALSE))</f>
        <v/>
      </c>
      <c r="AI33" s="22"/>
      <c r="AJ33" s="22" t="str">
        <f>IF(AI33="","",VLOOKUP(AI33,Verdivurdering!$B$2:$K$100,15,FALSE))</f>
        <v/>
      </c>
      <c r="AK33" s="22"/>
      <c r="AL33" s="22" t="str">
        <f>IF(AK33="","",VLOOKUP(AK33,Verdivurdering!$B$2:$K$100,15,FALSE))</f>
        <v/>
      </c>
      <c r="AM33" s="22"/>
      <c r="AN33" s="22" t="str">
        <f>IF(AM33="","",VLOOKUP(AM33,Verdivurdering!$B$2:$K$100,15,FALSE))</f>
        <v/>
      </c>
      <c r="AO33" s="22"/>
      <c r="AP33" s="22" t="str">
        <f>IF(AO33="","",VLOOKUP(AO33,Verdivurdering!$B$2:$K$100,15,FALSE))</f>
        <v/>
      </c>
      <c r="AQ33" s="22"/>
      <c r="AR33" s="22" t="str">
        <f>IF(AQ33="","",VLOOKUP(AQ33,Verdivurdering!$B$2:$K$100,15,FALSE))</f>
        <v/>
      </c>
      <c r="AS33" s="22"/>
      <c r="AT33" s="22" t="str">
        <f>IF(AS33="","",VLOOKUP(AS33,Verdivurdering!$B$2:$K$100,15,FALSE))</f>
        <v/>
      </c>
      <c r="AU33" s="22"/>
      <c r="AV33" s="22" t="str">
        <f>IF(AU33="","",VLOOKUP(AU33,Verdivurdering!$B$2:$K$100,15,FALSE))</f>
        <v/>
      </c>
      <c r="AW33" s="22"/>
      <c r="AX33" s="21" t="str">
        <f>IF(AW33="","",VLOOKUP(AW33,Verdivurdering!$B$2:$K$100,15,FALSE))</f>
        <v/>
      </c>
      <c r="AY33" s="19" t="e">
        <f t="shared" si="1"/>
        <v>#N/A</v>
      </c>
      <c r="AZ33" s="19" t="str">
        <f>IF(ISNUMBER(AY33),VLOOKUP(AY33,'Datasource 2'!$H$14:$I$18,2,FALSE),"")</f>
        <v/>
      </c>
      <c r="BA33" s="39"/>
      <c r="BB33" s="27" t="e">
        <f>_xlfn.IFNA(VLOOKUP(BA33,'Datasource 2'!I$14:$J$18,2,FALSE),AY33)</f>
        <v>#N/A</v>
      </c>
    </row>
    <row r="34" spans="1:54" x14ac:dyDescent="0.25">
      <c r="A34" s="37">
        <v>33</v>
      </c>
      <c r="B34" s="23"/>
      <c r="C34" s="23"/>
      <c r="D34" s="23"/>
      <c r="E34" s="23"/>
      <c r="F34" s="23"/>
      <c r="G34" s="23"/>
      <c r="H34" s="23"/>
      <c r="I34" s="23"/>
      <c r="J34" s="23"/>
      <c r="K34" s="23"/>
      <c r="L34" s="23"/>
      <c r="M34" s="23"/>
      <c r="N34" s="23"/>
      <c r="O34" s="23"/>
      <c r="P34" s="23"/>
      <c r="Q34" s="23"/>
      <c r="R34" s="23"/>
      <c r="S34" s="23"/>
      <c r="T34" s="23"/>
      <c r="U34" s="23"/>
      <c r="V34" s="23"/>
      <c r="W34" s="23"/>
      <c r="X34" s="23"/>
      <c r="Y34" s="39"/>
      <c r="Z34" s="22" t="e">
        <f>VLOOKUP(Y34,'Datasource 2'!$I$14:$J$18,2,FALSE)</f>
        <v>#N/A</v>
      </c>
      <c r="AA34" s="22"/>
      <c r="AB34" s="22" t="str">
        <f>IF(AA34="","",VLOOKUP(AA34,Verdivurdering!$B$2:$K$100,15,FALSE))</f>
        <v/>
      </c>
      <c r="AC34" s="22"/>
      <c r="AD34" s="22" t="str">
        <f>IF(AC34="","",VLOOKUP(AC34,Verdivurdering!$B$2:$K$100,15,FALSE))</f>
        <v/>
      </c>
      <c r="AE34" s="22"/>
      <c r="AF34" s="22" t="str">
        <f>IF(AE34="","",VLOOKUP(AE34,Verdivurdering!$B$2:$K$100,15,FALSE))</f>
        <v/>
      </c>
      <c r="AG34" s="22"/>
      <c r="AH34" s="22" t="str">
        <f>IF(AG34="","",VLOOKUP(AG34,Verdivurdering!$B$2:$K$100,15,FALSE))</f>
        <v/>
      </c>
      <c r="AI34" s="22"/>
      <c r="AJ34" s="22" t="str">
        <f>IF(AI34="","",VLOOKUP(AI34,Verdivurdering!$B$2:$K$100,15,FALSE))</f>
        <v/>
      </c>
      <c r="AK34" s="22"/>
      <c r="AL34" s="22" t="str">
        <f>IF(AK34="","",VLOOKUP(AK34,Verdivurdering!$B$2:$K$100,15,FALSE))</f>
        <v/>
      </c>
      <c r="AM34" s="22"/>
      <c r="AN34" s="22" t="str">
        <f>IF(AM34="","",VLOOKUP(AM34,Verdivurdering!$B$2:$K$100,15,FALSE))</f>
        <v/>
      </c>
      <c r="AO34" s="22"/>
      <c r="AP34" s="22" t="str">
        <f>IF(AO34="","",VLOOKUP(AO34,Verdivurdering!$B$2:$K$100,15,FALSE))</f>
        <v/>
      </c>
      <c r="AQ34" s="22"/>
      <c r="AR34" s="22" t="str">
        <f>IF(AQ34="","",VLOOKUP(AQ34,Verdivurdering!$B$2:$K$100,15,FALSE))</f>
        <v/>
      </c>
      <c r="AS34" s="22"/>
      <c r="AT34" s="22" t="str">
        <f>IF(AS34="","",VLOOKUP(AS34,Verdivurdering!$B$2:$K$100,15,FALSE))</f>
        <v/>
      </c>
      <c r="AU34" s="22"/>
      <c r="AV34" s="22" t="str">
        <f>IF(AU34="","",VLOOKUP(AU34,Verdivurdering!$B$2:$K$100,15,FALSE))</f>
        <v/>
      </c>
      <c r="AW34" s="22"/>
      <c r="AX34" s="21" t="str">
        <f>IF(AW34="","",VLOOKUP(AW34,Verdivurdering!$B$2:$K$100,15,FALSE))</f>
        <v/>
      </c>
      <c r="AY34" s="19" t="e">
        <f t="shared" si="1"/>
        <v>#N/A</v>
      </c>
      <c r="AZ34" s="19" t="str">
        <f>IF(ISNUMBER(AY34),VLOOKUP(AY34,'Datasource 2'!$H$14:$I$18,2,FALSE),"")</f>
        <v/>
      </c>
      <c r="BA34" s="39"/>
      <c r="BB34" s="27" t="e">
        <f>_xlfn.IFNA(VLOOKUP(BA34,'Datasource 2'!I$14:$J$18,2,FALSE),AY34)</f>
        <v>#N/A</v>
      </c>
    </row>
    <row r="35" spans="1:54" x14ac:dyDescent="0.25">
      <c r="A35" s="37">
        <v>34</v>
      </c>
      <c r="B35" s="23"/>
      <c r="C35" s="23"/>
      <c r="D35" s="23"/>
      <c r="E35" s="23"/>
      <c r="F35" s="23"/>
      <c r="G35" s="23"/>
      <c r="H35" s="23"/>
      <c r="I35" s="23"/>
      <c r="J35" s="23"/>
      <c r="K35" s="23"/>
      <c r="L35" s="23"/>
      <c r="M35" s="23"/>
      <c r="N35" s="23"/>
      <c r="O35" s="23"/>
      <c r="P35" s="23"/>
      <c r="Q35" s="23"/>
      <c r="R35" s="23"/>
      <c r="S35" s="23"/>
      <c r="T35" s="23"/>
      <c r="U35" s="23"/>
      <c r="V35" s="23"/>
      <c r="W35" s="23"/>
      <c r="X35" s="23"/>
      <c r="Y35" s="39"/>
      <c r="Z35" s="22" t="e">
        <f>VLOOKUP(Y35,'Datasource 2'!$I$14:$J$18,2,FALSE)</f>
        <v>#N/A</v>
      </c>
      <c r="AA35" s="22"/>
      <c r="AB35" s="22" t="str">
        <f>IF(AA35="","",VLOOKUP(AA35,Verdivurdering!$B$2:$K$100,15,FALSE))</f>
        <v/>
      </c>
      <c r="AC35" s="22"/>
      <c r="AD35" s="22" t="str">
        <f>IF(AC35="","",VLOOKUP(AC35,Verdivurdering!$B$2:$K$100,15,FALSE))</f>
        <v/>
      </c>
      <c r="AE35" s="22"/>
      <c r="AF35" s="22" t="str">
        <f>IF(AE35="","",VLOOKUP(AE35,Verdivurdering!$B$2:$K$100,15,FALSE))</f>
        <v/>
      </c>
      <c r="AG35" s="22"/>
      <c r="AH35" s="22" t="str">
        <f>IF(AG35="","",VLOOKUP(AG35,Verdivurdering!$B$2:$K$100,15,FALSE))</f>
        <v/>
      </c>
      <c r="AI35" s="22"/>
      <c r="AJ35" s="22" t="str">
        <f>IF(AI35="","",VLOOKUP(AI35,Verdivurdering!$B$2:$K$100,15,FALSE))</f>
        <v/>
      </c>
      <c r="AK35" s="22"/>
      <c r="AL35" s="22" t="str">
        <f>IF(AK35="","",VLOOKUP(AK35,Verdivurdering!$B$2:$K$100,15,FALSE))</f>
        <v/>
      </c>
      <c r="AM35" s="22"/>
      <c r="AN35" s="22" t="str">
        <f>IF(AM35="","",VLOOKUP(AM35,Verdivurdering!$B$2:$K$100,15,FALSE))</f>
        <v/>
      </c>
      <c r="AO35" s="22"/>
      <c r="AP35" s="22" t="str">
        <f>IF(AO35="","",VLOOKUP(AO35,Verdivurdering!$B$2:$K$100,15,FALSE))</f>
        <v/>
      </c>
      <c r="AQ35" s="22"/>
      <c r="AR35" s="22" t="str">
        <f>IF(AQ35="","",VLOOKUP(AQ35,Verdivurdering!$B$2:$K$100,15,FALSE))</f>
        <v/>
      </c>
      <c r="AS35" s="22"/>
      <c r="AT35" s="22" t="str">
        <f>IF(AS35="","",VLOOKUP(AS35,Verdivurdering!$B$2:$K$100,15,FALSE))</f>
        <v/>
      </c>
      <c r="AU35" s="22"/>
      <c r="AV35" s="22" t="str">
        <f>IF(AU35="","",VLOOKUP(AU35,Verdivurdering!$B$2:$K$100,15,FALSE))</f>
        <v/>
      </c>
      <c r="AW35" s="22"/>
      <c r="AX35" s="21" t="str">
        <f>IF(AW35="","",VLOOKUP(AW35,Verdivurdering!$B$2:$K$100,15,FALSE))</f>
        <v/>
      </c>
      <c r="AY35" s="19" t="e">
        <f t="shared" si="1"/>
        <v>#N/A</v>
      </c>
      <c r="AZ35" s="19" t="str">
        <f>IF(ISNUMBER(AY35),VLOOKUP(AY35,'Datasource 2'!$H$14:$I$18,2,FALSE),"")</f>
        <v/>
      </c>
      <c r="BA35" s="39"/>
      <c r="BB35" s="27" t="e">
        <f>_xlfn.IFNA(VLOOKUP(BA35,'Datasource 2'!I$14:$J$18,2,FALSE),AY35)</f>
        <v>#N/A</v>
      </c>
    </row>
    <row r="36" spans="1:54" x14ac:dyDescent="0.25">
      <c r="A36" s="37">
        <v>35</v>
      </c>
      <c r="B36" s="23"/>
      <c r="C36" s="23"/>
      <c r="D36" s="23"/>
      <c r="E36" s="23"/>
      <c r="F36" s="23"/>
      <c r="G36" s="23"/>
      <c r="H36" s="23"/>
      <c r="I36" s="23"/>
      <c r="J36" s="23"/>
      <c r="K36" s="23"/>
      <c r="L36" s="23"/>
      <c r="M36" s="23"/>
      <c r="N36" s="23"/>
      <c r="O36" s="23"/>
      <c r="P36" s="23"/>
      <c r="Q36" s="23"/>
      <c r="R36" s="23"/>
      <c r="S36" s="23"/>
      <c r="T36" s="23"/>
      <c r="U36" s="23"/>
      <c r="V36" s="23"/>
      <c r="W36" s="23"/>
      <c r="X36" s="23"/>
      <c r="Y36" s="39"/>
      <c r="Z36" s="22" t="e">
        <f>VLOOKUP(Y36,'Datasource 2'!$I$14:$J$18,2,FALSE)</f>
        <v>#N/A</v>
      </c>
      <c r="AA36" s="22"/>
      <c r="AB36" s="22" t="str">
        <f>IF(AA36="","",VLOOKUP(AA36,Verdivurdering!$B$2:$K$100,15,FALSE))</f>
        <v/>
      </c>
      <c r="AC36" s="22"/>
      <c r="AD36" s="22" t="str">
        <f>IF(AC36="","",VLOOKUP(AC36,Verdivurdering!$B$2:$K$100,15,FALSE))</f>
        <v/>
      </c>
      <c r="AE36" s="22"/>
      <c r="AF36" s="22" t="str">
        <f>IF(AE36="","",VLOOKUP(AE36,Verdivurdering!$B$2:$K$100,15,FALSE))</f>
        <v/>
      </c>
      <c r="AG36" s="22"/>
      <c r="AH36" s="22" t="str">
        <f>IF(AG36="","",VLOOKUP(AG36,Verdivurdering!$B$2:$K$100,15,FALSE))</f>
        <v/>
      </c>
      <c r="AI36" s="22"/>
      <c r="AJ36" s="22" t="str">
        <f>IF(AI36="","",VLOOKUP(AI36,Verdivurdering!$B$2:$K$100,15,FALSE))</f>
        <v/>
      </c>
      <c r="AK36" s="22"/>
      <c r="AL36" s="22" t="str">
        <f>IF(AK36="","",VLOOKUP(AK36,Verdivurdering!$B$2:$K$100,15,FALSE))</f>
        <v/>
      </c>
      <c r="AM36" s="22"/>
      <c r="AN36" s="22" t="str">
        <f>IF(AM36="","",VLOOKUP(AM36,Verdivurdering!$B$2:$K$100,15,FALSE))</f>
        <v/>
      </c>
      <c r="AO36" s="22"/>
      <c r="AP36" s="22" t="str">
        <f>IF(AO36="","",VLOOKUP(AO36,Verdivurdering!$B$2:$K$100,15,FALSE))</f>
        <v/>
      </c>
      <c r="AQ36" s="22"/>
      <c r="AR36" s="22" t="str">
        <f>IF(AQ36="","",VLOOKUP(AQ36,Verdivurdering!$B$2:$K$100,15,FALSE))</f>
        <v/>
      </c>
      <c r="AS36" s="22"/>
      <c r="AT36" s="22" t="str">
        <f>IF(AS36="","",VLOOKUP(AS36,Verdivurdering!$B$2:$K$100,15,FALSE))</f>
        <v/>
      </c>
      <c r="AU36" s="22"/>
      <c r="AV36" s="22" t="str">
        <f>IF(AU36="","",VLOOKUP(AU36,Verdivurdering!$B$2:$K$100,15,FALSE))</f>
        <v/>
      </c>
      <c r="AW36" s="22"/>
      <c r="AX36" s="21" t="str">
        <f>IF(AW36="","",VLOOKUP(AW36,Verdivurdering!$B$2:$K$100,15,FALSE))</f>
        <v/>
      </c>
      <c r="AY36" s="19" t="e">
        <f t="shared" si="1"/>
        <v>#N/A</v>
      </c>
      <c r="AZ36" s="19" t="str">
        <f>IF(ISNUMBER(AY36),VLOOKUP(AY36,'Datasource 2'!$H$14:$I$18,2,FALSE),"")</f>
        <v/>
      </c>
      <c r="BA36" s="39"/>
      <c r="BB36" s="27" t="e">
        <f>_xlfn.IFNA(VLOOKUP(BA36,'Datasource 2'!I$14:$J$18,2,FALSE),AY36)</f>
        <v>#N/A</v>
      </c>
    </row>
    <row r="37" spans="1:54" x14ac:dyDescent="0.25">
      <c r="A37" s="37">
        <v>36</v>
      </c>
      <c r="B37" s="23"/>
      <c r="C37" s="23"/>
      <c r="D37" s="23"/>
      <c r="E37" s="23"/>
      <c r="F37" s="23"/>
      <c r="G37" s="23"/>
      <c r="H37" s="23"/>
      <c r="I37" s="23"/>
      <c r="J37" s="23"/>
      <c r="K37" s="23"/>
      <c r="L37" s="23"/>
      <c r="M37" s="23"/>
      <c r="N37" s="23"/>
      <c r="O37" s="23"/>
      <c r="P37" s="23"/>
      <c r="Q37" s="23"/>
      <c r="R37" s="23"/>
      <c r="S37" s="23"/>
      <c r="T37" s="23"/>
      <c r="U37" s="23"/>
      <c r="V37" s="23"/>
      <c r="W37" s="23"/>
      <c r="X37" s="23"/>
      <c r="Y37" s="39"/>
      <c r="Z37" s="22" t="e">
        <f>VLOOKUP(Y37,'Datasource 2'!$I$14:$J$18,2,FALSE)</f>
        <v>#N/A</v>
      </c>
      <c r="AA37" s="22"/>
      <c r="AB37" s="22" t="str">
        <f>IF(AA37="","",VLOOKUP(AA37,Verdivurdering!$B$2:$K$100,15,FALSE))</f>
        <v/>
      </c>
      <c r="AC37" s="22"/>
      <c r="AD37" s="22" t="str">
        <f>IF(AC37="","",VLOOKUP(AC37,Verdivurdering!$B$2:$K$100,15,FALSE))</f>
        <v/>
      </c>
      <c r="AE37" s="22"/>
      <c r="AF37" s="22" t="str">
        <f>IF(AE37="","",VLOOKUP(AE37,Verdivurdering!$B$2:$K$100,15,FALSE))</f>
        <v/>
      </c>
      <c r="AG37" s="22"/>
      <c r="AH37" s="22" t="str">
        <f>IF(AG37="","",VLOOKUP(AG37,Verdivurdering!$B$2:$K$100,15,FALSE))</f>
        <v/>
      </c>
      <c r="AI37" s="22"/>
      <c r="AJ37" s="22" t="str">
        <f>IF(AI37="","",VLOOKUP(AI37,Verdivurdering!$B$2:$K$100,15,FALSE))</f>
        <v/>
      </c>
      <c r="AK37" s="22"/>
      <c r="AL37" s="22" t="str">
        <f>IF(AK37="","",VLOOKUP(AK37,Verdivurdering!$B$2:$K$100,15,FALSE))</f>
        <v/>
      </c>
      <c r="AM37" s="22"/>
      <c r="AN37" s="22" t="str">
        <f>IF(AM37="","",VLOOKUP(AM37,Verdivurdering!$B$2:$K$100,15,FALSE))</f>
        <v/>
      </c>
      <c r="AO37" s="22"/>
      <c r="AP37" s="22" t="str">
        <f>IF(AO37="","",VLOOKUP(AO37,Verdivurdering!$B$2:$K$100,15,FALSE))</f>
        <v/>
      </c>
      <c r="AQ37" s="22"/>
      <c r="AR37" s="22" t="str">
        <f>IF(AQ37="","",VLOOKUP(AQ37,Verdivurdering!$B$2:$K$100,15,FALSE))</f>
        <v/>
      </c>
      <c r="AS37" s="22"/>
      <c r="AT37" s="22" t="str">
        <f>IF(AS37="","",VLOOKUP(AS37,Verdivurdering!$B$2:$K$100,15,FALSE))</f>
        <v/>
      </c>
      <c r="AU37" s="22"/>
      <c r="AV37" s="22" t="str">
        <f>IF(AU37="","",VLOOKUP(AU37,Verdivurdering!$B$2:$K$100,15,FALSE))</f>
        <v/>
      </c>
      <c r="AW37" s="22"/>
      <c r="AX37" s="21" t="str">
        <f>IF(AW37="","",VLOOKUP(AW37,Verdivurdering!$B$2:$K$100,15,FALSE))</f>
        <v/>
      </c>
      <c r="AY37" s="19" t="e">
        <f t="shared" si="1"/>
        <v>#N/A</v>
      </c>
      <c r="AZ37" s="19" t="str">
        <f>IF(ISNUMBER(AY37),VLOOKUP(AY37,'Datasource 2'!$H$14:$I$18,2,FALSE),"")</f>
        <v/>
      </c>
      <c r="BA37" s="39"/>
      <c r="BB37" s="27" t="e">
        <f>_xlfn.IFNA(VLOOKUP(BA37,'Datasource 2'!I$14:$J$18,2,FALSE),AY37)</f>
        <v>#N/A</v>
      </c>
    </row>
    <row r="38" spans="1:54" x14ac:dyDescent="0.25">
      <c r="A38" s="37">
        <v>37</v>
      </c>
      <c r="B38" s="23"/>
      <c r="C38" s="23"/>
      <c r="D38" s="23"/>
      <c r="E38" s="23"/>
      <c r="F38" s="23"/>
      <c r="G38" s="23"/>
      <c r="H38" s="23"/>
      <c r="I38" s="23"/>
      <c r="J38" s="23"/>
      <c r="K38" s="23"/>
      <c r="L38" s="23"/>
      <c r="M38" s="23"/>
      <c r="N38" s="23"/>
      <c r="O38" s="23"/>
      <c r="P38" s="23"/>
      <c r="Q38" s="23"/>
      <c r="R38" s="23"/>
      <c r="S38" s="23"/>
      <c r="T38" s="23"/>
      <c r="U38" s="23"/>
      <c r="V38" s="23"/>
      <c r="W38" s="23"/>
      <c r="X38" s="23"/>
      <c r="Y38" s="39"/>
      <c r="Z38" s="22" t="e">
        <f>VLOOKUP(Y38,'Datasource 2'!$I$14:$J$18,2,FALSE)</f>
        <v>#N/A</v>
      </c>
      <c r="AA38" s="22"/>
      <c r="AB38" s="22" t="str">
        <f>IF(AA38="","",VLOOKUP(AA38,Verdivurdering!$B$2:$K$100,15,FALSE))</f>
        <v/>
      </c>
      <c r="AC38" s="22"/>
      <c r="AD38" s="22" t="str">
        <f>IF(AC38="","",VLOOKUP(AC38,Verdivurdering!$B$2:$K$100,15,FALSE))</f>
        <v/>
      </c>
      <c r="AE38" s="22"/>
      <c r="AF38" s="22" t="str">
        <f>IF(AE38="","",VLOOKUP(AE38,Verdivurdering!$B$2:$K$100,15,FALSE))</f>
        <v/>
      </c>
      <c r="AG38" s="22"/>
      <c r="AH38" s="22" t="str">
        <f>IF(AG38="","",VLOOKUP(AG38,Verdivurdering!$B$2:$K$100,15,FALSE))</f>
        <v/>
      </c>
      <c r="AI38" s="22"/>
      <c r="AJ38" s="22" t="str">
        <f>IF(AI38="","",VLOOKUP(AI38,Verdivurdering!$B$2:$K$100,15,FALSE))</f>
        <v/>
      </c>
      <c r="AK38" s="22"/>
      <c r="AL38" s="22" t="str">
        <f>IF(AK38="","",VLOOKUP(AK38,Verdivurdering!$B$2:$K$100,15,FALSE))</f>
        <v/>
      </c>
      <c r="AM38" s="22"/>
      <c r="AN38" s="22" t="str">
        <f>IF(AM38="","",VLOOKUP(AM38,Verdivurdering!$B$2:$K$100,15,FALSE))</f>
        <v/>
      </c>
      <c r="AO38" s="22"/>
      <c r="AP38" s="22" t="str">
        <f>IF(AO38="","",VLOOKUP(AO38,Verdivurdering!$B$2:$K$100,15,FALSE))</f>
        <v/>
      </c>
      <c r="AQ38" s="22"/>
      <c r="AR38" s="22" t="str">
        <f>IF(AQ38="","",VLOOKUP(AQ38,Verdivurdering!$B$2:$K$100,15,FALSE))</f>
        <v/>
      </c>
      <c r="AS38" s="22"/>
      <c r="AT38" s="22" t="str">
        <f>IF(AS38="","",VLOOKUP(AS38,Verdivurdering!$B$2:$K$100,15,FALSE))</f>
        <v/>
      </c>
      <c r="AU38" s="22"/>
      <c r="AV38" s="22" t="str">
        <f>IF(AU38="","",VLOOKUP(AU38,Verdivurdering!$B$2:$K$100,15,FALSE))</f>
        <v/>
      </c>
      <c r="AW38" s="22"/>
      <c r="AX38" s="21" t="str">
        <f>IF(AW38="","",VLOOKUP(AW38,Verdivurdering!$B$2:$K$100,15,FALSE))</f>
        <v/>
      </c>
      <c r="AY38" s="19" t="e">
        <f t="shared" si="1"/>
        <v>#N/A</v>
      </c>
      <c r="AZ38" s="19" t="str">
        <f>IF(ISNUMBER(AY38),VLOOKUP(AY38,'Datasource 2'!$H$14:$I$18,2,FALSE),"")</f>
        <v/>
      </c>
      <c r="BA38" s="39"/>
      <c r="BB38" s="27" t="e">
        <f>_xlfn.IFNA(VLOOKUP(BA38,'Datasource 2'!I$14:$J$18,2,FALSE),AY38)</f>
        <v>#N/A</v>
      </c>
    </row>
    <row r="39" spans="1:54" x14ac:dyDescent="0.25">
      <c r="A39" s="37">
        <v>38</v>
      </c>
      <c r="B39" s="23"/>
      <c r="C39" s="23"/>
      <c r="D39" s="23"/>
      <c r="E39" s="23"/>
      <c r="F39" s="23"/>
      <c r="G39" s="23"/>
      <c r="H39" s="23"/>
      <c r="I39" s="23"/>
      <c r="J39" s="23"/>
      <c r="K39" s="23"/>
      <c r="L39" s="23"/>
      <c r="M39" s="23"/>
      <c r="N39" s="23"/>
      <c r="O39" s="23"/>
      <c r="P39" s="23"/>
      <c r="Q39" s="23"/>
      <c r="R39" s="23"/>
      <c r="S39" s="23"/>
      <c r="T39" s="23"/>
      <c r="U39" s="23"/>
      <c r="V39" s="23"/>
      <c r="W39" s="23"/>
      <c r="X39" s="23"/>
      <c r="Y39" s="39"/>
      <c r="Z39" s="22" t="e">
        <f>VLOOKUP(Y39,'Datasource 2'!$I$14:$J$18,2,FALSE)</f>
        <v>#N/A</v>
      </c>
      <c r="AA39" s="22"/>
      <c r="AB39" s="22" t="str">
        <f>IF(AA39="","",VLOOKUP(AA39,Verdivurdering!$B$2:$K$100,15,FALSE))</f>
        <v/>
      </c>
      <c r="AC39" s="22"/>
      <c r="AD39" s="22" t="str">
        <f>IF(AC39="","",VLOOKUP(AC39,Verdivurdering!$B$2:$K$100,15,FALSE))</f>
        <v/>
      </c>
      <c r="AE39" s="22"/>
      <c r="AF39" s="22" t="str">
        <f>IF(AE39="","",VLOOKUP(AE39,Verdivurdering!$B$2:$K$100,15,FALSE))</f>
        <v/>
      </c>
      <c r="AG39" s="22"/>
      <c r="AH39" s="22" t="str">
        <f>IF(AG39="","",VLOOKUP(AG39,Verdivurdering!$B$2:$K$100,15,FALSE))</f>
        <v/>
      </c>
      <c r="AI39" s="22"/>
      <c r="AJ39" s="22" t="str">
        <f>IF(AI39="","",VLOOKUP(AI39,Verdivurdering!$B$2:$K$100,15,FALSE))</f>
        <v/>
      </c>
      <c r="AK39" s="22"/>
      <c r="AL39" s="22" t="str">
        <f>IF(AK39="","",VLOOKUP(AK39,Verdivurdering!$B$2:$K$100,15,FALSE))</f>
        <v/>
      </c>
      <c r="AM39" s="22"/>
      <c r="AN39" s="22" t="str">
        <f>IF(AM39="","",VLOOKUP(AM39,Verdivurdering!$B$2:$K$100,15,FALSE))</f>
        <v/>
      </c>
      <c r="AO39" s="22"/>
      <c r="AP39" s="22" t="str">
        <f>IF(AO39="","",VLOOKUP(AO39,Verdivurdering!$B$2:$K$100,15,FALSE))</f>
        <v/>
      </c>
      <c r="AQ39" s="22"/>
      <c r="AR39" s="22" t="str">
        <f>IF(AQ39="","",VLOOKUP(AQ39,Verdivurdering!$B$2:$K$100,15,FALSE))</f>
        <v/>
      </c>
      <c r="AS39" s="22"/>
      <c r="AT39" s="22" t="str">
        <f>IF(AS39="","",VLOOKUP(AS39,Verdivurdering!$B$2:$K$100,15,FALSE))</f>
        <v/>
      </c>
      <c r="AU39" s="22"/>
      <c r="AV39" s="22" t="str">
        <f>IF(AU39="","",VLOOKUP(AU39,Verdivurdering!$B$2:$K$100,15,FALSE))</f>
        <v/>
      </c>
      <c r="AW39" s="22"/>
      <c r="AX39" s="21" t="str">
        <f>IF(AW39="","",VLOOKUP(AW39,Verdivurdering!$B$2:$K$100,15,FALSE))</f>
        <v/>
      </c>
      <c r="AY39" s="19" t="e">
        <f t="shared" si="1"/>
        <v>#N/A</v>
      </c>
      <c r="AZ39" s="19" t="str">
        <f>IF(ISNUMBER(AY39),VLOOKUP(AY39,'Datasource 2'!$H$14:$I$18,2,FALSE),"")</f>
        <v/>
      </c>
      <c r="BA39" s="39"/>
      <c r="BB39" s="27" t="e">
        <f>_xlfn.IFNA(VLOOKUP(BA39,'Datasource 2'!I$14:$J$18,2,FALSE),AY39)</f>
        <v>#N/A</v>
      </c>
    </row>
    <row r="40" spans="1:54" x14ac:dyDescent="0.25">
      <c r="A40" s="37">
        <v>39</v>
      </c>
      <c r="B40" s="23"/>
      <c r="C40" s="23"/>
      <c r="D40" s="23"/>
      <c r="E40" s="23"/>
      <c r="F40" s="23"/>
      <c r="G40" s="23"/>
      <c r="H40" s="23"/>
      <c r="I40" s="23"/>
      <c r="J40" s="23"/>
      <c r="K40" s="23"/>
      <c r="L40" s="23"/>
      <c r="M40" s="23"/>
      <c r="N40" s="23"/>
      <c r="O40" s="23"/>
      <c r="P40" s="23"/>
      <c r="Q40" s="23"/>
      <c r="R40" s="23"/>
      <c r="S40" s="23"/>
      <c r="T40" s="23"/>
      <c r="U40" s="23"/>
      <c r="V40" s="23"/>
      <c r="W40" s="23"/>
      <c r="X40" s="23"/>
      <c r="Y40" s="39"/>
      <c r="Z40" s="22" t="e">
        <f>VLOOKUP(Y40,'Datasource 2'!$I$14:$J$18,2,FALSE)</f>
        <v>#N/A</v>
      </c>
      <c r="AA40" s="22"/>
      <c r="AB40" s="22" t="str">
        <f>IF(AA40="","",VLOOKUP(AA40,Verdivurdering!$B$2:$K$100,15,FALSE))</f>
        <v/>
      </c>
      <c r="AC40" s="22"/>
      <c r="AD40" s="22" t="str">
        <f>IF(AC40="","",VLOOKUP(AC40,Verdivurdering!$B$2:$K$100,15,FALSE))</f>
        <v/>
      </c>
      <c r="AE40" s="22"/>
      <c r="AF40" s="22" t="str">
        <f>IF(AE40="","",VLOOKUP(AE40,Verdivurdering!$B$2:$K$100,15,FALSE))</f>
        <v/>
      </c>
      <c r="AG40" s="22"/>
      <c r="AH40" s="22" t="str">
        <f>IF(AG40="","",VLOOKUP(AG40,Verdivurdering!$B$2:$K$100,15,FALSE))</f>
        <v/>
      </c>
      <c r="AI40" s="22"/>
      <c r="AJ40" s="22" t="str">
        <f>IF(AI40="","",VLOOKUP(AI40,Verdivurdering!$B$2:$K$100,15,FALSE))</f>
        <v/>
      </c>
      <c r="AK40" s="22"/>
      <c r="AL40" s="22" t="str">
        <f>IF(AK40="","",VLOOKUP(AK40,Verdivurdering!$B$2:$K$100,15,FALSE))</f>
        <v/>
      </c>
      <c r="AM40" s="22"/>
      <c r="AN40" s="22" t="str">
        <f>IF(AM40="","",VLOOKUP(AM40,Verdivurdering!$B$2:$K$100,15,FALSE))</f>
        <v/>
      </c>
      <c r="AO40" s="22"/>
      <c r="AP40" s="22" t="str">
        <f>IF(AO40="","",VLOOKUP(AO40,Verdivurdering!$B$2:$K$100,15,FALSE))</f>
        <v/>
      </c>
      <c r="AQ40" s="22"/>
      <c r="AR40" s="22" t="str">
        <f>IF(AQ40="","",VLOOKUP(AQ40,Verdivurdering!$B$2:$K$100,15,FALSE))</f>
        <v/>
      </c>
      <c r="AS40" s="22"/>
      <c r="AT40" s="22" t="str">
        <f>IF(AS40="","",VLOOKUP(AS40,Verdivurdering!$B$2:$K$100,15,FALSE))</f>
        <v/>
      </c>
      <c r="AU40" s="22"/>
      <c r="AV40" s="22" t="str">
        <f>IF(AU40="","",VLOOKUP(AU40,Verdivurdering!$B$2:$K$100,15,FALSE))</f>
        <v/>
      </c>
      <c r="AW40" s="22"/>
      <c r="AX40" s="21" t="str">
        <f>IF(AW40="","",VLOOKUP(AW40,Verdivurdering!$B$2:$K$100,15,FALSE))</f>
        <v/>
      </c>
      <c r="AY40" s="19" t="e">
        <f t="shared" si="1"/>
        <v>#N/A</v>
      </c>
      <c r="AZ40" s="19" t="str">
        <f>IF(ISNUMBER(AY40),VLOOKUP(AY40,'Datasource 2'!$H$14:$I$18,2,FALSE),"")</f>
        <v/>
      </c>
      <c r="BA40" s="39"/>
      <c r="BB40" s="27" t="e">
        <f>_xlfn.IFNA(VLOOKUP(BA40,'Datasource 2'!I$14:$J$18,2,FALSE),AY40)</f>
        <v>#N/A</v>
      </c>
    </row>
    <row r="41" spans="1:54" x14ac:dyDescent="0.25">
      <c r="A41" s="37">
        <v>40</v>
      </c>
      <c r="B41" s="23"/>
      <c r="C41" s="23"/>
      <c r="D41" s="23"/>
      <c r="E41" s="23"/>
      <c r="F41" s="23"/>
      <c r="G41" s="23"/>
      <c r="H41" s="23"/>
      <c r="I41" s="23"/>
      <c r="J41" s="23"/>
      <c r="K41" s="23"/>
      <c r="L41" s="23"/>
      <c r="M41" s="23"/>
      <c r="N41" s="23"/>
      <c r="O41" s="23"/>
      <c r="P41" s="23"/>
      <c r="Q41" s="23"/>
      <c r="R41" s="23"/>
      <c r="S41" s="23"/>
      <c r="T41" s="23"/>
      <c r="U41" s="23"/>
      <c r="V41" s="23"/>
      <c r="W41" s="23"/>
      <c r="X41" s="23"/>
      <c r="Y41" s="39"/>
      <c r="Z41" s="22" t="e">
        <f>VLOOKUP(Y41,'Datasource 2'!$I$14:$J$18,2,FALSE)</f>
        <v>#N/A</v>
      </c>
      <c r="AA41" s="22"/>
      <c r="AB41" s="22" t="str">
        <f>IF(AA41="","",VLOOKUP(AA41,Verdivurdering!$B$2:$K$100,15,FALSE))</f>
        <v/>
      </c>
      <c r="AC41" s="22"/>
      <c r="AD41" s="22" t="str">
        <f>IF(AC41="","",VLOOKUP(AC41,Verdivurdering!$B$2:$K$100,15,FALSE))</f>
        <v/>
      </c>
      <c r="AE41" s="22"/>
      <c r="AF41" s="22" t="str">
        <f>IF(AE41="","",VLOOKUP(AE41,Verdivurdering!$B$2:$K$100,15,FALSE))</f>
        <v/>
      </c>
      <c r="AG41" s="22"/>
      <c r="AH41" s="22" t="str">
        <f>IF(AG41="","",VLOOKUP(AG41,Verdivurdering!$B$2:$K$100,15,FALSE))</f>
        <v/>
      </c>
      <c r="AI41" s="22"/>
      <c r="AJ41" s="22" t="str">
        <f>IF(AI41="","",VLOOKUP(AI41,Verdivurdering!$B$2:$K$100,15,FALSE))</f>
        <v/>
      </c>
      <c r="AK41" s="22"/>
      <c r="AL41" s="22" t="str">
        <f>IF(AK41="","",VLOOKUP(AK41,Verdivurdering!$B$2:$K$100,15,FALSE))</f>
        <v/>
      </c>
      <c r="AM41" s="22"/>
      <c r="AN41" s="22" t="str">
        <f>IF(AM41="","",VLOOKUP(AM41,Verdivurdering!$B$2:$K$100,15,FALSE))</f>
        <v/>
      </c>
      <c r="AO41" s="22"/>
      <c r="AP41" s="22" t="str">
        <f>IF(AO41="","",VLOOKUP(AO41,Verdivurdering!$B$2:$K$100,15,FALSE))</f>
        <v/>
      </c>
      <c r="AQ41" s="22"/>
      <c r="AR41" s="22" t="str">
        <f>IF(AQ41="","",VLOOKUP(AQ41,Verdivurdering!$B$2:$K$100,15,FALSE))</f>
        <v/>
      </c>
      <c r="AS41" s="22"/>
      <c r="AT41" s="22" t="str">
        <f>IF(AS41="","",VLOOKUP(AS41,Verdivurdering!$B$2:$K$100,15,FALSE))</f>
        <v/>
      </c>
      <c r="AU41" s="22"/>
      <c r="AV41" s="22" t="str">
        <f>IF(AU41="","",VLOOKUP(AU41,Verdivurdering!$B$2:$K$100,15,FALSE))</f>
        <v/>
      </c>
      <c r="AW41" s="22"/>
      <c r="AX41" s="21" t="str">
        <f>IF(AW41="","",VLOOKUP(AW41,Verdivurdering!$B$2:$K$100,15,FALSE))</f>
        <v/>
      </c>
      <c r="AY41" s="19" t="e">
        <f t="shared" si="1"/>
        <v>#N/A</v>
      </c>
      <c r="AZ41" s="19" t="str">
        <f>IF(ISNUMBER(AY41),VLOOKUP(AY41,'Datasource 2'!$H$14:$I$18,2,FALSE),"")</f>
        <v/>
      </c>
      <c r="BA41" s="39"/>
      <c r="BB41" s="27" t="e">
        <f>_xlfn.IFNA(VLOOKUP(BA41,'Datasource 2'!I$14:$J$18,2,FALSE),AY41)</f>
        <v>#N/A</v>
      </c>
    </row>
    <row r="42" spans="1:54" x14ac:dyDescent="0.25">
      <c r="A42" s="37">
        <v>41</v>
      </c>
      <c r="B42" s="23"/>
      <c r="C42" s="23"/>
      <c r="D42" s="23"/>
      <c r="E42" s="23"/>
      <c r="F42" s="23"/>
      <c r="G42" s="23"/>
      <c r="H42" s="23"/>
      <c r="I42" s="23"/>
      <c r="J42" s="23"/>
      <c r="K42" s="23"/>
      <c r="L42" s="23"/>
      <c r="M42" s="23"/>
      <c r="N42" s="23"/>
      <c r="O42" s="23"/>
      <c r="P42" s="23"/>
      <c r="Q42" s="23"/>
      <c r="R42" s="23"/>
      <c r="S42" s="23"/>
      <c r="T42" s="23"/>
      <c r="U42" s="23"/>
      <c r="V42" s="23"/>
      <c r="W42" s="23"/>
      <c r="X42" s="23"/>
      <c r="Y42" s="39"/>
      <c r="Z42" s="22" t="e">
        <f>VLOOKUP(Y42,'Datasource 2'!$I$14:$J$18,2,FALSE)</f>
        <v>#N/A</v>
      </c>
      <c r="AA42" s="22"/>
      <c r="AB42" s="22" t="str">
        <f>IF(AA42="","",VLOOKUP(AA42,Verdivurdering!$B$2:$K$100,15,FALSE))</f>
        <v/>
      </c>
      <c r="AC42" s="22"/>
      <c r="AD42" s="22" t="str">
        <f>IF(AC42="","",VLOOKUP(AC42,Verdivurdering!$B$2:$K$100,15,FALSE))</f>
        <v/>
      </c>
      <c r="AE42" s="22"/>
      <c r="AF42" s="22" t="str">
        <f>IF(AE42="","",VLOOKUP(AE42,Verdivurdering!$B$2:$K$100,15,FALSE))</f>
        <v/>
      </c>
      <c r="AG42" s="22"/>
      <c r="AH42" s="22" t="str">
        <f>IF(AG42="","",VLOOKUP(AG42,Verdivurdering!$B$2:$K$100,15,FALSE))</f>
        <v/>
      </c>
      <c r="AI42" s="22"/>
      <c r="AJ42" s="22" t="str">
        <f>IF(AI42="","",VLOOKUP(AI42,Verdivurdering!$B$2:$K$100,15,FALSE))</f>
        <v/>
      </c>
      <c r="AK42" s="22"/>
      <c r="AL42" s="22" t="str">
        <f>IF(AK42="","",VLOOKUP(AK42,Verdivurdering!$B$2:$K$100,15,FALSE))</f>
        <v/>
      </c>
      <c r="AM42" s="22"/>
      <c r="AN42" s="22" t="str">
        <f>IF(AM42="","",VLOOKUP(AM42,Verdivurdering!$B$2:$K$100,15,FALSE))</f>
        <v/>
      </c>
      <c r="AO42" s="22"/>
      <c r="AP42" s="22" t="str">
        <f>IF(AO42="","",VLOOKUP(AO42,Verdivurdering!$B$2:$K$100,15,FALSE))</f>
        <v/>
      </c>
      <c r="AQ42" s="22"/>
      <c r="AR42" s="22" t="str">
        <f>IF(AQ42="","",VLOOKUP(AQ42,Verdivurdering!$B$2:$K$100,15,FALSE))</f>
        <v/>
      </c>
      <c r="AS42" s="22"/>
      <c r="AT42" s="22" t="str">
        <f>IF(AS42="","",VLOOKUP(AS42,Verdivurdering!$B$2:$K$100,15,FALSE))</f>
        <v/>
      </c>
      <c r="AU42" s="22"/>
      <c r="AV42" s="22" t="str">
        <f>IF(AU42="","",VLOOKUP(AU42,Verdivurdering!$B$2:$K$100,15,FALSE))</f>
        <v/>
      </c>
      <c r="AW42" s="22"/>
      <c r="AX42" s="21" t="str">
        <f>IF(AW42="","",VLOOKUP(AW42,Verdivurdering!$B$2:$K$100,15,FALSE))</f>
        <v/>
      </c>
      <c r="AY42" s="19" t="e">
        <f t="shared" si="1"/>
        <v>#N/A</v>
      </c>
      <c r="AZ42" s="19" t="str">
        <f>IF(ISNUMBER(AY42),VLOOKUP(AY42,'Datasource 2'!$H$14:$I$18,2,FALSE),"")</f>
        <v/>
      </c>
      <c r="BA42" s="39"/>
      <c r="BB42" s="27" t="e">
        <f>_xlfn.IFNA(VLOOKUP(BA42,'Datasource 2'!I$14:$J$18,2,FALSE),AY42)</f>
        <v>#N/A</v>
      </c>
    </row>
    <row r="43" spans="1:54" x14ac:dyDescent="0.25">
      <c r="A43" s="37">
        <v>42</v>
      </c>
      <c r="B43" s="23"/>
      <c r="C43" s="23"/>
      <c r="D43" s="23"/>
      <c r="E43" s="23"/>
      <c r="F43" s="23"/>
      <c r="G43" s="23"/>
      <c r="H43" s="23"/>
      <c r="I43" s="23"/>
      <c r="J43" s="23"/>
      <c r="K43" s="23"/>
      <c r="L43" s="23"/>
      <c r="M43" s="23"/>
      <c r="N43" s="23"/>
      <c r="O43" s="23"/>
      <c r="P43" s="23"/>
      <c r="Q43" s="23"/>
      <c r="R43" s="23"/>
      <c r="S43" s="23"/>
      <c r="T43" s="23"/>
      <c r="U43" s="23"/>
      <c r="V43" s="23"/>
      <c r="W43" s="23"/>
      <c r="X43" s="23"/>
      <c r="Y43" s="39"/>
      <c r="Z43" s="22" t="e">
        <f>VLOOKUP(Y43,'Datasource 2'!$I$14:$J$18,2,FALSE)</f>
        <v>#N/A</v>
      </c>
      <c r="AA43" s="22"/>
      <c r="AB43" s="22" t="str">
        <f>IF(AA43="","",VLOOKUP(AA43,Verdivurdering!$B$2:$K$100,15,FALSE))</f>
        <v/>
      </c>
      <c r="AC43" s="22"/>
      <c r="AD43" s="22" t="str">
        <f>IF(AC43="","",VLOOKUP(AC43,Verdivurdering!$B$2:$K$100,15,FALSE))</f>
        <v/>
      </c>
      <c r="AE43" s="22"/>
      <c r="AF43" s="22" t="str">
        <f>IF(AE43="","",VLOOKUP(AE43,Verdivurdering!$B$2:$K$100,15,FALSE))</f>
        <v/>
      </c>
      <c r="AG43" s="22"/>
      <c r="AH43" s="22" t="str">
        <f>IF(AG43="","",VLOOKUP(AG43,Verdivurdering!$B$2:$K$100,15,FALSE))</f>
        <v/>
      </c>
      <c r="AI43" s="22"/>
      <c r="AJ43" s="22" t="str">
        <f>IF(AI43="","",VLOOKUP(AI43,Verdivurdering!$B$2:$K$100,15,FALSE))</f>
        <v/>
      </c>
      <c r="AK43" s="22"/>
      <c r="AL43" s="22" t="str">
        <f>IF(AK43="","",VLOOKUP(AK43,Verdivurdering!$B$2:$K$100,15,FALSE))</f>
        <v/>
      </c>
      <c r="AM43" s="22"/>
      <c r="AN43" s="22" t="str">
        <f>IF(AM43="","",VLOOKUP(AM43,Verdivurdering!$B$2:$K$100,15,FALSE))</f>
        <v/>
      </c>
      <c r="AO43" s="22"/>
      <c r="AP43" s="22" t="str">
        <f>IF(AO43="","",VLOOKUP(AO43,Verdivurdering!$B$2:$K$100,15,FALSE))</f>
        <v/>
      </c>
      <c r="AQ43" s="22"/>
      <c r="AR43" s="22" t="str">
        <f>IF(AQ43="","",VLOOKUP(AQ43,Verdivurdering!$B$2:$K$100,15,FALSE))</f>
        <v/>
      </c>
      <c r="AS43" s="22"/>
      <c r="AT43" s="22" t="str">
        <f>IF(AS43="","",VLOOKUP(AS43,Verdivurdering!$B$2:$K$100,15,FALSE))</f>
        <v/>
      </c>
      <c r="AU43" s="22"/>
      <c r="AV43" s="22" t="str">
        <f>IF(AU43="","",VLOOKUP(AU43,Verdivurdering!$B$2:$K$100,15,FALSE))</f>
        <v/>
      </c>
      <c r="AW43" s="22"/>
      <c r="AX43" s="21" t="str">
        <f>IF(AW43="","",VLOOKUP(AW43,Verdivurdering!$B$2:$K$100,15,FALSE))</f>
        <v/>
      </c>
      <c r="AY43" s="19" t="e">
        <f t="shared" si="1"/>
        <v>#N/A</v>
      </c>
      <c r="AZ43" s="19" t="str">
        <f>IF(ISNUMBER(AY43),VLOOKUP(AY43,'Datasource 2'!$H$14:$I$18,2,FALSE),"")</f>
        <v/>
      </c>
      <c r="BA43" s="39"/>
      <c r="BB43" s="27" t="e">
        <f>_xlfn.IFNA(VLOOKUP(BA43,'Datasource 2'!I$14:$J$18,2,FALSE),AY43)</f>
        <v>#N/A</v>
      </c>
    </row>
    <row r="44" spans="1:54" x14ac:dyDescent="0.25">
      <c r="A44" s="37">
        <v>43</v>
      </c>
      <c r="B44" s="23"/>
      <c r="C44" s="23"/>
      <c r="D44" s="23"/>
      <c r="E44" s="23"/>
      <c r="F44" s="23"/>
      <c r="G44" s="23"/>
      <c r="H44" s="23"/>
      <c r="I44" s="23"/>
      <c r="J44" s="23"/>
      <c r="K44" s="23"/>
      <c r="L44" s="23"/>
      <c r="M44" s="23"/>
      <c r="N44" s="23"/>
      <c r="O44" s="23"/>
      <c r="P44" s="23"/>
      <c r="Q44" s="23"/>
      <c r="R44" s="23"/>
      <c r="S44" s="23"/>
      <c r="T44" s="23"/>
      <c r="U44" s="23"/>
      <c r="V44" s="23"/>
      <c r="W44" s="23"/>
      <c r="X44" s="23"/>
      <c r="Y44" s="39"/>
      <c r="Z44" s="22" t="e">
        <f>VLOOKUP(Y44,'Datasource 2'!$I$14:$J$18,2,FALSE)</f>
        <v>#N/A</v>
      </c>
      <c r="AA44" s="22"/>
      <c r="AB44" s="22" t="str">
        <f>IF(AA44="","",VLOOKUP(AA44,Verdivurdering!$B$2:$K$100,15,FALSE))</f>
        <v/>
      </c>
      <c r="AC44" s="22"/>
      <c r="AD44" s="22" t="str">
        <f>IF(AC44="","",VLOOKUP(AC44,Verdivurdering!$B$2:$K$100,15,FALSE))</f>
        <v/>
      </c>
      <c r="AE44" s="22"/>
      <c r="AF44" s="22" t="str">
        <f>IF(AE44="","",VLOOKUP(AE44,Verdivurdering!$B$2:$K$100,15,FALSE))</f>
        <v/>
      </c>
      <c r="AG44" s="22"/>
      <c r="AH44" s="22" t="str">
        <f>IF(AG44="","",VLOOKUP(AG44,Verdivurdering!$B$2:$K$100,15,FALSE))</f>
        <v/>
      </c>
      <c r="AI44" s="22"/>
      <c r="AJ44" s="22" t="str">
        <f>IF(AI44="","",VLOOKUP(AI44,Verdivurdering!$B$2:$K$100,15,FALSE))</f>
        <v/>
      </c>
      <c r="AK44" s="22"/>
      <c r="AL44" s="22" t="str">
        <f>IF(AK44="","",VLOOKUP(AK44,Verdivurdering!$B$2:$K$100,15,FALSE))</f>
        <v/>
      </c>
      <c r="AM44" s="22"/>
      <c r="AN44" s="22" t="str">
        <f>IF(AM44="","",VLOOKUP(AM44,Verdivurdering!$B$2:$K$100,15,FALSE))</f>
        <v/>
      </c>
      <c r="AO44" s="22"/>
      <c r="AP44" s="22" t="str">
        <f>IF(AO44="","",VLOOKUP(AO44,Verdivurdering!$B$2:$K$100,15,FALSE))</f>
        <v/>
      </c>
      <c r="AQ44" s="22"/>
      <c r="AR44" s="22" t="str">
        <f>IF(AQ44="","",VLOOKUP(AQ44,Verdivurdering!$B$2:$K$100,15,FALSE))</f>
        <v/>
      </c>
      <c r="AS44" s="22"/>
      <c r="AT44" s="22" t="str">
        <f>IF(AS44="","",VLOOKUP(AS44,Verdivurdering!$B$2:$K$100,15,FALSE))</f>
        <v/>
      </c>
      <c r="AU44" s="22"/>
      <c r="AV44" s="22" t="str">
        <f>IF(AU44="","",VLOOKUP(AU44,Verdivurdering!$B$2:$K$100,15,FALSE))</f>
        <v/>
      </c>
      <c r="AW44" s="22"/>
      <c r="AX44" s="21" t="str">
        <f>IF(AW44="","",VLOOKUP(AW44,Verdivurdering!$B$2:$K$100,15,FALSE))</f>
        <v/>
      </c>
      <c r="AY44" s="19" t="e">
        <f t="shared" si="1"/>
        <v>#N/A</v>
      </c>
      <c r="AZ44" s="19" t="str">
        <f>IF(ISNUMBER(AY44),VLOOKUP(AY44,'Datasource 2'!$H$14:$I$18,2,FALSE),"")</f>
        <v/>
      </c>
      <c r="BA44" s="39"/>
      <c r="BB44" s="27" t="e">
        <f>_xlfn.IFNA(VLOOKUP(BA44,'Datasource 2'!I$14:$J$18,2,FALSE),AY44)</f>
        <v>#N/A</v>
      </c>
    </row>
    <row r="45" spans="1:54" x14ac:dyDescent="0.25">
      <c r="A45" s="37">
        <v>44</v>
      </c>
      <c r="B45" s="23"/>
      <c r="C45" s="23"/>
      <c r="D45" s="23"/>
      <c r="E45" s="23"/>
      <c r="F45" s="23"/>
      <c r="G45" s="23"/>
      <c r="H45" s="23"/>
      <c r="I45" s="23"/>
      <c r="J45" s="23"/>
      <c r="K45" s="23"/>
      <c r="L45" s="23"/>
      <c r="M45" s="23"/>
      <c r="N45" s="23"/>
      <c r="O45" s="23"/>
      <c r="P45" s="23"/>
      <c r="Q45" s="23"/>
      <c r="R45" s="23"/>
      <c r="S45" s="23"/>
      <c r="T45" s="23"/>
      <c r="U45" s="23"/>
      <c r="V45" s="23"/>
      <c r="W45" s="23"/>
      <c r="X45" s="23"/>
      <c r="Y45" s="39"/>
      <c r="Z45" s="22" t="e">
        <f>VLOOKUP(Y45,'Datasource 2'!$I$14:$J$18,2,FALSE)</f>
        <v>#N/A</v>
      </c>
      <c r="AA45" s="22"/>
      <c r="AB45" s="22" t="str">
        <f>IF(AA45="","",VLOOKUP(AA45,Verdivurdering!$B$2:$K$100,15,FALSE))</f>
        <v/>
      </c>
      <c r="AC45" s="22"/>
      <c r="AD45" s="22" t="str">
        <f>IF(AC45="","",VLOOKUP(AC45,Verdivurdering!$B$2:$K$100,15,FALSE))</f>
        <v/>
      </c>
      <c r="AE45" s="22"/>
      <c r="AF45" s="22" t="str">
        <f>IF(AE45="","",VLOOKUP(AE45,Verdivurdering!$B$2:$K$100,15,FALSE))</f>
        <v/>
      </c>
      <c r="AG45" s="22"/>
      <c r="AH45" s="22" t="str">
        <f>IF(AG45="","",VLOOKUP(AG45,Verdivurdering!$B$2:$K$100,15,FALSE))</f>
        <v/>
      </c>
      <c r="AI45" s="22"/>
      <c r="AJ45" s="22" t="str">
        <f>IF(AI45="","",VLOOKUP(AI45,Verdivurdering!$B$2:$K$100,15,FALSE))</f>
        <v/>
      </c>
      <c r="AK45" s="22"/>
      <c r="AL45" s="22" t="str">
        <f>IF(AK45="","",VLOOKUP(AK45,Verdivurdering!$B$2:$K$100,15,FALSE))</f>
        <v/>
      </c>
      <c r="AM45" s="22"/>
      <c r="AN45" s="22" t="str">
        <f>IF(AM45="","",VLOOKUP(AM45,Verdivurdering!$B$2:$K$100,15,FALSE))</f>
        <v/>
      </c>
      <c r="AO45" s="22"/>
      <c r="AP45" s="22" t="str">
        <f>IF(AO45="","",VLOOKUP(AO45,Verdivurdering!$B$2:$K$100,15,FALSE))</f>
        <v/>
      </c>
      <c r="AQ45" s="22"/>
      <c r="AR45" s="22" t="str">
        <f>IF(AQ45="","",VLOOKUP(AQ45,Verdivurdering!$B$2:$K$100,15,FALSE))</f>
        <v/>
      </c>
      <c r="AS45" s="22"/>
      <c r="AT45" s="22" t="str">
        <f>IF(AS45="","",VLOOKUP(AS45,Verdivurdering!$B$2:$K$100,15,FALSE))</f>
        <v/>
      </c>
      <c r="AU45" s="22"/>
      <c r="AV45" s="22" t="str">
        <f>IF(AU45="","",VLOOKUP(AU45,Verdivurdering!$B$2:$K$100,15,FALSE))</f>
        <v/>
      </c>
      <c r="AW45" s="22"/>
      <c r="AX45" s="21" t="str">
        <f>IF(AW45="","",VLOOKUP(AW45,Verdivurdering!$B$2:$K$100,15,FALSE))</f>
        <v/>
      </c>
      <c r="AY45" s="19" t="e">
        <f t="shared" si="1"/>
        <v>#N/A</v>
      </c>
      <c r="AZ45" s="19" t="str">
        <f>IF(ISNUMBER(AY45),VLOOKUP(AY45,'Datasource 2'!$H$14:$I$18,2,FALSE),"")</f>
        <v/>
      </c>
      <c r="BA45" s="39"/>
      <c r="BB45" s="27" t="e">
        <f>_xlfn.IFNA(VLOOKUP(BA45,'Datasource 2'!I$14:$J$18,2,FALSE),AY45)</f>
        <v>#N/A</v>
      </c>
    </row>
    <row r="46" spans="1:54" x14ac:dyDescent="0.25">
      <c r="A46" s="37">
        <v>45</v>
      </c>
      <c r="B46" s="23"/>
      <c r="C46" s="23"/>
      <c r="D46" s="23"/>
      <c r="E46" s="23"/>
      <c r="F46" s="23"/>
      <c r="G46" s="23"/>
      <c r="H46" s="23"/>
      <c r="I46" s="23"/>
      <c r="J46" s="23"/>
      <c r="K46" s="23"/>
      <c r="L46" s="23"/>
      <c r="M46" s="23"/>
      <c r="N46" s="23"/>
      <c r="O46" s="23"/>
      <c r="P46" s="23"/>
      <c r="Q46" s="23"/>
      <c r="R46" s="23"/>
      <c r="S46" s="23"/>
      <c r="T46" s="23"/>
      <c r="U46" s="23"/>
      <c r="V46" s="23"/>
      <c r="W46" s="23"/>
      <c r="X46" s="23"/>
      <c r="Y46" s="39"/>
      <c r="Z46" s="22" t="e">
        <f>VLOOKUP(Y46,'Datasource 2'!$I$14:$J$18,2,FALSE)</f>
        <v>#N/A</v>
      </c>
      <c r="AA46" s="22"/>
      <c r="AB46" s="22" t="str">
        <f>IF(AA46="","",VLOOKUP(AA46,Verdivurdering!$B$2:$K$100,15,FALSE))</f>
        <v/>
      </c>
      <c r="AC46" s="22"/>
      <c r="AD46" s="22" t="str">
        <f>IF(AC46="","",VLOOKUP(AC46,Verdivurdering!$B$2:$K$100,15,FALSE))</f>
        <v/>
      </c>
      <c r="AE46" s="22"/>
      <c r="AF46" s="22" t="str">
        <f>IF(AE46="","",VLOOKUP(AE46,Verdivurdering!$B$2:$K$100,15,FALSE))</f>
        <v/>
      </c>
      <c r="AG46" s="22"/>
      <c r="AH46" s="22" t="str">
        <f>IF(AG46="","",VLOOKUP(AG46,Verdivurdering!$B$2:$K$100,15,FALSE))</f>
        <v/>
      </c>
      <c r="AI46" s="22"/>
      <c r="AJ46" s="22" t="str">
        <f>IF(AI46="","",VLOOKUP(AI46,Verdivurdering!$B$2:$K$100,15,FALSE))</f>
        <v/>
      </c>
      <c r="AK46" s="22"/>
      <c r="AL46" s="22" t="str">
        <f>IF(AK46="","",VLOOKUP(AK46,Verdivurdering!$B$2:$K$100,15,FALSE))</f>
        <v/>
      </c>
      <c r="AM46" s="22"/>
      <c r="AN46" s="22" t="str">
        <f>IF(AM46="","",VLOOKUP(AM46,Verdivurdering!$B$2:$K$100,15,FALSE))</f>
        <v/>
      </c>
      <c r="AO46" s="22"/>
      <c r="AP46" s="22" t="str">
        <f>IF(AO46="","",VLOOKUP(AO46,Verdivurdering!$B$2:$K$100,15,FALSE))</f>
        <v/>
      </c>
      <c r="AQ46" s="22"/>
      <c r="AR46" s="22" t="str">
        <f>IF(AQ46="","",VLOOKUP(AQ46,Verdivurdering!$B$2:$K$100,15,FALSE))</f>
        <v/>
      </c>
      <c r="AS46" s="22"/>
      <c r="AT46" s="22" t="str">
        <f>IF(AS46="","",VLOOKUP(AS46,Verdivurdering!$B$2:$K$100,15,FALSE))</f>
        <v/>
      </c>
      <c r="AU46" s="22"/>
      <c r="AV46" s="22" t="str">
        <f>IF(AU46="","",VLOOKUP(AU46,Verdivurdering!$B$2:$K$100,15,FALSE))</f>
        <v/>
      </c>
      <c r="AW46" s="22"/>
      <c r="AX46" s="21" t="str">
        <f>IF(AW46="","",VLOOKUP(AW46,Verdivurdering!$B$2:$K$100,15,FALSE))</f>
        <v/>
      </c>
      <c r="AY46" s="19" t="e">
        <f t="shared" si="1"/>
        <v>#N/A</v>
      </c>
      <c r="AZ46" s="19" t="str">
        <f>IF(ISNUMBER(AY46),VLOOKUP(AY46,'Datasource 2'!$H$14:$I$18,2,FALSE),"")</f>
        <v/>
      </c>
      <c r="BA46" s="39"/>
      <c r="BB46" s="27" t="e">
        <f>_xlfn.IFNA(VLOOKUP(BA46,'Datasource 2'!I$14:$J$18,2,FALSE),AY46)</f>
        <v>#N/A</v>
      </c>
    </row>
    <row r="47" spans="1:54" x14ac:dyDescent="0.25">
      <c r="A47" s="37">
        <v>46</v>
      </c>
      <c r="B47" s="23"/>
      <c r="C47" s="23"/>
      <c r="D47" s="23"/>
      <c r="E47" s="23"/>
      <c r="F47" s="23"/>
      <c r="G47" s="23"/>
      <c r="H47" s="23"/>
      <c r="I47" s="23"/>
      <c r="J47" s="23"/>
      <c r="K47" s="23"/>
      <c r="L47" s="23"/>
      <c r="M47" s="23"/>
      <c r="N47" s="23"/>
      <c r="O47" s="23"/>
      <c r="P47" s="23"/>
      <c r="Q47" s="23"/>
      <c r="R47" s="23"/>
      <c r="S47" s="23"/>
      <c r="T47" s="23"/>
      <c r="U47" s="23"/>
      <c r="V47" s="23"/>
      <c r="W47" s="23"/>
      <c r="X47" s="23"/>
      <c r="Y47" s="39"/>
      <c r="Z47" s="22" t="e">
        <f>VLOOKUP(Y47,'Datasource 2'!$I$14:$J$18,2,FALSE)</f>
        <v>#N/A</v>
      </c>
      <c r="AA47" s="22"/>
      <c r="AB47" s="22" t="str">
        <f>IF(AA47="","",VLOOKUP(AA47,Verdivurdering!$B$2:$K$100,15,FALSE))</f>
        <v/>
      </c>
      <c r="AC47" s="22"/>
      <c r="AD47" s="22" t="str">
        <f>IF(AC47="","",VLOOKUP(AC47,Verdivurdering!$B$2:$K$100,15,FALSE))</f>
        <v/>
      </c>
      <c r="AE47" s="22"/>
      <c r="AF47" s="22" t="str">
        <f>IF(AE47="","",VLOOKUP(AE47,Verdivurdering!$B$2:$K$100,15,FALSE))</f>
        <v/>
      </c>
      <c r="AG47" s="22"/>
      <c r="AH47" s="22" t="str">
        <f>IF(AG47="","",VLOOKUP(AG47,Verdivurdering!$B$2:$K$100,15,FALSE))</f>
        <v/>
      </c>
      <c r="AI47" s="22"/>
      <c r="AJ47" s="22" t="str">
        <f>IF(AI47="","",VLOOKUP(AI47,Verdivurdering!$B$2:$K$100,15,FALSE))</f>
        <v/>
      </c>
      <c r="AK47" s="22"/>
      <c r="AL47" s="22" t="str">
        <f>IF(AK47="","",VLOOKUP(AK47,Verdivurdering!$B$2:$K$100,15,FALSE))</f>
        <v/>
      </c>
      <c r="AM47" s="22"/>
      <c r="AN47" s="22" t="str">
        <f>IF(AM47="","",VLOOKUP(AM47,Verdivurdering!$B$2:$K$100,15,FALSE))</f>
        <v/>
      </c>
      <c r="AO47" s="22"/>
      <c r="AP47" s="22" t="str">
        <f>IF(AO47="","",VLOOKUP(AO47,Verdivurdering!$B$2:$K$100,15,FALSE))</f>
        <v/>
      </c>
      <c r="AQ47" s="22"/>
      <c r="AR47" s="22" t="str">
        <f>IF(AQ47="","",VLOOKUP(AQ47,Verdivurdering!$B$2:$K$100,15,FALSE))</f>
        <v/>
      </c>
      <c r="AS47" s="22"/>
      <c r="AT47" s="22" t="str">
        <f>IF(AS47="","",VLOOKUP(AS47,Verdivurdering!$B$2:$K$100,15,FALSE))</f>
        <v/>
      </c>
      <c r="AU47" s="22"/>
      <c r="AV47" s="22" t="str">
        <f>IF(AU47="","",VLOOKUP(AU47,Verdivurdering!$B$2:$K$100,15,FALSE))</f>
        <v/>
      </c>
      <c r="AW47" s="22"/>
      <c r="AX47" s="21" t="str">
        <f>IF(AW47="","",VLOOKUP(AW47,Verdivurdering!$B$2:$K$100,15,FALSE))</f>
        <v/>
      </c>
      <c r="AY47" s="19" t="e">
        <f t="shared" si="1"/>
        <v>#N/A</v>
      </c>
      <c r="AZ47" s="19" t="str">
        <f>IF(ISNUMBER(AY47),VLOOKUP(AY47,'Datasource 2'!$H$14:$I$18,2,FALSE),"")</f>
        <v/>
      </c>
      <c r="BA47" s="39"/>
      <c r="BB47" s="27" t="e">
        <f>_xlfn.IFNA(VLOOKUP(BA47,'Datasource 2'!I$14:$J$18,2,FALSE),AY47)</f>
        <v>#N/A</v>
      </c>
    </row>
    <row r="48" spans="1:54" x14ac:dyDescent="0.25">
      <c r="A48" s="37">
        <v>47</v>
      </c>
      <c r="B48" s="23"/>
      <c r="C48" s="23"/>
      <c r="D48" s="23"/>
      <c r="E48" s="23"/>
      <c r="F48" s="23"/>
      <c r="G48" s="23"/>
      <c r="H48" s="23"/>
      <c r="I48" s="23"/>
      <c r="J48" s="23"/>
      <c r="K48" s="23"/>
      <c r="L48" s="23"/>
      <c r="M48" s="23"/>
      <c r="N48" s="23"/>
      <c r="O48" s="23"/>
      <c r="P48" s="23"/>
      <c r="Q48" s="23"/>
      <c r="R48" s="23"/>
      <c r="S48" s="23"/>
      <c r="T48" s="23"/>
      <c r="U48" s="23"/>
      <c r="V48" s="23"/>
      <c r="W48" s="23"/>
      <c r="X48" s="23"/>
      <c r="Y48" s="39"/>
      <c r="Z48" s="22" t="e">
        <f>VLOOKUP(Y48,'Datasource 2'!$I$14:$J$18,2,FALSE)</f>
        <v>#N/A</v>
      </c>
      <c r="AA48" s="22"/>
      <c r="AB48" s="22" t="str">
        <f>IF(AA48="","",VLOOKUP(AA48,Verdivurdering!$B$2:$K$100,15,FALSE))</f>
        <v/>
      </c>
      <c r="AC48" s="22"/>
      <c r="AD48" s="22" t="str">
        <f>IF(AC48="","",VLOOKUP(AC48,Verdivurdering!$B$2:$K$100,15,FALSE))</f>
        <v/>
      </c>
      <c r="AE48" s="22"/>
      <c r="AF48" s="22" t="str">
        <f>IF(AE48="","",VLOOKUP(AE48,Verdivurdering!$B$2:$K$100,15,FALSE))</f>
        <v/>
      </c>
      <c r="AG48" s="22"/>
      <c r="AH48" s="22" t="str">
        <f>IF(AG48="","",VLOOKUP(AG48,Verdivurdering!$B$2:$K$100,15,FALSE))</f>
        <v/>
      </c>
      <c r="AI48" s="22"/>
      <c r="AJ48" s="22" t="str">
        <f>IF(AI48="","",VLOOKUP(AI48,Verdivurdering!$B$2:$K$100,15,FALSE))</f>
        <v/>
      </c>
      <c r="AK48" s="22"/>
      <c r="AL48" s="22" t="str">
        <f>IF(AK48="","",VLOOKUP(AK48,Verdivurdering!$B$2:$K$100,15,FALSE))</f>
        <v/>
      </c>
      <c r="AM48" s="22"/>
      <c r="AN48" s="22" t="str">
        <f>IF(AM48="","",VLOOKUP(AM48,Verdivurdering!$B$2:$K$100,15,FALSE))</f>
        <v/>
      </c>
      <c r="AO48" s="22"/>
      <c r="AP48" s="22" t="str">
        <f>IF(AO48="","",VLOOKUP(AO48,Verdivurdering!$B$2:$K$100,15,FALSE))</f>
        <v/>
      </c>
      <c r="AQ48" s="22"/>
      <c r="AR48" s="22" t="str">
        <f>IF(AQ48="","",VLOOKUP(AQ48,Verdivurdering!$B$2:$K$100,15,FALSE))</f>
        <v/>
      </c>
      <c r="AS48" s="22"/>
      <c r="AT48" s="22" t="str">
        <f>IF(AS48="","",VLOOKUP(AS48,Verdivurdering!$B$2:$K$100,15,FALSE))</f>
        <v/>
      </c>
      <c r="AU48" s="22"/>
      <c r="AV48" s="22" t="str">
        <f>IF(AU48="","",VLOOKUP(AU48,Verdivurdering!$B$2:$K$100,15,FALSE))</f>
        <v/>
      </c>
      <c r="AW48" s="22"/>
      <c r="AX48" s="21" t="str">
        <f>IF(AW48="","",VLOOKUP(AW48,Verdivurdering!$B$2:$K$100,15,FALSE))</f>
        <v/>
      </c>
      <c r="AY48" s="19" t="e">
        <f t="shared" si="1"/>
        <v>#N/A</v>
      </c>
      <c r="AZ48" s="19" t="str">
        <f>IF(ISNUMBER(AY48),VLOOKUP(AY48,'Datasource 2'!$H$14:$I$18,2,FALSE),"")</f>
        <v/>
      </c>
      <c r="BA48" s="39"/>
      <c r="BB48" s="27" t="e">
        <f>_xlfn.IFNA(VLOOKUP(BA48,'Datasource 2'!I$14:$J$18,2,FALSE),AY48)</f>
        <v>#N/A</v>
      </c>
    </row>
    <row r="49" spans="1:54" x14ac:dyDescent="0.25">
      <c r="A49" s="37">
        <v>48</v>
      </c>
      <c r="B49" s="23"/>
      <c r="C49" s="23"/>
      <c r="D49" s="23"/>
      <c r="E49" s="23"/>
      <c r="F49" s="23"/>
      <c r="G49" s="23"/>
      <c r="H49" s="23"/>
      <c r="I49" s="23"/>
      <c r="J49" s="23"/>
      <c r="K49" s="23"/>
      <c r="L49" s="23"/>
      <c r="M49" s="23"/>
      <c r="N49" s="23"/>
      <c r="O49" s="23"/>
      <c r="P49" s="23"/>
      <c r="Q49" s="23"/>
      <c r="R49" s="23"/>
      <c r="S49" s="23"/>
      <c r="T49" s="23"/>
      <c r="U49" s="23"/>
      <c r="V49" s="23"/>
      <c r="W49" s="23"/>
      <c r="X49" s="23"/>
      <c r="Y49" s="39"/>
      <c r="Z49" s="22" t="e">
        <f>VLOOKUP(Y49,'Datasource 2'!$I$14:$J$18,2,FALSE)</f>
        <v>#N/A</v>
      </c>
      <c r="AA49" s="22"/>
      <c r="AB49" s="22" t="str">
        <f>IF(AA49="","",VLOOKUP(AA49,Verdivurdering!$B$2:$K$100,15,FALSE))</f>
        <v/>
      </c>
      <c r="AC49" s="22"/>
      <c r="AD49" s="22" t="str">
        <f>IF(AC49="","",VLOOKUP(AC49,Verdivurdering!$B$2:$K$100,15,FALSE))</f>
        <v/>
      </c>
      <c r="AE49" s="22"/>
      <c r="AF49" s="22" t="str">
        <f>IF(AE49="","",VLOOKUP(AE49,Verdivurdering!$B$2:$K$100,15,FALSE))</f>
        <v/>
      </c>
      <c r="AG49" s="22"/>
      <c r="AH49" s="22" t="str">
        <f>IF(AG49="","",VLOOKUP(AG49,Verdivurdering!$B$2:$K$100,15,FALSE))</f>
        <v/>
      </c>
      <c r="AI49" s="22"/>
      <c r="AJ49" s="22" t="str">
        <f>IF(AI49="","",VLOOKUP(AI49,Verdivurdering!$B$2:$K$100,15,FALSE))</f>
        <v/>
      </c>
      <c r="AK49" s="22"/>
      <c r="AL49" s="22" t="str">
        <f>IF(AK49="","",VLOOKUP(AK49,Verdivurdering!$B$2:$K$100,15,FALSE))</f>
        <v/>
      </c>
      <c r="AM49" s="22"/>
      <c r="AN49" s="22" t="str">
        <f>IF(AM49="","",VLOOKUP(AM49,Verdivurdering!$B$2:$K$100,15,FALSE))</f>
        <v/>
      </c>
      <c r="AO49" s="22"/>
      <c r="AP49" s="22" t="str">
        <f>IF(AO49="","",VLOOKUP(AO49,Verdivurdering!$B$2:$K$100,15,FALSE))</f>
        <v/>
      </c>
      <c r="AQ49" s="22"/>
      <c r="AR49" s="22" t="str">
        <f>IF(AQ49="","",VLOOKUP(AQ49,Verdivurdering!$B$2:$K$100,15,FALSE))</f>
        <v/>
      </c>
      <c r="AS49" s="22"/>
      <c r="AT49" s="22" t="str">
        <f>IF(AS49="","",VLOOKUP(AS49,Verdivurdering!$B$2:$K$100,15,FALSE))</f>
        <v/>
      </c>
      <c r="AU49" s="22"/>
      <c r="AV49" s="22" t="str">
        <f>IF(AU49="","",VLOOKUP(AU49,Verdivurdering!$B$2:$K$100,15,FALSE))</f>
        <v/>
      </c>
      <c r="AW49" s="22"/>
      <c r="AX49" s="21" t="str">
        <f>IF(AW49="","",VLOOKUP(AW49,Verdivurdering!$B$2:$K$100,15,FALSE))</f>
        <v/>
      </c>
      <c r="AY49" s="19" t="e">
        <f t="shared" si="1"/>
        <v>#N/A</v>
      </c>
      <c r="AZ49" s="19" t="str">
        <f>IF(ISNUMBER(AY49),VLOOKUP(AY49,'Datasource 2'!$H$14:$I$18,2,FALSE),"")</f>
        <v/>
      </c>
      <c r="BA49" s="39"/>
      <c r="BB49" s="27" t="e">
        <f>_xlfn.IFNA(VLOOKUP(BA49,'Datasource 2'!I$14:$J$18,2,FALSE),AY49)</f>
        <v>#N/A</v>
      </c>
    </row>
    <row r="50" spans="1:54" x14ac:dyDescent="0.25">
      <c r="A50" s="37">
        <v>49</v>
      </c>
      <c r="B50" s="23"/>
      <c r="C50" s="23"/>
      <c r="D50" s="23"/>
      <c r="E50" s="23"/>
      <c r="F50" s="23"/>
      <c r="G50" s="23"/>
      <c r="H50" s="23"/>
      <c r="I50" s="23"/>
      <c r="J50" s="23"/>
      <c r="K50" s="23"/>
      <c r="L50" s="23"/>
      <c r="M50" s="23"/>
      <c r="N50" s="23"/>
      <c r="O50" s="23"/>
      <c r="P50" s="23"/>
      <c r="Q50" s="23"/>
      <c r="R50" s="23"/>
      <c r="S50" s="23"/>
      <c r="T50" s="23"/>
      <c r="U50" s="23"/>
      <c r="V50" s="23"/>
      <c r="W50" s="23"/>
      <c r="X50" s="23"/>
      <c r="Y50" s="39"/>
      <c r="Z50" s="22" t="e">
        <f>VLOOKUP(Y50,'Datasource 2'!$I$14:$J$18,2,FALSE)</f>
        <v>#N/A</v>
      </c>
      <c r="AA50" s="22"/>
      <c r="AB50" s="22" t="str">
        <f>IF(AA50="","",VLOOKUP(AA50,Verdivurdering!$B$2:$K$100,15,FALSE))</f>
        <v/>
      </c>
      <c r="AC50" s="22"/>
      <c r="AD50" s="22" t="str">
        <f>IF(AC50="","",VLOOKUP(AC50,Verdivurdering!$B$2:$K$100,15,FALSE))</f>
        <v/>
      </c>
      <c r="AE50" s="22"/>
      <c r="AF50" s="22" t="str">
        <f>IF(AE50="","",VLOOKUP(AE50,Verdivurdering!$B$2:$K$100,15,FALSE))</f>
        <v/>
      </c>
      <c r="AG50" s="22"/>
      <c r="AH50" s="22" t="str">
        <f>IF(AG50="","",VLOOKUP(AG50,Verdivurdering!$B$2:$K$100,15,FALSE))</f>
        <v/>
      </c>
      <c r="AI50" s="22"/>
      <c r="AJ50" s="22" t="str">
        <f>IF(AI50="","",VLOOKUP(AI50,Verdivurdering!$B$2:$K$100,15,FALSE))</f>
        <v/>
      </c>
      <c r="AK50" s="22"/>
      <c r="AL50" s="22" t="str">
        <f>IF(AK50="","",VLOOKUP(AK50,Verdivurdering!$B$2:$K$100,15,FALSE))</f>
        <v/>
      </c>
      <c r="AM50" s="22"/>
      <c r="AN50" s="22" t="str">
        <f>IF(AM50="","",VLOOKUP(AM50,Verdivurdering!$B$2:$K$100,15,FALSE))</f>
        <v/>
      </c>
      <c r="AO50" s="22"/>
      <c r="AP50" s="22" t="str">
        <f>IF(AO50="","",VLOOKUP(AO50,Verdivurdering!$B$2:$K$100,15,FALSE))</f>
        <v/>
      </c>
      <c r="AQ50" s="22"/>
      <c r="AR50" s="22" t="str">
        <f>IF(AQ50="","",VLOOKUP(AQ50,Verdivurdering!$B$2:$K$100,15,FALSE))</f>
        <v/>
      </c>
      <c r="AS50" s="22"/>
      <c r="AT50" s="22" t="str">
        <f>IF(AS50="","",VLOOKUP(AS50,Verdivurdering!$B$2:$K$100,15,FALSE))</f>
        <v/>
      </c>
      <c r="AU50" s="22"/>
      <c r="AV50" s="22" t="str">
        <f>IF(AU50="","",VLOOKUP(AU50,Verdivurdering!$B$2:$K$100,15,FALSE))</f>
        <v/>
      </c>
      <c r="AW50" s="22"/>
      <c r="AX50" s="21" t="str">
        <f>IF(AW50="","",VLOOKUP(AW50,Verdivurdering!$B$2:$K$100,15,FALSE))</f>
        <v/>
      </c>
      <c r="AY50" s="19" t="e">
        <f t="shared" si="1"/>
        <v>#N/A</v>
      </c>
      <c r="AZ50" s="19" t="str">
        <f>IF(ISNUMBER(AY50),VLOOKUP(AY50,'Datasource 2'!$H$14:$I$18,2,FALSE),"")</f>
        <v/>
      </c>
      <c r="BA50" s="39"/>
      <c r="BB50" s="27" t="e">
        <f>_xlfn.IFNA(VLOOKUP(BA50,'Datasource 2'!I$14:$J$18,2,FALSE),AY50)</f>
        <v>#N/A</v>
      </c>
    </row>
    <row r="51" spans="1:54" x14ac:dyDescent="0.25">
      <c r="A51" s="37">
        <v>50</v>
      </c>
      <c r="B51" s="23"/>
      <c r="C51" s="23"/>
      <c r="D51" s="23"/>
      <c r="E51" s="23"/>
      <c r="F51" s="23"/>
      <c r="G51" s="23"/>
      <c r="H51" s="23"/>
      <c r="I51" s="23"/>
      <c r="J51" s="23"/>
      <c r="K51" s="23"/>
      <c r="L51" s="23"/>
      <c r="M51" s="23"/>
      <c r="N51" s="23"/>
      <c r="O51" s="23"/>
      <c r="P51" s="23"/>
      <c r="Q51" s="23"/>
      <c r="R51" s="23"/>
      <c r="S51" s="23"/>
      <c r="T51" s="23"/>
      <c r="U51" s="23"/>
      <c r="V51" s="23"/>
      <c r="W51" s="23"/>
      <c r="X51" s="23"/>
      <c r="Y51" s="39"/>
      <c r="Z51" s="22" t="e">
        <f>VLOOKUP(Y51,'Datasource 2'!$I$14:$J$18,2,FALSE)</f>
        <v>#N/A</v>
      </c>
      <c r="AA51" s="22"/>
      <c r="AB51" s="22" t="str">
        <f>IF(AA51="","",VLOOKUP(AA51,Verdivurdering!$B$2:$K$100,15,FALSE))</f>
        <v/>
      </c>
      <c r="AC51" s="22"/>
      <c r="AD51" s="22" t="str">
        <f>IF(AC51="","",VLOOKUP(AC51,Verdivurdering!$B$2:$K$100,15,FALSE))</f>
        <v/>
      </c>
      <c r="AE51" s="22"/>
      <c r="AF51" s="22" t="str">
        <f>IF(AE51="","",VLOOKUP(AE51,Verdivurdering!$B$2:$K$100,15,FALSE))</f>
        <v/>
      </c>
      <c r="AG51" s="22"/>
      <c r="AH51" s="22" t="str">
        <f>IF(AG51="","",VLOOKUP(AG51,Verdivurdering!$B$2:$K$100,15,FALSE))</f>
        <v/>
      </c>
      <c r="AI51" s="22"/>
      <c r="AJ51" s="22" t="str">
        <f>IF(AI51="","",VLOOKUP(AI51,Verdivurdering!$B$2:$K$100,15,FALSE))</f>
        <v/>
      </c>
      <c r="AK51" s="22"/>
      <c r="AL51" s="22" t="str">
        <f>IF(AK51="","",VLOOKUP(AK51,Verdivurdering!$B$2:$K$100,15,FALSE))</f>
        <v/>
      </c>
      <c r="AM51" s="22"/>
      <c r="AN51" s="22" t="str">
        <f>IF(AM51="","",VLOOKUP(AM51,Verdivurdering!$B$2:$K$100,15,FALSE))</f>
        <v/>
      </c>
      <c r="AO51" s="22"/>
      <c r="AP51" s="22" t="str">
        <f>IF(AO51="","",VLOOKUP(AO51,Verdivurdering!$B$2:$K$100,15,FALSE))</f>
        <v/>
      </c>
      <c r="AQ51" s="22"/>
      <c r="AR51" s="22" t="str">
        <f>IF(AQ51="","",VLOOKUP(AQ51,Verdivurdering!$B$2:$K$100,15,FALSE))</f>
        <v/>
      </c>
      <c r="AS51" s="22"/>
      <c r="AT51" s="22" t="str">
        <f>IF(AS51="","",VLOOKUP(AS51,Verdivurdering!$B$2:$K$100,15,FALSE))</f>
        <v/>
      </c>
      <c r="AU51" s="22"/>
      <c r="AV51" s="22" t="str">
        <f>IF(AU51="","",VLOOKUP(AU51,Verdivurdering!$B$2:$K$100,15,FALSE))</f>
        <v/>
      </c>
      <c r="AW51" s="22"/>
      <c r="AX51" s="21" t="str">
        <f>IF(AW51="","",VLOOKUP(AW51,Verdivurdering!$B$2:$K$100,15,FALSE))</f>
        <v/>
      </c>
      <c r="AY51" s="19" t="e">
        <f t="shared" si="1"/>
        <v>#N/A</v>
      </c>
      <c r="AZ51" s="19" t="str">
        <f>IF(ISNUMBER(AY51),VLOOKUP(AY51,'Datasource 2'!$H$14:$I$18,2,FALSE),"")</f>
        <v/>
      </c>
      <c r="BA51" s="39"/>
      <c r="BB51" s="27" t="e">
        <f>_xlfn.IFNA(VLOOKUP(BA51,'Datasource 2'!I$14:$J$18,2,FALSE),AY51)</f>
        <v>#N/A</v>
      </c>
    </row>
    <row r="52" spans="1:54" x14ac:dyDescent="0.25">
      <c r="A52" s="37">
        <v>51</v>
      </c>
      <c r="B52" s="23"/>
      <c r="C52" s="23"/>
      <c r="D52" s="23"/>
      <c r="E52" s="23"/>
      <c r="F52" s="23"/>
      <c r="G52" s="23"/>
      <c r="H52" s="23"/>
      <c r="I52" s="23"/>
      <c r="J52" s="23"/>
      <c r="K52" s="23"/>
      <c r="L52" s="23"/>
      <c r="M52" s="23"/>
      <c r="N52" s="23"/>
      <c r="O52" s="23"/>
      <c r="P52" s="23"/>
      <c r="Q52" s="23"/>
      <c r="R52" s="23"/>
      <c r="S52" s="23"/>
      <c r="T52" s="23"/>
      <c r="U52" s="23"/>
      <c r="V52" s="23"/>
      <c r="W52" s="23"/>
      <c r="X52" s="23"/>
      <c r="Y52" s="39"/>
      <c r="Z52" s="22" t="e">
        <f>VLOOKUP(Y52,'Datasource 2'!$I$14:$J$18,2,FALSE)</f>
        <v>#N/A</v>
      </c>
      <c r="AA52" s="22"/>
      <c r="AB52" s="22" t="str">
        <f>IF(AA52="","",VLOOKUP(AA52,Verdivurdering!$B$2:$K$100,15,FALSE))</f>
        <v/>
      </c>
      <c r="AC52" s="22"/>
      <c r="AD52" s="22" t="str">
        <f>IF(AC52="","",VLOOKUP(AC52,Verdivurdering!$B$2:$K$100,15,FALSE))</f>
        <v/>
      </c>
      <c r="AE52" s="22"/>
      <c r="AF52" s="22" t="str">
        <f>IF(AE52="","",VLOOKUP(AE52,Verdivurdering!$B$2:$K$100,15,FALSE))</f>
        <v/>
      </c>
      <c r="AG52" s="22"/>
      <c r="AH52" s="22" t="str">
        <f>IF(AG52="","",VLOOKUP(AG52,Verdivurdering!$B$2:$K$100,15,FALSE))</f>
        <v/>
      </c>
      <c r="AI52" s="22"/>
      <c r="AJ52" s="22" t="str">
        <f>IF(AI52="","",VLOOKUP(AI52,Verdivurdering!$B$2:$K$100,15,FALSE))</f>
        <v/>
      </c>
      <c r="AK52" s="22"/>
      <c r="AL52" s="22" t="str">
        <f>IF(AK52="","",VLOOKUP(AK52,Verdivurdering!$B$2:$K$100,15,FALSE))</f>
        <v/>
      </c>
      <c r="AM52" s="22"/>
      <c r="AN52" s="22" t="str">
        <f>IF(AM52="","",VLOOKUP(AM52,Verdivurdering!$B$2:$K$100,15,FALSE))</f>
        <v/>
      </c>
      <c r="AO52" s="22"/>
      <c r="AP52" s="22" t="str">
        <f>IF(AO52="","",VLOOKUP(AO52,Verdivurdering!$B$2:$K$100,15,FALSE))</f>
        <v/>
      </c>
      <c r="AQ52" s="22"/>
      <c r="AR52" s="22" t="str">
        <f>IF(AQ52="","",VLOOKUP(AQ52,Verdivurdering!$B$2:$K$100,15,FALSE))</f>
        <v/>
      </c>
      <c r="AS52" s="22"/>
      <c r="AT52" s="22" t="str">
        <f>IF(AS52="","",VLOOKUP(AS52,Verdivurdering!$B$2:$K$100,15,FALSE))</f>
        <v/>
      </c>
      <c r="AU52" s="22"/>
      <c r="AV52" s="22" t="str">
        <f>IF(AU52="","",VLOOKUP(AU52,Verdivurdering!$B$2:$K$100,15,FALSE))</f>
        <v/>
      </c>
      <c r="AW52" s="22"/>
      <c r="AX52" s="21" t="str">
        <f>IF(AW52="","",VLOOKUP(AW52,Verdivurdering!$B$2:$K$100,15,FALSE))</f>
        <v/>
      </c>
      <c r="AY52" s="19" t="e">
        <f t="shared" si="1"/>
        <v>#N/A</v>
      </c>
      <c r="AZ52" s="19" t="str">
        <f>IF(ISNUMBER(AY52),VLOOKUP(AY52,'Datasource 2'!$H$14:$I$18,2,FALSE),"")</f>
        <v/>
      </c>
      <c r="BA52" s="39"/>
      <c r="BB52" s="27" t="e">
        <f>_xlfn.IFNA(VLOOKUP(BA52,'Datasource 2'!I$14:$J$18,2,FALSE),AY52)</f>
        <v>#N/A</v>
      </c>
    </row>
    <row r="53" spans="1:54" x14ac:dyDescent="0.25">
      <c r="A53" s="37">
        <v>52</v>
      </c>
      <c r="B53" s="23"/>
      <c r="C53" s="23"/>
      <c r="D53" s="23"/>
      <c r="E53" s="23"/>
      <c r="F53" s="23"/>
      <c r="G53" s="23"/>
      <c r="H53" s="23"/>
      <c r="I53" s="23"/>
      <c r="J53" s="23"/>
      <c r="K53" s="23"/>
      <c r="L53" s="23"/>
      <c r="M53" s="23"/>
      <c r="N53" s="23"/>
      <c r="O53" s="23"/>
      <c r="P53" s="23"/>
      <c r="Q53" s="23"/>
      <c r="R53" s="23"/>
      <c r="S53" s="23"/>
      <c r="T53" s="23"/>
      <c r="U53" s="23"/>
      <c r="V53" s="23"/>
      <c r="W53" s="23"/>
      <c r="X53" s="23"/>
      <c r="Y53" s="39"/>
      <c r="Z53" s="22" t="e">
        <f>VLOOKUP(Y53,'Datasource 2'!$I$14:$J$18,2,FALSE)</f>
        <v>#N/A</v>
      </c>
      <c r="AA53" s="22"/>
      <c r="AB53" s="22" t="str">
        <f>IF(AA53="","",VLOOKUP(AA53,Verdivurdering!$B$2:$K$100,15,FALSE))</f>
        <v/>
      </c>
      <c r="AC53" s="22"/>
      <c r="AD53" s="22" t="str">
        <f>IF(AC53="","",VLOOKUP(AC53,Verdivurdering!$B$2:$K$100,15,FALSE))</f>
        <v/>
      </c>
      <c r="AE53" s="22"/>
      <c r="AF53" s="22" t="str">
        <f>IF(AE53="","",VLOOKUP(AE53,Verdivurdering!$B$2:$K$100,15,FALSE))</f>
        <v/>
      </c>
      <c r="AG53" s="22"/>
      <c r="AH53" s="22" t="str">
        <f>IF(AG53="","",VLOOKUP(AG53,Verdivurdering!$B$2:$K$100,15,FALSE))</f>
        <v/>
      </c>
      <c r="AI53" s="22"/>
      <c r="AJ53" s="22" t="str">
        <f>IF(AI53="","",VLOOKUP(AI53,Verdivurdering!$B$2:$K$100,15,FALSE))</f>
        <v/>
      </c>
      <c r="AK53" s="22"/>
      <c r="AL53" s="22" t="str">
        <f>IF(AK53="","",VLOOKUP(AK53,Verdivurdering!$B$2:$K$100,15,FALSE))</f>
        <v/>
      </c>
      <c r="AM53" s="22"/>
      <c r="AN53" s="22" t="str">
        <f>IF(AM53="","",VLOOKUP(AM53,Verdivurdering!$B$2:$K$100,15,FALSE))</f>
        <v/>
      </c>
      <c r="AO53" s="22"/>
      <c r="AP53" s="22" t="str">
        <f>IF(AO53="","",VLOOKUP(AO53,Verdivurdering!$B$2:$K$100,15,FALSE))</f>
        <v/>
      </c>
      <c r="AQ53" s="22"/>
      <c r="AR53" s="22" t="str">
        <f>IF(AQ53="","",VLOOKUP(AQ53,Verdivurdering!$B$2:$K$100,15,FALSE))</f>
        <v/>
      </c>
      <c r="AS53" s="22"/>
      <c r="AT53" s="22" t="str">
        <f>IF(AS53="","",VLOOKUP(AS53,Verdivurdering!$B$2:$K$100,15,FALSE))</f>
        <v/>
      </c>
      <c r="AU53" s="22"/>
      <c r="AV53" s="22" t="str">
        <f>IF(AU53="","",VLOOKUP(AU53,Verdivurdering!$B$2:$K$100,15,FALSE))</f>
        <v/>
      </c>
      <c r="AW53" s="22"/>
      <c r="AX53" s="21" t="str">
        <f>IF(AW53="","",VLOOKUP(AW53,Verdivurdering!$B$2:$K$100,15,FALSE))</f>
        <v/>
      </c>
      <c r="AY53" s="19" t="e">
        <f t="shared" si="1"/>
        <v>#N/A</v>
      </c>
      <c r="AZ53" s="19" t="str">
        <f>IF(ISNUMBER(AY53),VLOOKUP(AY53,'Datasource 2'!$H$14:$I$18,2,FALSE),"")</f>
        <v/>
      </c>
      <c r="BA53" s="39"/>
      <c r="BB53" s="27" t="e">
        <f>_xlfn.IFNA(VLOOKUP(BA53,'Datasource 2'!I$14:$J$18,2,FALSE),AY53)</f>
        <v>#N/A</v>
      </c>
    </row>
    <row r="54" spans="1:54" x14ac:dyDescent="0.25">
      <c r="A54" s="37">
        <v>53</v>
      </c>
      <c r="B54" s="23"/>
      <c r="C54" s="23"/>
      <c r="D54" s="23"/>
      <c r="E54" s="23"/>
      <c r="F54" s="23"/>
      <c r="G54" s="23"/>
      <c r="H54" s="23"/>
      <c r="I54" s="23"/>
      <c r="J54" s="23"/>
      <c r="K54" s="23"/>
      <c r="L54" s="23"/>
      <c r="M54" s="23"/>
      <c r="N54" s="23"/>
      <c r="O54" s="23"/>
      <c r="P54" s="23"/>
      <c r="Q54" s="23"/>
      <c r="R54" s="23"/>
      <c r="S54" s="23"/>
      <c r="T54" s="23"/>
      <c r="U54" s="23"/>
      <c r="V54" s="23"/>
      <c r="W54" s="23"/>
      <c r="X54" s="23"/>
      <c r="Y54" s="39"/>
      <c r="Z54" s="22" t="e">
        <f>VLOOKUP(Y54,'Datasource 2'!$I$14:$J$18,2,FALSE)</f>
        <v>#N/A</v>
      </c>
      <c r="AA54" s="22"/>
      <c r="AB54" s="22" t="str">
        <f>IF(AA54="","",VLOOKUP(AA54,Verdivurdering!$B$2:$K$100,15,FALSE))</f>
        <v/>
      </c>
      <c r="AC54" s="22"/>
      <c r="AD54" s="22" t="str">
        <f>IF(AC54="","",VLOOKUP(AC54,Verdivurdering!$B$2:$K$100,15,FALSE))</f>
        <v/>
      </c>
      <c r="AE54" s="22"/>
      <c r="AF54" s="22" t="str">
        <f>IF(AE54="","",VLOOKUP(AE54,Verdivurdering!$B$2:$K$100,15,FALSE))</f>
        <v/>
      </c>
      <c r="AG54" s="22"/>
      <c r="AH54" s="22" t="str">
        <f>IF(AG54="","",VLOOKUP(AG54,Verdivurdering!$B$2:$K$100,15,FALSE))</f>
        <v/>
      </c>
      <c r="AI54" s="22"/>
      <c r="AJ54" s="22" t="str">
        <f>IF(AI54="","",VLOOKUP(AI54,Verdivurdering!$B$2:$K$100,15,FALSE))</f>
        <v/>
      </c>
      <c r="AK54" s="22"/>
      <c r="AL54" s="22" t="str">
        <f>IF(AK54="","",VLOOKUP(AK54,Verdivurdering!$B$2:$K$100,15,FALSE))</f>
        <v/>
      </c>
      <c r="AM54" s="22"/>
      <c r="AN54" s="22" t="str">
        <f>IF(AM54="","",VLOOKUP(AM54,Verdivurdering!$B$2:$K$100,15,FALSE))</f>
        <v/>
      </c>
      <c r="AO54" s="22"/>
      <c r="AP54" s="22" t="str">
        <f>IF(AO54="","",VLOOKUP(AO54,Verdivurdering!$B$2:$K$100,15,FALSE))</f>
        <v/>
      </c>
      <c r="AQ54" s="22"/>
      <c r="AR54" s="22" t="str">
        <f>IF(AQ54="","",VLOOKUP(AQ54,Verdivurdering!$B$2:$K$100,15,FALSE))</f>
        <v/>
      </c>
      <c r="AS54" s="22"/>
      <c r="AT54" s="22" t="str">
        <f>IF(AS54="","",VLOOKUP(AS54,Verdivurdering!$B$2:$K$100,15,FALSE))</f>
        <v/>
      </c>
      <c r="AU54" s="22"/>
      <c r="AV54" s="22" t="str">
        <f>IF(AU54="","",VLOOKUP(AU54,Verdivurdering!$B$2:$K$100,15,FALSE))</f>
        <v/>
      </c>
      <c r="AW54" s="22"/>
      <c r="AX54" s="21" t="str">
        <f>IF(AW54="","",VLOOKUP(AW54,Verdivurdering!$B$2:$K$100,15,FALSE))</f>
        <v/>
      </c>
      <c r="AY54" s="19" t="e">
        <f t="shared" si="1"/>
        <v>#N/A</v>
      </c>
      <c r="AZ54" s="19" t="str">
        <f>IF(ISNUMBER(AY54),VLOOKUP(AY54,'Datasource 2'!$H$14:$I$18,2,FALSE),"")</f>
        <v/>
      </c>
      <c r="BA54" s="39"/>
      <c r="BB54" s="27" t="e">
        <f>_xlfn.IFNA(VLOOKUP(BA54,'Datasource 2'!I$14:$J$18,2,FALSE),AY54)</f>
        <v>#N/A</v>
      </c>
    </row>
    <row r="55" spans="1:54" x14ac:dyDescent="0.25">
      <c r="A55" s="37">
        <v>54</v>
      </c>
      <c r="B55" s="23"/>
      <c r="C55" s="23"/>
      <c r="D55" s="23"/>
      <c r="E55" s="23"/>
      <c r="F55" s="23"/>
      <c r="G55" s="23"/>
      <c r="H55" s="23"/>
      <c r="I55" s="23"/>
      <c r="J55" s="23"/>
      <c r="K55" s="23"/>
      <c r="L55" s="23"/>
      <c r="M55" s="23"/>
      <c r="N55" s="23"/>
      <c r="O55" s="23"/>
      <c r="P55" s="23"/>
      <c r="Q55" s="23"/>
      <c r="R55" s="23"/>
      <c r="S55" s="23"/>
      <c r="T55" s="23"/>
      <c r="U55" s="23"/>
      <c r="V55" s="23"/>
      <c r="W55" s="23"/>
      <c r="X55" s="23"/>
      <c r="Y55" s="39"/>
      <c r="Z55" s="22" t="e">
        <f>VLOOKUP(Y55,'Datasource 2'!$I$14:$J$18,2,FALSE)</f>
        <v>#N/A</v>
      </c>
      <c r="AA55" s="22"/>
      <c r="AB55" s="22" t="str">
        <f>IF(AA55="","",VLOOKUP(AA55,Verdivurdering!$B$2:$K$100,15,FALSE))</f>
        <v/>
      </c>
      <c r="AC55" s="22"/>
      <c r="AD55" s="22" t="str">
        <f>IF(AC55="","",VLOOKUP(AC55,Verdivurdering!$B$2:$K$100,15,FALSE))</f>
        <v/>
      </c>
      <c r="AE55" s="22"/>
      <c r="AF55" s="22" t="str">
        <f>IF(AE55="","",VLOOKUP(AE55,Verdivurdering!$B$2:$K$100,15,FALSE))</f>
        <v/>
      </c>
      <c r="AG55" s="22"/>
      <c r="AH55" s="22" t="str">
        <f>IF(AG55="","",VLOOKUP(AG55,Verdivurdering!$B$2:$K$100,15,FALSE))</f>
        <v/>
      </c>
      <c r="AI55" s="22"/>
      <c r="AJ55" s="22" t="str">
        <f>IF(AI55="","",VLOOKUP(AI55,Verdivurdering!$B$2:$K$100,15,FALSE))</f>
        <v/>
      </c>
      <c r="AK55" s="22"/>
      <c r="AL55" s="22" t="str">
        <f>IF(AK55="","",VLOOKUP(AK55,Verdivurdering!$B$2:$K$100,15,FALSE))</f>
        <v/>
      </c>
      <c r="AM55" s="22"/>
      <c r="AN55" s="22" t="str">
        <f>IF(AM55="","",VLOOKUP(AM55,Verdivurdering!$B$2:$K$100,15,FALSE))</f>
        <v/>
      </c>
      <c r="AO55" s="22"/>
      <c r="AP55" s="22" t="str">
        <f>IF(AO55="","",VLOOKUP(AO55,Verdivurdering!$B$2:$K$100,15,FALSE))</f>
        <v/>
      </c>
      <c r="AQ55" s="22"/>
      <c r="AR55" s="22" t="str">
        <f>IF(AQ55="","",VLOOKUP(AQ55,Verdivurdering!$B$2:$K$100,15,FALSE))</f>
        <v/>
      </c>
      <c r="AS55" s="22"/>
      <c r="AT55" s="22" t="str">
        <f>IF(AS55="","",VLOOKUP(AS55,Verdivurdering!$B$2:$K$100,15,FALSE))</f>
        <v/>
      </c>
      <c r="AU55" s="22"/>
      <c r="AV55" s="22" t="str">
        <f>IF(AU55="","",VLOOKUP(AU55,Verdivurdering!$B$2:$K$100,15,FALSE))</f>
        <v/>
      </c>
      <c r="AW55" s="22"/>
      <c r="AX55" s="21" t="str">
        <f>IF(AW55="","",VLOOKUP(AW55,Verdivurdering!$B$2:$K$100,15,FALSE))</f>
        <v/>
      </c>
      <c r="AY55" s="19" t="e">
        <f t="shared" si="1"/>
        <v>#N/A</v>
      </c>
      <c r="AZ55" s="19" t="str">
        <f>IF(ISNUMBER(AY55),VLOOKUP(AY55,'Datasource 2'!$H$14:$I$18,2,FALSE),"")</f>
        <v/>
      </c>
      <c r="BA55" s="39"/>
      <c r="BB55" s="27" t="e">
        <f>_xlfn.IFNA(VLOOKUP(BA55,'Datasource 2'!I$14:$J$18,2,FALSE),AY55)</f>
        <v>#N/A</v>
      </c>
    </row>
    <row r="56" spans="1:54" x14ac:dyDescent="0.25">
      <c r="A56" s="37">
        <v>55</v>
      </c>
      <c r="B56" s="23"/>
      <c r="C56" s="23"/>
      <c r="D56" s="23"/>
      <c r="E56" s="23"/>
      <c r="F56" s="23"/>
      <c r="G56" s="23"/>
      <c r="H56" s="23"/>
      <c r="I56" s="23"/>
      <c r="J56" s="23"/>
      <c r="K56" s="23"/>
      <c r="L56" s="23"/>
      <c r="M56" s="23"/>
      <c r="N56" s="23"/>
      <c r="O56" s="23"/>
      <c r="P56" s="23"/>
      <c r="Q56" s="23"/>
      <c r="R56" s="23"/>
      <c r="S56" s="23"/>
      <c r="T56" s="23"/>
      <c r="U56" s="23"/>
      <c r="V56" s="23"/>
      <c r="W56" s="23"/>
      <c r="X56" s="23"/>
      <c r="Y56" s="39"/>
      <c r="Z56" s="22" t="e">
        <f>VLOOKUP(Y56,'Datasource 2'!$I$14:$J$18,2,FALSE)</f>
        <v>#N/A</v>
      </c>
      <c r="AA56" s="22"/>
      <c r="AB56" s="22" t="str">
        <f>IF(AA56="","",VLOOKUP(AA56,Verdivurdering!$B$2:$K$100,15,FALSE))</f>
        <v/>
      </c>
      <c r="AC56" s="22"/>
      <c r="AD56" s="22" t="str">
        <f>IF(AC56="","",VLOOKUP(AC56,Verdivurdering!$B$2:$K$100,15,FALSE))</f>
        <v/>
      </c>
      <c r="AE56" s="22"/>
      <c r="AF56" s="22" t="str">
        <f>IF(AE56="","",VLOOKUP(AE56,Verdivurdering!$B$2:$K$100,15,FALSE))</f>
        <v/>
      </c>
      <c r="AG56" s="22"/>
      <c r="AH56" s="22" t="str">
        <f>IF(AG56="","",VLOOKUP(AG56,Verdivurdering!$B$2:$K$100,15,FALSE))</f>
        <v/>
      </c>
      <c r="AI56" s="22"/>
      <c r="AJ56" s="22" t="str">
        <f>IF(AI56="","",VLOOKUP(AI56,Verdivurdering!$B$2:$K$100,15,FALSE))</f>
        <v/>
      </c>
      <c r="AK56" s="22"/>
      <c r="AL56" s="22" t="str">
        <f>IF(AK56="","",VLOOKUP(AK56,Verdivurdering!$B$2:$K$100,15,FALSE))</f>
        <v/>
      </c>
      <c r="AM56" s="22"/>
      <c r="AN56" s="22" t="str">
        <f>IF(AM56="","",VLOOKUP(AM56,Verdivurdering!$B$2:$K$100,15,FALSE))</f>
        <v/>
      </c>
      <c r="AO56" s="22"/>
      <c r="AP56" s="22" t="str">
        <f>IF(AO56="","",VLOOKUP(AO56,Verdivurdering!$B$2:$K$100,15,FALSE))</f>
        <v/>
      </c>
      <c r="AQ56" s="22"/>
      <c r="AR56" s="22" t="str">
        <f>IF(AQ56="","",VLOOKUP(AQ56,Verdivurdering!$B$2:$K$100,15,FALSE))</f>
        <v/>
      </c>
      <c r="AS56" s="22"/>
      <c r="AT56" s="22" t="str">
        <f>IF(AS56="","",VLOOKUP(AS56,Verdivurdering!$B$2:$K$100,15,FALSE))</f>
        <v/>
      </c>
      <c r="AU56" s="22"/>
      <c r="AV56" s="22" t="str">
        <f>IF(AU56="","",VLOOKUP(AU56,Verdivurdering!$B$2:$K$100,15,FALSE))</f>
        <v/>
      </c>
      <c r="AW56" s="22"/>
      <c r="AX56" s="21" t="str">
        <f>IF(AW56="","",VLOOKUP(AW56,Verdivurdering!$B$2:$K$100,15,FALSE))</f>
        <v/>
      </c>
      <c r="AY56" s="19" t="e">
        <f t="shared" si="1"/>
        <v>#N/A</v>
      </c>
      <c r="AZ56" s="19" t="str">
        <f>IF(ISNUMBER(AY56),VLOOKUP(AY56,'Datasource 2'!$H$14:$I$18,2,FALSE),"")</f>
        <v/>
      </c>
      <c r="BA56" s="39"/>
      <c r="BB56" s="27" t="e">
        <f>_xlfn.IFNA(VLOOKUP(BA56,'Datasource 2'!I$14:$J$18,2,FALSE),AY56)</f>
        <v>#N/A</v>
      </c>
    </row>
    <row r="57" spans="1:54" x14ac:dyDescent="0.25">
      <c r="A57" s="37">
        <v>56</v>
      </c>
      <c r="B57" s="23"/>
      <c r="C57" s="23"/>
      <c r="D57" s="23"/>
      <c r="E57" s="23"/>
      <c r="F57" s="23"/>
      <c r="G57" s="23"/>
      <c r="H57" s="23"/>
      <c r="I57" s="23"/>
      <c r="J57" s="23"/>
      <c r="K57" s="23"/>
      <c r="L57" s="23"/>
      <c r="M57" s="23"/>
      <c r="N57" s="23"/>
      <c r="O57" s="23"/>
      <c r="P57" s="23"/>
      <c r="Q57" s="23"/>
      <c r="R57" s="23"/>
      <c r="S57" s="23"/>
      <c r="T57" s="23"/>
      <c r="U57" s="23"/>
      <c r="V57" s="23"/>
      <c r="W57" s="23"/>
      <c r="X57" s="23"/>
      <c r="Y57" s="39"/>
      <c r="Z57" s="22" t="e">
        <f>VLOOKUP(Y57,'Datasource 2'!$I$14:$J$18,2,FALSE)</f>
        <v>#N/A</v>
      </c>
      <c r="AA57" s="22"/>
      <c r="AB57" s="22" t="str">
        <f>IF(AA57="","",VLOOKUP(AA57,Verdivurdering!$B$2:$K$100,15,FALSE))</f>
        <v/>
      </c>
      <c r="AC57" s="22"/>
      <c r="AD57" s="22" t="str">
        <f>IF(AC57="","",VLOOKUP(AC57,Verdivurdering!$B$2:$K$100,15,FALSE))</f>
        <v/>
      </c>
      <c r="AE57" s="22"/>
      <c r="AF57" s="22" t="str">
        <f>IF(AE57="","",VLOOKUP(AE57,Verdivurdering!$B$2:$K$100,15,FALSE))</f>
        <v/>
      </c>
      <c r="AG57" s="22"/>
      <c r="AH57" s="22" t="str">
        <f>IF(AG57="","",VLOOKUP(AG57,Verdivurdering!$B$2:$K$100,15,FALSE))</f>
        <v/>
      </c>
      <c r="AI57" s="22"/>
      <c r="AJ57" s="22" t="str">
        <f>IF(AI57="","",VLOOKUP(AI57,Verdivurdering!$B$2:$K$100,15,FALSE))</f>
        <v/>
      </c>
      <c r="AK57" s="22"/>
      <c r="AL57" s="22" t="str">
        <f>IF(AK57="","",VLOOKUP(AK57,Verdivurdering!$B$2:$K$100,15,FALSE))</f>
        <v/>
      </c>
      <c r="AM57" s="22"/>
      <c r="AN57" s="22" t="str">
        <f>IF(AM57="","",VLOOKUP(AM57,Verdivurdering!$B$2:$K$100,15,FALSE))</f>
        <v/>
      </c>
      <c r="AO57" s="22"/>
      <c r="AP57" s="22" t="str">
        <f>IF(AO57="","",VLOOKUP(AO57,Verdivurdering!$B$2:$K$100,15,FALSE))</f>
        <v/>
      </c>
      <c r="AQ57" s="22"/>
      <c r="AR57" s="22" t="str">
        <f>IF(AQ57="","",VLOOKUP(AQ57,Verdivurdering!$B$2:$K$100,15,FALSE))</f>
        <v/>
      </c>
      <c r="AS57" s="22"/>
      <c r="AT57" s="22" t="str">
        <f>IF(AS57="","",VLOOKUP(AS57,Verdivurdering!$B$2:$K$100,15,FALSE))</f>
        <v/>
      </c>
      <c r="AU57" s="22"/>
      <c r="AV57" s="22" t="str">
        <f>IF(AU57="","",VLOOKUP(AU57,Verdivurdering!$B$2:$K$100,15,FALSE))</f>
        <v/>
      </c>
      <c r="AW57" s="22"/>
      <c r="AX57" s="21" t="str">
        <f>IF(AW57="","",VLOOKUP(AW57,Verdivurdering!$B$2:$K$100,15,FALSE))</f>
        <v/>
      </c>
      <c r="AY57" s="19" t="e">
        <f t="shared" si="1"/>
        <v>#N/A</v>
      </c>
      <c r="AZ57" s="19" t="str">
        <f>IF(ISNUMBER(AY57),VLOOKUP(AY57,'Datasource 2'!$H$14:$I$18,2,FALSE),"")</f>
        <v/>
      </c>
      <c r="BA57" s="39"/>
      <c r="BB57" s="27" t="e">
        <f>_xlfn.IFNA(VLOOKUP(BA57,'Datasource 2'!I$14:$J$18,2,FALSE),AY57)</f>
        <v>#N/A</v>
      </c>
    </row>
    <row r="58" spans="1:54" x14ac:dyDescent="0.25">
      <c r="A58" s="37">
        <v>57</v>
      </c>
      <c r="B58" s="23"/>
      <c r="C58" s="23"/>
      <c r="D58" s="23"/>
      <c r="E58" s="23"/>
      <c r="F58" s="23"/>
      <c r="G58" s="23"/>
      <c r="H58" s="23"/>
      <c r="I58" s="23"/>
      <c r="J58" s="23"/>
      <c r="K58" s="23"/>
      <c r="L58" s="23"/>
      <c r="M58" s="23"/>
      <c r="N58" s="23"/>
      <c r="O58" s="23"/>
      <c r="P58" s="23"/>
      <c r="Q58" s="23"/>
      <c r="R58" s="23"/>
      <c r="S58" s="23"/>
      <c r="T58" s="23"/>
      <c r="U58" s="23"/>
      <c r="V58" s="23"/>
      <c r="W58" s="23"/>
      <c r="X58" s="23"/>
      <c r="Y58" s="39"/>
      <c r="Z58" s="22" t="e">
        <f>VLOOKUP(Y58,'Datasource 2'!$I$14:$J$18,2,FALSE)</f>
        <v>#N/A</v>
      </c>
      <c r="AA58" s="22"/>
      <c r="AB58" s="22" t="str">
        <f>IF(AA58="","",VLOOKUP(AA58,Verdivurdering!$B$2:$K$100,15,FALSE))</f>
        <v/>
      </c>
      <c r="AC58" s="22"/>
      <c r="AD58" s="22" t="str">
        <f>IF(AC58="","",VLOOKUP(AC58,Verdivurdering!$B$2:$K$100,15,FALSE))</f>
        <v/>
      </c>
      <c r="AE58" s="22"/>
      <c r="AF58" s="22" t="str">
        <f>IF(AE58="","",VLOOKUP(AE58,Verdivurdering!$B$2:$K$100,15,FALSE))</f>
        <v/>
      </c>
      <c r="AG58" s="22"/>
      <c r="AH58" s="22" t="str">
        <f>IF(AG58="","",VLOOKUP(AG58,Verdivurdering!$B$2:$K$100,15,FALSE))</f>
        <v/>
      </c>
      <c r="AI58" s="22"/>
      <c r="AJ58" s="22" t="str">
        <f>IF(AI58="","",VLOOKUP(AI58,Verdivurdering!$B$2:$K$100,15,FALSE))</f>
        <v/>
      </c>
      <c r="AK58" s="22"/>
      <c r="AL58" s="22" t="str">
        <f>IF(AK58="","",VLOOKUP(AK58,Verdivurdering!$B$2:$K$100,15,FALSE))</f>
        <v/>
      </c>
      <c r="AM58" s="22"/>
      <c r="AN58" s="22" t="str">
        <f>IF(AM58="","",VLOOKUP(AM58,Verdivurdering!$B$2:$K$100,15,FALSE))</f>
        <v/>
      </c>
      <c r="AO58" s="22"/>
      <c r="AP58" s="22" t="str">
        <f>IF(AO58="","",VLOOKUP(AO58,Verdivurdering!$B$2:$K$100,15,FALSE))</f>
        <v/>
      </c>
      <c r="AQ58" s="22"/>
      <c r="AR58" s="22" t="str">
        <f>IF(AQ58="","",VLOOKUP(AQ58,Verdivurdering!$B$2:$K$100,15,FALSE))</f>
        <v/>
      </c>
      <c r="AS58" s="22"/>
      <c r="AT58" s="22" t="str">
        <f>IF(AS58="","",VLOOKUP(AS58,Verdivurdering!$B$2:$K$100,15,FALSE))</f>
        <v/>
      </c>
      <c r="AU58" s="22"/>
      <c r="AV58" s="22" t="str">
        <f>IF(AU58="","",VLOOKUP(AU58,Verdivurdering!$B$2:$K$100,15,FALSE))</f>
        <v/>
      </c>
      <c r="AW58" s="22"/>
      <c r="AX58" s="21" t="str">
        <f>IF(AW58="","",VLOOKUP(AW58,Verdivurdering!$B$2:$K$100,15,FALSE))</f>
        <v/>
      </c>
      <c r="AY58" s="19" t="e">
        <f t="shared" si="1"/>
        <v>#N/A</v>
      </c>
      <c r="AZ58" s="19" t="str">
        <f>IF(ISNUMBER(AY58),VLOOKUP(AY58,'Datasource 2'!$H$14:$I$18,2,FALSE),"")</f>
        <v/>
      </c>
      <c r="BA58" s="39"/>
      <c r="BB58" s="27" t="e">
        <f>_xlfn.IFNA(VLOOKUP(BA58,'Datasource 2'!I$14:$J$18,2,FALSE),AY58)</f>
        <v>#N/A</v>
      </c>
    </row>
    <row r="59" spans="1:54" x14ac:dyDescent="0.25">
      <c r="A59" s="37">
        <v>58</v>
      </c>
      <c r="B59" s="23"/>
      <c r="C59" s="23"/>
      <c r="D59" s="23"/>
      <c r="E59" s="23"/>
      <c r="F59" s="23"/>
      <c r="G59" s="23"/>
      <c r="H59" s="23"/>
      <c r="I59" s="23"/>
      <c r="J59" s="23"/>
      <c r="K59" s="23"/>
      <c r="L59" s="23"/>
      <c r="M59" s="23"/>
      <c r="N59" s="23"/>
      <c r="O59" s="23"/>
      <c r="P59" s="23"/>
      <c r="Q59" s="23"/>
      <c r="R59" s="23"/>
      <c r="S59" s="23"/>
      <c r="T59" s="23"/>
      <c r="U59" s="23"/>
      <c r="V59" s="23"/>
      <c r="W59" s="23"/>
      <c r="X59" s="23"/>
      <c r="Y59" s="39"/>
      <c r="Z59" s="22" t="e">
        <f>VLOOKUP(Y59,'Datasource 2'!$I$14:$J$18,2,FALSE)</f>
        <v>#N/A</v>
      </c>
      <c r="AA59" s="22"/>
      <c r="AB59" s="22" t="str">
        <f>IF(AA59="","",VLOOKUP(AA59,Verdivurdering!$B$2:$K$100,15,FALSE))</f>
        <v/>
      </c>
      <c r="AC59" s="22"/>
      <c r="AD59" s="22" t="str">
        <f>IF(AC59="","",VLOOKUP(AC59,Verdivurdering!$B$2:$K$100,15,FALSE))</f>
        <v/>
      </c>
      <c r="AE59" s="22"/>
      <c r="AF59" s="22" t="str">
        <f>IF(AE59="","",VLOOKUP(AE59,Verdivurdering!$B$2:$K$100,15,FALSE))</f>
        <v/>
      </c>
      <c r="AG59" s="22"/>
      <c r="AH59" s="22" t="str">
        <f>IF(AG59="","",VLOOKUP(AG59,Verdivurdering!$B$2:$K$100,15,FALSE))</f>
        <v/>
      </c>
      <c r="AI59" s="22"/>
      <c r="AJ59" s="22" t="str">
        <f>IF(AI59="","",VLOOKUP(AI59,Verdivurdering!$B$2:$K$100,15,FALSE))</f>
        <v/>
      </c>
      <c r="AK59" s="22"/>
      <c r="AL59" s="22" t="str">
        <f>IF(AK59="","",VLOOKUP(AK59,Verdivurdering!$B$2:$K$100,15,FALSE))</f>
        <v/>
      </c>
      <c r="AM59" s="22"/>
      <c r="AN59" s="22" t="str">
        <f>IF(AM59="","",VLOOKUP(AM59,Verdivurdering!$B$2:$K$100,15,FALSE))</f>
        <v/>
      </c>
      <c r="AO59" s="22"/>
      <c r="AP59" s="22" t="str">
        <f>IF(AO59="","",VLOOKUP(AO59,Verdivurdering!$B$2:$K$100,15,FALSE))</f>
        <v/>
      </c>
      <c r="AQ59" s="22"/>
      <c r="AR59" s="22" t="str">
        <f>IF(AQ59="","",VLOOKUP(AQ59,Verdivurdering!$B$2:$K$100,15,FALSE))</f>
        <v/>
      </c>
      <c r="AS59" s="22"/>
      <c r="AT59" s="22" t="str">
        <f>IF(AS59="","",VLOOKUP(AS59,Verdivurdering!$B$2:$K$100,15,FALSE))</f>
        <v/>
      </c>
      <c r="AU59" s="22"/>
      <c r="AV59" s="22" t="str">
        <f>IF(AU59="","",VLOOKUP(AU59,Verdivurdering!$B$2:$K$100,15,FALSE))</f>
        <v/>
      </c>
      <c r="AW59" s="22"/>
      <c r="AX59" s="21" t="str">
        <f>IF(AW59="","",VLOOKUP(AW59,Verdivurdering!$B$2:$K$100,15,FALSE))</f>
        <v/>
      </c>
      <c r="AY59" s="19" t="e">
        <f t="shared" si="1"/>
        <v>#N/A</v>
      </c>
      <c r="AZ59" s="19" t="str">
        <f>IF(ISNUMBER(AY59),VLOOKUP(AY59,'Datasource 2'!$H$14:$I$18,2,FALSE),"")</f>
        <v/>
      </c>
      <c r="BA59" s="39"/>
      <c r="BB59" s="27" t="e">
        <f>_xlfn.IFNA(VLOOKUP(BA59,'Datasource 2'!I$14:$J$18,2,FALSE),AY59)</f>
        <v>#N/A</v>
      </c>
    </row>
    <row r="60" spans="1:54" x14ac:dyDescent="0.25">
      <c r="A60" s="37">
        <v>59</v>
      </c>
      <c r="B60" s="23"/>
      <c r="C60" s="23"/>
      <c r="D60" s="23"/>
      <c r="E60" s="23"/>
      <c r="F60" s="23"/>
      <c r="G60" s="23"/>
      <c r="H60" s="23"/>
      <c r="I60" s="23"/>
      <c r="J60" s="23"/>
      <c r="K60" s="23"/>
      <c r="L60" s="23"/>
      <c r="M60" s="23"/>
      <c r="N60" s="23"/>
      <c r="O60" s="23"/>
      <c r="P60" s="23"/>
      <c r="Q60" s="23"/>
      <c r="R60" s="23"/>
      <c r="S60" s="23"/>
      <c r="T60" s="23"/>
      <c r="U60" s="23"/>
      <c r="V60" s="23"/>
      <c r="W60" s="23"/>
      <c r="X60" s="23"/>
      <c r="Y60" s="39"/>
      <c r="Z60" s="22" t="e">
        <f>VLOOKUP(Y60,'Datasource 2'!$I$14:$J$18,2,FALSE)</f>
        <v>#N/A</v>
      </c>
      <c r="AA60" s="22"/>
      <c r="AB60" s="22" t="str">
        <f>IF(AA60="","",VLOOKUP(AA60,Verdivurdering!$B$2:$K$100,15,FALSE))</f>
        <v/>
      </c>
      <c r="AC60" s="22"/>
      <c r="AD60" s="22" t="str">
        <f>IF(AC60="","",VLOOKUP(AC60,Verdivurdering!$B$2:$K$100,15,FALSE))</f>
        <v/>
      </c>
      <c r="AE60" s="22"/>
      <c r="AF60" s="22" t="str">
        <f>IF(AE60="","",VLOOKUP(AE60,Verdivurdering!$B$2:$K$100,15,FALSE))</f>
        <v/>
      </c>
      <c r="AG60" s="22"/>
      <c r="AH60" s="22" t="str">
        <f>IF(AG60="","",VLOOKUP(AG60,Verdivurdering!$B$2:$K$100,15,FALSE))</f>
        <v/>
      </c>
      <c r="AI60" s="22"/>
      <c r="AJ60" s="22" t="str">
        <f>IF(AI60="","",VLOOKUP(AI60,Verdivurdering!$B$2:$K$100,15,FALSE))</f>
        <v/>
      </c>
      <c r="AK60" s="22"/>
      <c r="AL60" s="22" t="str">
        <f>IF(AK60="","",VLOOKUP(AK60,Verdivurdering!$B$2:$K$100,15,FALSE))</f>
        <v/>
      </c>
      <c r="AM60" s="22"/>
      <c r="AN60" s="22" t="str">
        <f>IF(AM60="","",VLOOKUP(AM60,Verdivurdering!$B$2:$K$100,15,FALSE))</f>
        <v/>
      </c>
      <c r="AO60" s="22"/>
      <c r="AP60" s="22" t="str">
        <f>IF(AO60="","",VLOOKUP(AO60,Verdivurdering!$B$2:$K$100,15,FALSE))</f>
        <v/>
      </c>
      <c r="AQ60" s="22"/>
      <c r="AR60" s="22" t="str">
        <f>IF(AQ60="","",VLOOKUP(AQ60,Verdivurdering!$B$2:$K$100,15,FALSE))</f>
        <v/>
      </c>
      <c r="AS60" s="22"/>
      <c r="AT60" s="22" t="str">
        <f>IF(AS60="","",VLOOKUP(AS60,Verdivurdering!$B$2:$K$100,15,FALSE))</f>
        <v/>
      </c>
      <c r="AU60" s="22"/>
      <c r="AV60" s="22" t="str">
        <f>IF(AU60="","",VLOOKUP(AU60,Verdivurdering!$B$2:$K$100,15,FALSE))</f>
        <v/>
      </c>
      <c r="AW60" s="22"/>
      <c r="AX60" s="21" t="str">
        <f>IF(AW60="","",VLOOKUP(AW60,Verdivurdering!$B$2:$K$100,15,FALSE))</f>
        <v/>
      </c>
      <c r="AY60" s="19" t="e">
        <f t="shared" si="1"/>
        <v>#N/A</v>
      </c>
      <c r="AZ60" s="19" t="str">
        <f>IF(ISNUMBER(AY60),VLOOKUP(AY60,'Datasource 2'!$H$14:$I$18,2,FALSE),"")</f>
        <v/>
      </c>
      <c r="BA60" s="39"/>
      <c r="BB60" s="27" t="e">
        <f>_xlfn.IFNA(VLOOKUP(BA60,'Datasource 2'!I$14:$J$18,2,FALSE),AY60)</f>
        <v>#N/A</v>
      </c>
    </row>
    <row r="61" spans="1:54" x14ac:dyDescent="0.25">
      <c r="A61" s="37">
        <v>60</v>
      </c>
      <c r="B61" s="23"/>
      <c r="C61" s="23"/>
      <c r="D61" s="23"/>
      <c r="E61" s="23"/>
      <c r="F61" s="23"/>
      <c r="G61" s="23"/>
      <c r="H61" s="23"/>
      <c r="I61" s="23"/>
      <c r="J61" s="23"/>
      <c r="K61" s="23"/>
      <c r="L61" s="23"/>
      <c r="M61" s="23"/>
      <c r="N61" s="23"/>
      <c r="O61" s="23"/>
      <c r="P61" s="23"/>
      <c r="Q61" s="23"/>
      <c r="R61" s="23"/>
      <c r="S61" s="23"/>
      <c r="T61" s="23"/>
      <c r="U61" s="23"/>
      <c r="V61" s="23"/>
      <c r="W61" s="23"/>
      <c r="X61" s="23"/>
      <c r="Y61" s="39"/>
      <c r="Z61" s="22" t="e">
        <f>VLOOKUP(Y61,'Datasource 2'!$I$14:$J$18,2,FALSE)</f>
        <v>#N/A</v>
      </c>
      <c r="AA61" s="22"/>
      <c r="AB61" s="22" t="str">
        <f>IF(AA61="","",VLOOKUP(AA61,Verdivurdering!$B$2:$K$100,15,FALSE))</f>
        <v/>
      </c>
      <c r="AC61" s="22"/>
      <c r="AD61" s="22" t="str">
        <f>IF(AC61="","",VLOOKUP(AC61,Verdivurdering!$B$2:$K$100,15,FALSE))</f>
        <v/>
      </c>
      <c r="AE61" s="22"/>
      <c r="AF61" s="22" t="str">
        <f>IF(AE61="","",VLOOKUP(AE61,Verdivurdering!$B$2:$K$100,15,FALSE))</f>
        <v/>
      </c>
      <c r="AG61" s="22"/>
      <c r="AH61" s="22" t="str">
        <f>IF(AG61="","",VLOOKUP(AG61,Verdivurdering!$B$2:$K$100,15,FALSE))</f>
        <v/>
      </c>
      <c r="AI61" s="22"/>
      <c r="AJ61" s="22" t="str">
        <f>IF(AI61="","",VLOOKUP(AI61,Verdivurdering!$B$2:$K$100,15,FALSE))</f>
        <v/>
      </c>
      <c r="AK61" s="22"/>
      <c r="AL61" s="22" t="str">
        <f>IF(AK61="","",VLOOKUP(AK61,Verdivurdering!$B$2:$K$100,15,FALSE))</f>
        <v/>
      </c>
      <c r="AM61" s="22"/>
      <c r="AN61" s="22" t="str">
        <f>IF(AM61="","",VLOOKUP(AM61,Verdivurdering!$B$2:$K$100,15,FALSE))</f>
        <v/>
      </c>
      <c r="AO61" s="22"/>
      <c r="AP61" s="22" t="str">
        <f>IF(AO61="","",VLOOKUP(AO61,Verdivurdering!$B$2:$K$100,15,FALSE))</f>
        <v/>
      </c>
      <c r="AQ61" s="22"/>
      <c r="AR61" s="22" t="str">
        <f>IF(AQ61="","",VLOOKUP(AQ61,Verdivurdering!$B$2:$K$100,15,FALSE))</f>
        <v/>
      </c>
      <c r="AS61" s="22"/>
      <c r="AT61" s="22" t="str">
        <f>IF(AS61="","",VLOOKUP(AS61,Verdivurdering!$B$2:$K$100,15,FALSE))</f>
        <v/>
      </c>
      <c r="AU61" s="22"/>
      <c r="AV61" s="22" t="str">
        <f>IF(AU61="","",VLOOKUP(AU61,Verdivurdering!$B$2:$K$100,15,FALSE))</f>
        <v/>
      </c>
      <c r="AW61" s="22"/>
      <c r="AX61" s="21" t="str">
        <f>IF(AW61="","",VLOOKUP(AW61,Verdivurdering!$B$2:$K$100,15,FALSE))</f>
        <v/>
      </c>
      <c r="AY61" s="19" t="e">
        <f t="shared" si="1"/>
        <v>#N/A</v>
      </c>
      <c r="AZ61" s="19" t="str">
        <f>IF(ISNUMBER(AY61),VLOOKUP(AY61,'Datasource 2'!$H$14:$I$18,2,FALSE),"")</f>
        <v/>
      </c>
      <c r="BA61" s="39"/>
      <c r="BB61" s="27" t="e">
        <f>_xlfn.IFNA(VLOOKUP(BA61,'Datasource 2'!I$14:$J$18,2,FALSE),AY61)</f>
        <v>#N/A</v>
      </c>
    </row>
    <row r="62" spans="1:54" x14ac:dyDescent="0.25">
      <c r="A62" s="37">
        <v>61</v>
      </c>
      <c r="B62" s="23"/>
      <c r="C62" s="23"/>
      <c r="D62" s="23"/>
      <c r="E62" s="23"/>
      <c r="F62" s="23"/>
      <c r="G62" s="23"/>
      <c r="H62" s="23"/>
      <c r="I62" s="23"/>
      <c r="J62" s="23"/>
      <c r="K62" s="23"/>
      <c r="L62" s="23"/>
      <c r="M62" s="23"/>
      <c r="N62" s="23"/>
      <c r="O62" s="23"/>
      <c r="P62" s="23"/>
      <c r="Q62" s="23"/>
      <c r="R62" s="23"/>
      <c r="S62" s="23"/>
      <c r="T62" s="23"/>
      <c r="U62" s="23"/>
      <c r="V62" s="23"/>
      <c r="W62" s="23"/>
      <c r="X62" s="23"/>
      <c r="Y62" s="39"/>
      <c r="Z62" s="22" t="e">
        <f>VLOOKUP(Y62,'Datasource 2'!$I$14:$J$18,2,FALSE)</f>
        <v>#N/A</v>
      </c>
      <c r="AA62" s="22"/>
      <c r="AB62" s="22" t="str">
        <f>IF(AA62="","",VLOOKUP(AA62,Verdivurdering!$B$2:$K$100,15,FALSE))</f>
        <v/>
      </c>
      <c r="AC62" s="22"/>
      <c r="AD62" s="22" t="str">
        <f>IF(AC62="","",VLOOKUP(AC62,Verdivurdering!$B$2:$K$100,15,FALSE))</f>
        <v/>
      </c>
      <c r="AE62" s="22"/>
      <c r="AF62" s="22" t="str">
        <f>IF(AE62="","",VLOOKUP(AE62,Verdivurdering!$B$2:$K$100,15,FALSE))</f>
        <v/>
      </c>
      <c r="AG62" s="22"/>
      <c r="AH62" s="22" t="str">
        <f>IF(AG62="","",VLOOKUP(AG62,Verdivurdering!$B$2:$K$100,15,FALSE))</f>
        <v/>
      </c>
      <c r="AI62" s="22"/>
      <c r="AJ62" s="22" t="str">
        <f>IF(AI62="","",VLOOKUP(AI62,Verdivurdering!$B$2:$K$100,15,FALSE))</f>
        <v/>
      </c>
      <c r="AK62" s="22"/>
      <c r="AL62" s="22" t="str">
        <f>IF(AK62="","",VLOOKUP(AK62,Verdivurdering!$B$2:$K$100,15,FALSE))</f>
        <v/>
      </c>
      <c r="AM62" s="22"/>
      <c r="AN62" s="22" t="str">
        <f>IF(AM62="","",VLOOKUP(AM62,Verdivurdering!$B$2:$K$100,15,FALSE))</f>
        <v/>
      </c>
      <c r="AO62" s="22"/>
      <c r="AP62" s="22" t="str">
        <f>IF(AO62="","",VLOOKUP(AO62,Verdivurdering!$B$2:$K$100,15,FALSE))</f>
        <v/>
      </c>
      <c r="AQ62" s="22"/>
      <c r="AR62" s="22" t="str">
        <f>IF(AQ62="","",VLOOKUP(AQ62,Verdivurdering!$B$2:$K$100,15,FALSE))</f>
        <v/>
      </c>
      <c r="AS62" s="22"/>
      <c r="AT62" s="22" t="str">
        <f>IF(AS62="","",VLOOKUP(AS62,Verdivurdering!$B$2:$K$100,15,FALSE))</f>
        <v/>
      </c>
      <c r="AU62" s="22"/>
      <c r="AV62" s="22" t="str">
        <f>IF(AU62="","",VLOOKUP(AU62,Verdivurdering!$B$2:$K$100,15,FALSE))</f>
        <v/>
      </c>
      <c r="AW62" s="22"/>
      <c r="AX62" s="21" t="str">
        <f>IF(AW62="","",VLOOKUP(AW62,Verdivurdering!$B$2:$K$100,15,FALSE))</f>
        <v/>
      </c>
      <c r="AY62" s="19" t="e">
        <f t="shared" si="1"/>
        <v>#N/A</v>
      </c>
      <c r="AZ62" s="19" t="str">
        <f>IF(ISNUMBER(AY62),VLOOKUP(AY62,'Datasource 2'!$H$14:$I$18,2,FALSE),"")</f>
        <v/>
      </c>
      <c r="BA62" s="39"/>
      <c r="BB62" s="27" t="e">
        <f>_xlfn.IFNA(VLOOKUP(BA62,'Datasource 2'!I$14:$J$18,2,FALSE),AY62)</f>
        <v>#N/A</v>
      </c>
    </row>
    <row r="63" spans="1:54" x14ac:dyDescent="0.25">
      <c r="A63" s="37">
        <v>62</v>
      </c>
      <c r="B63" s="23"/>
      <c r="C63" s="23"/>
      <c r="D63" s="23"/>
      <c r="E63" s="23"/>
      <c r="F63" s="23"/>
      <c r="G63" s="23"/>
      <c r="H63" s="23"/>
      <c r="I63" s="23"/>
      <c r="J63" s="23"/>
      <c r="K63" s="23"/>
      <c r="L63" s="23"/>
      <c r="M63" s="23"/>
      <c r="N63" s="23"/>
      <c r="O63" s="23"/>
      <c r="P63" s="23"/>
      <c r="Q63" s="23"/>
      <c r="R63" s="23"/>
      <c r="S63" s="23"/>
      <c r="T63" s="23"/>
      <c r="U63" s="23"/>
      <c r="V63" s="23"/>
      <c r="W63" s="23"/>
      <c r="X63" s="23"/>
      <c r="Y63" s="39"/>
      <c r="Z63" s="22" t="e">
        <f>VLOOKUP(Y63,'Datasource 2'!$I$14:$J$18,2,FALSE)</f>
        <v>#N/A</v>
      </c>
      <c r="AA63" s="22"/>
      <c r="AB63" s="22" t="str">
        <f>IF(AA63="","",VLOOKUP(AA63,Verdivurdering!$B$2:$K$100,15,FALSE))</f>
        <v/>
      </c>
      <c r="AC63" s="22"/>
      <c r="AD63" s="22" t="str">
        <f>IF(AC63="","",VLOOKUP(AC63,Verdivurdering!$B$2:$K$100,15,FALSE))</f>
        <v/>
      </c>
      <c r="AE63" s="22"/>
      <c r="AF63" s="22" t="str">
        <f>IF(AE63="","",VLOOKUP(AE63,Verdivurdering!$B$2:$K$100,15,FALSE))</f>
        <v/>
      </c>
      <c r="AG63" s="22"/>
      <c r="AH63" s="22" t="str">
        <f>IF(AG63="","",VLOOKUP(AG63,Verdivurdering!$B$2:$K$100,15,FALSE))</f>
        <v/>
      </c>
      <c r="AI63" s="22"/>
      <c r="AJ63" s="22" t="str">
        <f>IF(AI63="","",VLOOKUP(AI63,Verdivurdering!$B$2:$K$100,15,FALSE))</f>
        <v/>
      </c>
      <c r="AK63" s="22"/>
      <c r="AL63" s="22" t="str">
        <f>IF(AK63="","",VLOOKUP(AK63,Verdivurdering!$B$2:$K$100,15,FALSE))</f>
        <v/>
      </c>
      <c r="AM63" s="22"/>
      <c r="AN63" s="22" t="str">
        <f>IF(AM63="","",VLOOKUP(AM63,Verdivurdering!$B$2:$K$100,15,FALSE))</f>
        <v/>
      </c>
      <c r="AO63" s="22"/>
      <c r="AP63" s="22" t="str">
        <f>IF(AO63="","",VLOOKUP(AO63,Verdivurdering!$B$2:$K$100,15,FALSE))</f>
        <v/>
      </c>
      <c r="AQ63" s="22"/>
      <c r="AR63" s="22" t="str">
        <f>IF(AQ63="","",VLOOKUP(AQ63,Verdivurdering!$B$2:$K$100,15,FALSE))</f>
        <v/>
      </c>
      <c r="AS63" s="22"/>
      <c r="AT63" s="22" t="str">
        <f>IF(AS63="","",VLOOKUP(AS63,Verdivurdering!$B$2:$K$100,15,FALSE))</f>
        <v/>
      </c>
      <c r="AU63" s="22"/>
      <c r="AV63" s="22" t="str">
        <f>IF(AU63="","",VLOOKUP(AU63,Verdivurdering!$B$2:$K$100,15,FALSE))</f>
        <v/>
      </c>
      <c r="AW63" s="22"/>
      <c r="AX63" s="21" t="str">
        <f>IF(AW63="","",VLOOKUP(AW63,Verdivurdering!$B$2:$K$100,15,FALSE))</f>
        <v/>
      </c>
      <c r="AY63" s="19" t="e">
        <f t="shared" si="1"/>
        <v>#N/A</v>
      </c>
      <c r="AZ63" s="19" t="str">
        <f>IF(ISNUMBER(AY63),VLOOKUP(AY63,'Datasource 2'!$H$14:$I$18,2,FALSE),"")</f>
        <v/>
      </c>
      <c r="BA63" s="39"/>
      <c r="BB63" s="27" t="e">
        <f>_xlfn.IFNA(VLOOKUP(BA63,'Datasource 2'!I$14:$J$18,2,FALSE),AY63)</f>
        <v>#N/A</v>
      </c>
    </row>
    <row r="64" spans="1:54" x14ac:dyDescent="0.25">
      <c r="A64" s="37">
        <v>63</v>
      </c>
      <c r="B64" s="23"/>
      <c r="C64" s="23"/>
      <c r="D64" s="23"/>
      <c r="E64" s="23"/>
      <c r="F64" s="23"/>
      <c r="G64" s="23"/>
      <c r="H64" s="23"/>
      <c r="I64" s="23"/>
      <c r="J64" s="23"/>
      <c r="K64" s="23"/>
      <c r="L64" s="23"/>
      <c r="M64" s="23"/>
      <c r="N64" s="23"/>
      <c r="O64" s="23"/>
      <c r="P64" s="23"/>
      <c r="Q64" s="23"/>
      <c r="R64" s="23"/>
      <c r="S64" s="23"/>
      <c r="T64" s="23"/>
      <c r="U64" s="23"/>
      <c r="V64" s="23"/>
      <c r="W64" s="23"/>
      <c r="X64" s="23"/>
      <c r="Y64" s="39"/>
      <c r="Z64" s="22" t="e">
        <f>VLOOKUP(Y64,'Datasource 2'!$I$14:$J$18,2,FALSE)</f>
        <v>#N/A</v>
      </c>
      <c r="AA64" s="22"/>
      <c r="AB64" s="22" t="str">
        <f>IF(AA64="","",VLOOKUP(AA64,Verdivurdering!$B$2:$K$100,15,FALSE))</f>
        <v/>
      </c>
      <c r="AC64" s="22"/>
      <c r="AD64" s="22" t="str">
        <f>IF(AC64="","",VLOOKUP(AC64,Verdivurdering!$B$2:$K$100,15,FALSE))</f>
        <v/>
      </c>
      <c r="AE64" s="22"/>
      <c r="AF64" s="22" t="str">
        <f>IF(AE64="","",VLOOKUP(AE64,Verdivurdering!$B$2:$K$100,15,FALSE))</f>
        <v/>
      </c>
      <c r="AG64" s="22"/>
      <c r="AH64" s="22" t="str">
        <f>IF(AG64="","",VLOOKUP(AG64,Verdivurdering!$B$2:$K$100,15,FALSE))</f>
        <v/>
      </c>
      <c r="AI64" s="22"/>
      <c r="AJ64" s="22" t="str">
        <f>IF(AI64="","",VLOOKUP(AI64,Verdivurdering!$B$2:$K$100,15,FALSE))</f>
        <v/>
      </c>
      <c r="AK64" s="22"/>
      <c r="AL64" s="22" t="str">
        <f>IF(AK64="","",VLOOKUP(AK64,Verdivurdering!$B$2:$K$100,15,FALSE))</f>
        <v/>
      </c>
      <c r="AM64" s="22"/>
      <c r="AN64" s="22" t="str">
        <f>IF(AM64="","",VLOOKUP(AM64,Verdivurdering!$B$2:$K$100,15,FALSE))</f>
        <v/>
      </c>
      <c r="AO64" s="22"/>
      <c r="AP64" s="22" t="str">
        <f>IF(AO64="","",VLOOKUP(AO64,Verdivurdering!$B$2:$K$100,15,FALSE))</f>
        <v/>
      </c>
      <c r="AQ64" s="22"/>
      <c r="AR64" s="22" t="str">
        <f>IF(AQ64="","",VLOOKUP(AQ64,Verdivurdering!$B$2:$K$100,15,FALSE))</f>
        <v/>
      </c>
      <c r="AS64" s="22"/>
      <c r="AT64" s="22" t="str">
        <f>IF(AS64="","",VLOOKUP(AS64,Verdivurdering!$B$2:$K$100,15,FALSE))</f>
        <v/>
      </c>
      <c r="AU64" s="22"/>
      <c r="AV64" s="22" t="str">
        <f>IF(AU64="","",VLOOKUP(AU64,Verdivurdering!$B$2:$K$100,15,FALSE))</f>
        <v/>
      </c>
      <c r="AW64" s="22"/>
      <c r="AX64" s="21" t="str">
        <f>IF(AW64="","",VLOOKUP(AW64,Verdivurdering!$B$2:$K$100,15,FALSE))</f>
        <v/>
      </c>
      <c r="AY64" s="19" t="e">
        <f t="shared" si="1"/>
        <v>#N/A</v>
      </c>
      <c r="AZ64" s="19" t="str">
        <f>IF(ISNUMBER(AY64),VLOOKUP(AY64,'Datasource 2'!$H$14:$I$18,2,FALSE),"")</f>
        <v/>
      </c>
      <c r="BA64" s="39"/>
      <c r="BB64" s="27" t="e">
        <f>_xlfn.IFNA(VLOOKUP(BA64,'Datasource 2'!I$14:$J$18,2,FALSE),AY64)</f>
        <v>#N/A</v>
      </c>
    </row>
    <row r="65" spans="1:54" x14ac:dyDescent="0.25">
      <c r="A65" s="37">
        <v>64</v>
      </c>
      <c r="B65" s="23"/>
      <c r="C65" s="23"/>
      <c r="D65" s="23"/>
      <c r="E65" s="23"/>
      <c r="F65" s="23"/>
      <c r="G65" s="23"/>
      <c r="H65" s="23"/>
      <c r="I65" s="23"/>
      <c r="J65" s="23"/>
      <c r="K65" s="23"/>
      <c r="L65" s="23"/>
      <c r="M65" s="23"/>
      <c r="N65" s="23"/>
      <c r="O65" s="23"/>
      <c r="P65" s="23"/>
      <c r="Q65" s="23"/>
      <c r="R65" s="23"/>
      <c r="S65" s="23"/>
      <c r="T65" s="23"/>
      <c r="U65" s="23"/>
      <c r="V65" s="23"/>
      <c r="W65" s="23"/>
      <c r="X65" s="23"/>
      <c r="Y65" s="39"/>
      <c r="Z65" s="22" t="e">
        <f>VLOOKUP(Y65,'Datasource 2'!$I$14:$J$18,2,FALSE)</f>
        <v>#N/A</v>
      </c>
      <c r="AA65" s="22"/>
      <c r="AB65" s="22" t="str">
        <f>IF(AA65="","",VLOOKUP(AA65,Verdivurdering!$B$2:$K$100,15,FALSE))</f>
        <v/>
      </c>
      <c r="AC65" s="22"/>
      <c r="AD65" s="22" t="str">
        <f>IF(AC65="","",VLOOKUP(AC65,Verdivurdering!$B$2:$K$100,15,FALSE))</f>
        <v/>
      </c>
      <c r="AE65" s="22"/>
      <c r="AF65" s="22" t="str">
        <f>IF(AE65="","",VLOOKUP(AE65,Verdivurdering!$B$2:$K$100,15,FALSE))</f>
        <v/>
      </c>
      <c r="AG65" s="22"/>
      <c r="AH65" s="22" t="str">
        <f>IF(AG65="","",VLOOKUP(AG65,Verdivurdering!$B$2:$K$100,15,FALSE))</f>
        <v/>
      </c>
      <c r="AI65" s="22"/>
      <c r="AJ65" s="22" t="str">
        <f>IF(AI65="","",VLOOKUP(AI65,Verdivurdering!$B$2:$K$100,15,FALSE))</f>
        <v/>
      </c>
      <c r="AK65" s="22"/>
      <c r="AL65" s="22" t="str">
        <f>IF(AK65="","",VLOOKUP(AK65,Verdivurdering!$B$2:$K$100,15,FALSE))</f>
        <v/>
      </c>
      <c r="AM65" s="22"/>
      <c r="AN65" s="22" t="str">
        <f>IF(AM65="","",VLOOKUP(AM65,Verdivurdering!$B$2:$K$100,15,FALSE))</f>
        <v/>
      </c>
      <c r="AO65" s="22"/>
      <c r="AP65" s="22" t="str">
        <f>IF(AO65="","",VLOOKUP(AO65,Verdivurdering!$B$2:$K$100,15,FALSE))</f>
        <v/>
      </c>
      <c r="AQ65" s="22"/>
      <c r="AR65" s="22" t="str">
        <f>IF(AQ65="","",VLOOKUP(AQ65,Verdivurdering!$B$2:$K$100,15,FALSE))</f>
        <v/>
      </c>
      <c r="AS65" s="22"/>
      <c r="AT65" s="22" t="str">
        <f>IF(AS65="","",VLOOKUP(AS65,Verdivurdering!$B$2:$K$100,15,FALSE))</f>
        <v/>
      </c>
      <c r="AU65" s="22"/>
      <c r="AV65" s="22" t="str">
        <f>IF(AU65="","",VLOOKUP(AU65,Verdivurdering!$B$2:$K$100,15,FALSE))</f>
        <v/>
      </c>
      <c r="AW65" s="22"/>
      <c r="AX65" s="21" t="str">
        <f>IF(AW65="","",VLOOKUP(AW65,Verdivurdering!$B$2:$K$100,15,FALSE))</f>
        <v/>
      </c>
      <c r="AY65" s="19" t="e">
        <f t="shared" si="1"/>
        <v>#N/A</v>
      </c>
      <c r="AZ65" s="19" t="str">
        <f>IF(ISNUMBER(AY65),VLOOKUP(AY65,'Datasource 2'!$H$14:$I$18,2,FALSE),"")</f>
        <v/>
      </c>
      <c r="BA65" s="39"/>
      <c r="BB65" s="27" t="e">
        <f>_xlfn.IFNA(VLOOKUP(BA65,'Datasource 2'!I$14:$J$18,2,FALSE),AY65)</f>
        <v>#N/A</v>
      </c>
    </row>
    <row r="66" spans="1:54" x14ac:dyDescent="0.25">
      <c r="A66" s="37">
        <v>65</v>
      </c>
      <c r="B66" s="23"/>
      <c r="C66" s="23"/>
      <c r="D66" s="23"/>
      <c r="E66" s="23"/>
      <c r="F66" s="23"/>
      <c r="G66" s="23"/>
      <c r="H66" s="23"/>
      <c r="I66" s="23"/>
      <c r="J66" s="23"/>
      <c r="K66" s="23"/>
      <c r="L66" s="23"/>
      <c r="M66" s="23"/>
      <c r="N66" s="23"/>
      <c r="O66" s="23"/>
      <c r="P66" s="23"/>
      <c r="Q66" s="23"/>
      <c r="R66" s="23"/>
      <c r="S66" s="23"/>
      <c r="T66" s="23"/>
      <c r="U66" s="23"/>
      <c r="V66" s="23"/>
      <c r="W66" s="23"/>
      <c r="X66" s="23"/>
      <c r="Y66" s="39"/>
      <c r="Z66" s="22" t="e">
        <f>VLOOKUP(Y66,'Datasource 2'!$I$14:$J$18,2,FALSE)</f>
        <v>#N/A</v>
      </c>
      <c r="AA66" s="22"/>
      <c r="AB66" s="22" t="str">
        <f>IF(AA66="","",VLOOKUP(AA66,Verdivurdering!$B$2:$K$100,15,FALSE))</f>
        <v/>
      </c>
      <c r="AC66" s="22"/>
      <c r="AD66" s="22" t="str">
        <f>IF(AC66="","",VLOOKUP(AC66,Verdivurdering!$B$2:$K$100,15,FALSE))</f>
        <v/>
      </c>
      <c r="AE66" s="22"/>
      <c r="AF66" s="22" t="str">
        <f>IF(AE66="","",VLOOKUP(AE66,Verdivurdering!$B$2:$K$100,15,FALSE))</f>
        <v/>
      </c>
      <c r="AG66" s="22"/>
      <c r="AH66" s="22" t="str">
        <f>IF(AG66="","",VLOOKUP(AG66,Verdivurdering!$B$2:$K$100,15,FALSE))</f>
        <v/>
      </c>
      <c r="AI66" s="22"/>
      <c r="AJ66" s="22" t="str">
        <f>IF(AI66="","",VLOOKUP(AI66,Verdivurdering!$B$2:$K$100,15,FALSE))</f>
        <v/>
      </c>
      <c r="AK66" s="22"/>
      <c r="AL66" s="22" t="str">
        <f>IF(AK66="","",VLOOKUP(AK66,Verdivurdering!$B$2:$K$100,15,FALSE))</f>
        <v/>
      </c>
      <c r="AM66" s="22"/>
      <c r="AN66" s="22" t="str">
        <f>IF(AM66="","",VLOOKUP(AM66,Verdivurdering!$B$2:$K$100,15,FALSE))</f>
        <v/>
      </c>
      <c r="AO66" s="22"/>
      <c r="AP66" s="22" t="str">
        <f>IF(AO66="","",VLOOKUP(AO66,Verdivurdering!$B$2:$K$100,15,FALSE))</f>
        <v/>
      </c>
      <c r="AQ66" s="22"/>
      <c r="AR66" s="22" t="str">
        <f>IF(AQ66="","",VLOOKUP(AQ66,Verdivurdering!$B$2:$K$100,15,FALSE))</f>
        <v/>
      </c>
      <c r="AS66" s="22"/>
      <c r="AT66" s="22" t="str">
        <f>IF(AS66="","",VLOOKUP(AS66,Verdivurdering!$B$2:$K$100,15,FALSE))</f>
        <v/>
      </c>
      <c r="AU66" s="22"/>
      <c r="AV66" s="22" t="str">
        <f>IF(AU66="","",VLOOKUP(AU66,Verdivurdering!$B$2:$K$100,15,FALSE))</f>
        <v/>
      </c>
      <c r="AW66" s="22"/>
      <c r="AX66" s="21" t="str">
        <f>IF(AW66="","",VLOOKUP(AW66,Verdivurdering!$B$2:$K$100,15,FALSE))</f>
        <v/>
      </c>
      <c r="AY66" s="19" t="e">
        <f t="shared" si="1"/>
        <v>#N/A</v>
      </c>
      <c r="AZ66" s="19" t="str">
        <f>IF(ISNUMBER(AY66),VLOOKUP(AY66,'Datasource 2'!$H$14:$I$18,2,FALSE),"")</f>
        <v/>
      </c>
      <c r="BA66" s="39"/>
      <c r="BB66" s="27" t="e">
        <f>_xlfn.IFNA(VLOOKUP(BA66,'Datasource 2'!I$14:$J$18,2,FALSE),AY66)</f>
        <v>#N/A</v>
      </c>
    </row>
    <row r="67" spans="1:54" x14ac:dyDescent="0.25">
      <c r="A67" s="37">
        <v>66</v>
      </c>
      <c r="B67" s="23"/>
      <c r="C67" s="23"/>
      <c r="D67" s="23"/>
      <c r="E67" s="23"/>
      <c r="F67" s="23"/>
      <c r="G67" s="23"/>
      <c r="H67" s="23"/>
      <c r="I67" s="23"/>
      <c r="J67" s="23"/>
      <c r="K67" s="23"/>
      <c r="L67" s="23"/>
      <c r="M67" s="23"/>
      <c r="N67" s="23"/>
      <c r="O67" s="23"/>
      <c r="P67" s="23"/>
      <c r="Q67" s="23"/>
      <c r="R67" s="23"/>
      <c r="S67" s="23"/>
      <c r="T67" s="23"/>
      <c r="U67" s="23"/>
      <c r="V67" s="23"/>
      <c r="W67" s="23"/>
      <c r="X67" s="23"/>
      <c r="Y67" s="39"/>
      <c r="Z67" s="22" t="e">
        <f>VLOOKUP(Y67,'Datasource 2'!$I$14:$J$18,2,FALSE)</f>
        <v>#N/A</v>
      </c>
      <c r="AA67" s="22"/>
      <c r="AB67" s="22" t="str">
        <f>IF(AA67="","",VLOOKUP(AA67,Verdivurdering!$B$2:$K$100,15,FALSE))</f>
        <v/>
      </c>
      <c r="AC67" s="22"/>
      <c r="AD67" s="22" t="str">
        <f>IF(AC67="","",VLOOKUP(AC67,Verdivurdering!$B$2:$K$100,15,FALSE))</f>
        <v/>
      </c>
      <c r="AE67" s="22"/>
      <c r="AF67" s="22" t="str">
        <f>IF(AE67="","",VLOOKUP(AE67,Verdivurdering!$B$2:$K$100,15,FALSE))</f>
        <v/>
      </c>
      <c r="AG67" s="22"/>
      <c r="AH67" s="22" t="str">
        <f>IF(AG67="","",VLOOKUP(AG67,Verdivurdering!$B$2:$K$100,15,FALSE))</f>
        <v/>
      </c>
      <c r="AI67" s="22"/>
      <c r="AJ67" s="22" t="str">
        <f>IF(AI67="","",VLOOKUP(AI67,Verdivurdering!$B$2:$K$100,15,FALSE))</f>
        <v/>
      </c>
      <c r="AK67" s="22"/>
      <c r="AL67" s="22" t="str">
        <f>IF(AK67="","",VLOOKUP(AK67,Verdivurdering!$B$2:$K$100,15,FALSE))</f>
        <v/>
      </c>
      <c r="AM67" s="22"/>
      <c r="AN67" s="22" t="str">
        <f>IF(AM67="","",VLOOKUP(AM67,Verdivurdering!$B$2:$K$100,15,FALSE))</f>
        <v/>
      </c>
      <c r="AO67" s="22"/>
      <c r="AP67" s="22" t="str">
        <f>IF(AO67="","",VLOOKUP(AO67,Verdivurdering!$B$2:$K$100,15,FALSE))</f>
        <v/>
      </c>
      <c r="AQ67" s="22"/>
      <c r="AR67" s="22" t="str">
        <f>IF(AQ67="","",VLOOKUP(AQ67,Verdivurdering!$B$2:$K$100,15,FALSE))</f>
        <v/>
      </c>
      <c r="AS67" s="22"/>
      <c r="AT67" s="22" t="str">
        <f>IF(AS67="","",VLOOKUP(AS67,Verdivurdering!$B$2:$K$100,15,FALSE))</f>
        <v/>
      </c>
      <c r="AU67" s="22"/>
      <c r="AV67" s="22" t="str">
        <f>IF(AU67="","",VLOOKUP(AU67,Verdivurdering!$B$2:$K$100,15,FALSE))</f>
        <v/>
      </c>
      <c r="AW67" s="22"/>
      <c r="AX67" s="21" t="str">
        <f>IF(AW67="","",VLOOKUP(AW67,Verdivurdering!$B$2:$K$100,15,FALSE))</f>
        <v/>
      </c>
      <c r="AY67" s="19" t="e">
        <f t="shared" si="1"/>
        <v>#N/A</v>
      </c>
      <c r="AZ67" s="19" t="str">
        <f>IF(ISNUMBER(AY67),VLOOKUP(AY67,'Datasource 2'!$H$14:$I$18,2,FALSE),"")</f>
        <v/>
      </c>
      <c r="BA67" s="39"/>
      <c r="BB67" s="27" t="e">
        <f>_xlfn.IFNA(VLOOKUP(BA67,'Datasource 2'!I$14:$J$18,2,FALSE),AY67)</f>
        <v>#N/A</v>
      </c>
    </row>
    <row r="68" spans="1:54" x14ac:dyDescent="0.25">
      <c r="A68" s="37">
        <v>67</v>
      </c>
      <c r="B68" s="23"/>
      <c r="C68" s="23"/>
      <c r="D68" s="23"/>
      <c r="E68" s="23"/>
      <c r="F68" s="23"/>
      <c r="G68" s="23"/>
      <c r="H68" s="23"/>
      <c r="I68" s="23"/>
      <c r="J68" s="23"/>
      <c r="K68" s="23"/>
      <c r="L68" s="23"/>
      <c r="M68" s="23"/>
      <c r="N68" s="23"/>
      <c r="O68" s="23"/>
      <c r="P68" s="23"/>
      <c r="Q68" s="23"/>
      <c r="R68" s="23"/>
      <c r="S68" s="23"/>
      <c r="T68" s="23"/>
      <c r="U68" s="23"/>
      <c r="V68" s="23"/>
      <c r="W68" s="23"/>
      <c r="X68" s="23"/>
      <c r="Y68" s="39"/>
      <c r="Z68" s="22" t="e">
        <f>VLOOKUP(Y68,'Datasource 2'!$I$14:$J$18,2,FALSE)</f>
        <v>#N/A</v>
      </c>
      <c r="AA68" s="22"/>
      <c r="AB68" s="22" t="str">
        <f>IF(AA68="","",VLOOKUP(AA68,Verdivurdering!$B$2:$K$100,15,FALSE))</f>
        <v/>
      </c>
      <c r="AC68" s="22"/>
      <c r="AD68" s="22" t="str">
        <f>IF(AC68="","",VLOOKUP(AC68,Verdivurdering!$B$2:$K$100,15,FALSE))</f>
        <v/>
      </c>
      <c r="AE68" s="22"/>
      <c r="AF68" s="22" t="str">
        <f>IF(AE68="","",VLOOKUP(AE68,Verdivurdering!$B$2:$K$100,15,FALSE))</f>
        <v/>
      </c>
      <c r="AG68" s="22"/>
      <c r="AH68" s="22" t="str">
        <f>IF(AG68="","",VLOOKUP(AG68,Verdivurdering!$B$2:$K$100,15,FALSE))</f>
        <v/>
      </c>
      <c r="AI68" s="22"/>
      <c r="AJ68" s="22" t="str">
        <f>IF(AI68="","",VLOOKUP(AI68,Verdivurdering!$B$2:$K$100,15,FALSE))</f>
        <v/>
      </c>
      <c r="AK68" s="22"/>
      <c r="AL68" s="22" t="str">
        <f>IF(AK68="","",VLOOKUP(AK68,Verdivurdering!$B$2:$K$100,15,FALSE))</f>
        <v/>
      </c>
      <c r="AM68" s="22"/>
      <c r="AN68" s="22" t="str">
        <f>IF(AM68="","",VLOOKUP(AM68,Verdivurdering!$B$2:$K$100,15,FALSE))</f>
        <v/>
      </c>
      <c r="AO68" s="22"/>
      <c r="AP68" s="22" t="str">
        <f>IF(AO68="","",VLOOKUP(AO68,Verdivurdering!$B$2:$K$100,15,FALSE))</f>
        <v/>
      </c>
      <c r="AQ68" s="22"/>
      <c r="AR68" s="22" t="str">
        <f>IF(AQ68="","",VLOOKUP(AQ68,Verdivurdering!$B$2:$K$100,15,FALSE))</f>
        <v/>
      </c>
      <c r="AS68" s="22"/>
      <c r="AT68" s="22" t="str">
        <f>IF(AS68="","",VLOOKUP(AS68,Verdivurdering!$B$2:$K$100,15,FALSE))</f>
        <v/>
      </c>
      <c r="AU68" s="22"/>
      <c r="AV68" s="22" t="str">
        <f>IF(AU68="","",VLOOKUP(AU68,Verdivurdering!$B$2:$K$100,15,FALSE))</f>
        <v/>
      </c>
      <c r="AW68" s="22"/>
      <c r="AX68" s="21" t="str">
        <f>IF(AW68="","",VLOOKUP(AW68,Verdivurdering!$B$2:$K$100,15,FALSE))</f>
        <v/>
      </c>
      <c r="AY68" s="19" t="e">
        <f t="shared" si="1"/>
        <v>#N/A</v>
      </c>
      <c r="AZ68" s="19" t="str">
        <f>IF(ISNUMBER(AY68),VLOOKUP(AY68,'Datasource 2'!$H$14:$I$18,2,FALSE),"")</f>
        <v/>
      </c>
      <c r="BA68" s="39"/>
      <c r="BB68" s="27" t="e">
        <f>_xlfn.IFNA(VLOOKUP(BA68,'Datasource 2'!I$14:$J$18,2,FALSE),AY68)</f>
        <v>#N/A</v>
      </c>
    </row>
    <row r="69" spans="1:54" x14ac:dyDescent="0.25">
      <c r="A69" s="37">
        <v>68</v>
      </c>
      <c r="B69" s="23"/>
      <c r="C69" s="23"/>
      <c r="D69" s="23"/>
      <c r="E69" s="23"/>
      <c r="F69" s="23"/>
      <c r="G69" s="23"/>
      <c r="H69" s="23"/>
      <c r="I69" s="23"/>
      <c r="J69" s="23"/>
      <c r="K69" s="23"/>
      <c r="L69" s="23"/>
      <c r="M69" s="23"/>
      <c r="N69" s="23"/>
      <c r="O69" s="23"/>
      <c r="P69" s="23"/>
      <c r="Q69" s="23"/>
      <c r="R69" s="23"/>
      <c r="S69" s="23"/>
      <c r="T69" s="23"/>
      <c r="U69" s="23"/>
      <c r="V69" s="23"/>
      <c r="W69" s="23"/>
      <c r="X69" s="23"/>
      <c r="Y69" s="39"/>
      <c r="Z69" s="22" t="e">
        <f>VLOOKUP(Y69,'Datasource 2'!$I$14:$J$18,2,FALSE)</f>
        <v>#N/A</v>
      </c>
      <c r="AA69" s="22"/>
      <c r="AB69" s="22" t="str">
        <f>IF(AA69="","",VLOOKUP(AA69,Verdivurdering!$B$2:$K$100,15,FALSE))</f>
        <v/>
      </c>
      <c r="AC69" s="22"/>
      <c r="AD69" s="22" t="str">
        <f>IF(AC69="","",VLOOKUP(AC69,Verdivurdering!$B$2:$K$100,15,FALSE))</f>
        <v/>
      </c>
      <c r="AE69" s="22"/>
      <c r="AF69" s="22" t="str">
        <f>IF(AE69="","",VLOOKUP(AE69,Verdivurdering!$B$2:$K$100,15,FALSE))</f>
        <v/>
      </c>
      <c r="AG69" s="22"/>
      <c r="AH69" s="22" t="str">
        <f>IF(AG69="","",VLOOKUP(AG69,Verdivurdering!$B$2:$K$100,15,FALSE))</f>
        <v/>
      </c>
      <c r="AI69" s="22"/>
      <c r="AJ69" s="22" t="str">
        <f>IF(AI69="","",VLOOKUP(AI69,Verdivurdering!$B$2:$K$100,15,FALSE))</f>
        <v/>
      </c>
      <c r="AK69" s="22"/>
      <c r="AL69" s="22" t="str">
        <f>IF(AK69="","",VLOOKUP(AK69,Verdivurdering!$B$2:$K$100,15,FALSE))</f>
        <v/>
      </c>
      <c r="AM69" s="22"/>
      <c r="AN69" s="22" t="str">
        <f>IF(AM69="","",VLOOKUP(AM69,Verdivurdering!$B$2:$K$100,15,FALSE))</f>
        <v/>
      </c>
      <c r="AO69" s="22"/>
      <c r="AP69" s="22" t="str">
        <f>IF(AO69="","",VLOOKUP(AO69,Verdivurdering!$B$2:$K$100,15,FALSE))</f>
        <v/>
      </c>
      <c r="AQ69" s="22"/>
      <c r="AR69" s="22" t="str">
        <f>IF(AQ69="","",VLOOKUP(AQ69,Verdivurdering!$B$2:$K$100,15,FALSE))</f>
        <v/>
      </c>
      <c r="AS69" s="22"/>
      <c r="AT69" s="22" t="str">
        <f>IF(AS69="","",VLOOKUP(AS69,Verdivurdering!$B$2:$K$100,15,FALSE))</f>
        <v/>
      </c>
      <c r="AU69" s="22"/>
      <c r="AV69" s="22" t="str">
        <f>IF(AU69="","",VLOOKUP(AU69,Verdivurdering!$B$2:$K$100,15,FALSE))</f>
        <v/>
      </c>
      <c r="AW69" s="22"/>
      <c r="AX69" s="21" t="str">
        <f>IF(AW69="","",VLOOKUP(AW69,Verdivurdering!$B$2:$K$100,15,FALSE))</f>
        <v/>
      </c>
      <c r="AY69" s="19" t="e">
        <f t="shared" si="1"/>
        <v>#N/A</v>
      </c>
      <c r="AZ69" s="19" t="str">
        <f>IF(ISNUMBER(AY69),VLOOKUP(AY69,'Datasource 2'!$H$14:$I$18,2,FALSE),"")</f>
        <v/>
      </c>
      <c r="BA69" s="39"/>
      <c r="BB69" s="27" t="e">
        <f>_xlfn.IFNA(VLOOKUP(BA69,'Datasource 2'!I$14:$J$18,2,FALSE),AY69)</f>
        <v>#N/A</v>
      </c>
    </row>
    <row r="70" spans="1:54" x14ac:dyDescent="0.25">
      <c r="A70" s="37">
        <v>69</v>
      </c>
      <c r="B70" s="23"/>
      <c r="C70" s="23"/>
      <c r="D70" s="23"/>
      <c r="E70" s="23"/>
      <c r="F70" s="23"/>
      <c r="G70" s="23"/>
      <c r="H70" s="23"/>
      <c r="I70" s="23"/>
      <c r="J70" s="23"/>
      <c r="K70" s="23"/>
      <c r="L70" s="23"/>
      <c r="M70" s="23"/>
      <c r="N70" s="23"/>
      <c r="O70" s="23"/>
      <c r="P70" s="23"/>
      <c r="Q70" s="23"/>
      <c r="R70" s="23"/>
      <c r="S70" s="23"/>
      <c r="T70" s="23"/>
      <c r="U70" s="23"/>
      <c r="V70" s="23"/>
      <c r="W70" s="23"/>
      <c r="X70" s="23"/>
      <c r="Y70" s="39"/>
      <c r="Z70" s="22" t="e">
        <f>VLOOKUP(Y70,'Datasource 2'!$I$14:$J$18,2,FALSE)</f>
        <v>#N/A</v>
      </c>
      <c r="AA70" s="22"/>
      <c r="AB70" s="22" t="str">
        <f>IF(AA70="","",VLOOKUP(AA70,Verdivurdering!$B$2:$K$100,15,FALSE))</f>
        <v/>
      </c>
      <c r="AC70" s="22"/>
      <c r="AD70" s="22" t="str">
        <f>IF(AC70="","",VLOOKUP(AC70,Verdivurdering!$B$2:$K$100,15,FALSE))</f>
        <v/>
      </c>
      <c r="AE70" s="22"/>
      <c r="AF70" s="22" t="str">
        <f>IF(AE70="","",VLOOKUP(AE70,Verdivurdering!$B$2:$K$100,15,FALSE))</f>
        <v/>
      </c>
      <c r="AG70" s="22"/>
      <c r="AH70" s="22" t="str">
        <f>IF(AG70="","",VLOOKUP(AG70,Verdivurdering!$B$2:$K$100,15,FALSE))</f>
        <v/>
      </c>
      <c r="AI70" s="22"/>
      <c r="AJ70" s="22" t="str">
        <f>IF(AI70="","",VLOOKUP(AI70,Verdivurdering!$B$2:$K$100,15,FALSE))</f>
        <v/>
      </c>
      <c r="AK70" s="22"/>
      <c r="AL70" s="22" t="str">
        <f>IF(AK70="","",VLOOKUP(AK70,Verdivurdering!$B$2:$K$100,15,FALSE))</f>
        <v/>
      </c>
      <c r="AM70" s="22"/>
      <c r="AN70" s="22" t="str">
        <f>IF(AM70="","",VLOOKUP(AM70,Verdivurdering!$B$2:$K$100,15,FALSE))</f>
        <v/>
      </c>
      <c r="AO70" s="22"/>
      <c r="AP70" s="22" t="str">
        <f>IF(AO70="","",VLOOKUP(AO70,Verdivurdering!$B$2:$K$100,15,FALSE))</f>
        <v/>
      </c>
      <c r="AQ70" s="22"/>
      <c r="AR70" s="22" t="str">
        <f>IF(AQ70="","",VLOOKUP(AQ70,Verdivurdering!$B$2:$K$100,15,FALSE))</f>
        <v/>
      </c>
      <c r="AS70" s="22"/>
      <c r="AT70" s="22" t="str">
        <f>IF(AS70="","",VLOOKUP(AS70,Verdivurdering!$B$2:$K$100,15,FALSE))</f>
        <v/>
      </c>
      <c r="AU70" s="22"/>
      <c r="AV70" s="22" t="str">
        <f>IF(AU70="","",VLOOKUP(AU70,Verdivurdering!$B$2:$K$100,15,FALSE))</f>
        <v/>
      </c>
      <c r="AW70" s="22"/>
      <c r="AX70" s="21" t="str">
        <f>IF(AW70="","",VLOOKUP(AW70,Verdivurdering!$B$2:$K$100,15,FALSE))</f>
        <v/>
      </c>
      <c r="AY70" s="19" t="e">
        <f t="shared" si="1"/>
        <v>#N/A</v>
      </c>
      <c r="AZ70" s="19" t="str">
        <f>IF(ISNUMBER(AY70),VLOOKUP(AY70,'Datasource 2'!$H$14:$I$18,2,FALSE),"")</f>
        <v/>
      </c>
      <c r="BA70" s="39"/>
      <c r="BB70" s="27" t="e">
        <f>_xlfn.IFNA(VLOOKUP(BA70,'Datasource 2'!I$14:$J$18,2,FALSE),AY70)</f>
        <v>#N/A</v>
      </c>
    </row>
    <row r="71" spans="1:54" x14ac:dyDescent="0.25">
      <c r="A71" s="37">
        <v>70</v>
      </c>
      <c r="B71" s="23"/>
      <c r="C71" s="23"/>
      <c r="D71" s="23"/>
      <c r="E71" s="23"/>
      <c r="F71" s="23"/>
      <c r="G71" s="23"/>
      <c r="H71" s="23"/>
      <c r="I71" s="23"/>
      <c r="J71" s="23"/>
      <c r="K71" s="23"/>
      <c r="L71" s="23"/>
      <c r="M71" s="23"/>
      <c r="N71" s="23"/>
      <c r="O71" s="23"/>
      <c r="P71" s="23"/>
      <c r="Q71" s="23"/>
      <c r="R71" s="23"/>
      <c r="S71" s="23"/>
      <c r="T71" s="23"/>
      <c r="U71" s="23"/>
      <c r="V71" s="23"/>
      <c r="W71" s="23"/>
      <c r="X71" s="23"/>
      <c r="Y71" s="39"/>
      <c r="Z71" s="22" t="e">
        <f>VLOOKUP(Y71,'Datasource 2'!$I$14:$J$18,2,FALSE)</f>
        <v>#N/A</v>
      </c>
      <c r="AA71" s="22"/>
      <c r="AB71" s="22" t="str">
        <f>IF(AA71="","",VLOOKUP(AA71,Verdivurdering!$B$2:$K$100,15,FALSE))</f>
        <v/>
      </c>
      <c r="AC71" s="22"/>
      <c r="AD71" s="22" t="str">
        <f>IF(AC71="","",VLOOKUP(AC71,Verdivurdering!$B$2:$K$100,15,FALSE))</f>
        <v/>
      </c>
      <c r="AE71" s="22"/>
      <c r="AF71" s="22" t="str">
        <f>IF(AE71="","",VLOOKUP(AE71,Verdivurdering!$B$2:$K$100,15,FALSE))</f>
        <v/>
      </c>
      <c r="AG71" s="22"/>
      <c r="AH71" s="22" t="str">
        <f>IF(AG71="","",VLOOKUP(AG71,Verdivurdering!$B$2:$K$100,15,FALSE))</f>
        <v/>
      </c>
      <c r="AI71" s="22"/>
      <c r="AJ71" s="22" t="str">
        <f>IF(AI71="","",VLOOKUP(AI71,Verdivurdering!$B$2:$K$100,15,FALSE))</f>
        <v/>
      </c>
      <c r="AK71" s="22"/>
      <c r="AL71" s="22" t="str">
        <f>IF(AK71="","",VLOOKUP(AK71,Verdivurdering!$B$2:$K$100,15,FALSE))</f>
        <v/>
      </c>
      <c r="AM71" s="22"/>
      <c r="AN71" s="22" t="str">
        <f>IF(AM71="","",VLOOKUP(AM71,Verdivurdering!$B$2:$K$100,15,FALSE))</f>
        <v/>
      </c>
      <c r="AO71" s="22"/>
      <c r="AP71" s="22" t="str">
        <f>IF(AO71="","",VLOOKUP(AO71,Verdivurdering!$B$2:$K$100,15,FALSE))</f>
        <v/>
      </c>
      <c r="AQ71" s="22"/>
      <c r="AR71" s="22" t="str">
        <f>IF(AQ71="","",VLOOKUP(AQ71,Verdivurdering!$B$2:$K$100,15,FALSE))</f>
        <v/>
      </c>
      <c r="AS71" s="22"/>
      <c r="AT71" s="22" t="str">
        <f>IF(AS71="","",VLOOKUP(AS71,Verdivurdering!$B$2:$K$100,15,FALSE))</f>
        <v/>
      </c>
      <c r="AU71" s="22"/>
      <c r="AV71" s="22" t="str">
        <f>IF(AU71="","",VLOOKUP(AU71,Verdivurdering!$B$2:$K$100,15,FALSE))</f>
        <v/>
      </c>
      <c r="AW71" s="22"/>
      <c r="AX71" s="21" t="str">
        <f>IF(AW71="","",VLOOKUP(AW71,Verdivurdering!$B$2:$K$100,15,FALSE))</f>
        <v/>
      </c>
      <c r="AY71" s="19" t="e">
        <f t="shared" ref="AY71:AY134" si="2">IF(MAX(Y71:AX71)&gt;0,MAX(Y71:AX71),"")</f>
        <v>#N/A</v>
      </c>
      <c r="AZ71" s="19" t="str">
        <f>IF(ISNUMBER(AY71),VLOOKUP(AY71,'Datasource 2'!$H$14:$I$18,2,FALSE),"")</f>
        <v/>
      </c>
      <c r="BA71" s="39"/>
      <c r="BB71" s="27" t="e">
        <f>_xlfn.IFNA(VLOOKUP(BA71,'Datasource 2'!I$14:$J$18,2,FALSE),AY71)</f>
        <v>#N/A</v>
      </c>
    </row>
    <row r="72" spans="1:54" x14ac:dyDescent="0.25">
      <c r="A72" s="37">
        <v>71</v>
      </c>
      <c r="B72" s="23"/>
      <c r="C72" s="23"/>
      <c r="D72" s="23"/>
      <c r="E72" s="23"/>
      <c r="F72" s="23"/>
      <c r="G72" s="23"/>
      <c r="H72" s="23"/>
      <c r="I72" s="23"/>
      <c r="J72" s="23"/>
      <c r="K72" s="23"/>
      <c r="L72" s="23"/>
      <c r="M72" s="23"/>
      <c r="N72" s="23"/>
      <c r="O72" s="23"/>
      <c r="P72" s="23"/>
      <c r="Q72" s="23"/>
      <c r="R72" s="23"/>
      <c r="S72" s="23"/>
      <c r="T72" s="23"/>
      <c r="U72" s="23"/>
      <c r="V72" s="23"/>
      <c r="W72" s="23"/>
      <c r="X72" s="23"/>
      <c r="Y72" s="39"/>
      <c r="Z72" s="22" t="e">
        <f>VLOOKUP(Y72,'Datasource 2'!$I$14:$J$18,2,FALSE)</f>
        <v>#N/A</v>
      </c>
      <c r="AA72" s="22"/>
      <c r="AB72" s="22" t="str">
        <f>IF(AA72="","",VLOOKUP(AA72,Verdivurdering!$B$2:$K$100,15,FALSE))</f>
        <v/>
      </c>
      <c r="AC72" s="22"/>
      <c r="AD72" s="22" t="str">
        <f>IF(AC72="","",VLOOKUP(AC72,Verdivurdering!$B$2:$K$100,15,FALSE))</f>
        <v/>
      </c>
      <c r="AE72" s="22"/>
      <c r="AF72" s="22" t="str">
        <f>IF(AE72="","",VLOOKUP(AE72,Verdivurdering!$B$2:$K$100,15,FALSE))</f>
        <v/>
      </c>
      <c r="AG72" s="22"/>
      <c r="AH72" s="22" t="str">
        <f>IF(AG72="","",VLOOKUP(AG72,Verdivurdering!$B$2:$K$100,15,FALSE))</f>
        <v/>
      </c>
      <c r="AI72" s="22"/>
      <c r="AJ72" s="22" t="str">
        <f>IF(AI72="","",VLOOKUP(AI72,Verdivurdering!$B$2:$K$100,15,FALSE))</f>
        <v/>
      </c>
      <c r="AK72" s="22"/>
      <c r="AL72" s="22" t="str">
        <f>IF(AK72="","",VLOOKUP(AK72,Verdivurdering!$B$2:$K$100,15,FALSE))</f>
        <v/>
      </c>
      <c r="AM72" s="22"/>
      <c r="AN72" s="22" t="str">
        <f>IF(AM72="","",VLOOKUP(AM72,Verdivurdering!$B$2:$K$100,15,FALSE))</f>
        <v/>
      </c>
      <c r="AO72" s="22"/>
      <c r="AP72" s="22" t="str">
        <f>IF(AO72="","",VLOOKUP(AO72,Verdivurdering!$B$2:$K$100,15,FALSE))</f>
        <v/>
      </c>
      <c r="AQ72" s="22"/>
      <c r="AR72" s="22" t="str">
        <f>IF(AQ72="","",VLOOKUP(AQ72,Verdivurdering!$B$2:$K$100,15,FALSE))</f>
        <v/>
      </c>
      <c r="AS72" s="22"/>
      <c r="AT72" s="22" t="str">
        <f>IF(AS72="","",VLOOKUP(AS72,Verdivurdering!$B$2:$K$100,15,FALSE))</f>
        <v/>
      </c>
      <c r="AU72" s="22"/>
      <c r="AV72" s="22" t="str">
        <f>IF(AU72="","",VLOOKUP(AU72,Verdivurdering!$B$2:$K$100,15,FALSE))</f>
        <v/>
      </c>
      <c r="AW72" s="22"/>
      <c r="AX72" s="21" t="str">
        <f>IF(AW72="","",VLOOKUP(AW72,Verdivurdering!$B$2:$K$100,15,FALSE))</f>
        <v/>
      </c>
      <c r="AY72" s="19" t="e">
        <f t="shared" si="2"/>
        <v>#N/A</v>
      </c>
      <c r="AZ72" s="19" t="str">
        <f>IF(ISNUMBER(AY72),VLOOKUP(AY72,'Datasource 2'!$H$14:$I$18,2,FALSE),"")</f>
        <v/>
      </c>
      <c r="BA72" s="39"/>
      <c r="BB72" s="27" t="e">
        <f>_xlfn.IFNA(VLOOKUP(BA72,'Datasource 2'!I$14:$J$18,2,FALSE),AY72)</f>
        <v>#N/A</v>
      </c>
    </row>
    <row r="73" spans="1:54" x14ac:dyDescent="0.25">
      <c r="A73" s="37">
        <v>72</v>
      </c>
      <c r="B73" s="23"/>
      <c r="C73" s="23"/>
      <c r="D73" s="23"/>
      <c r="E73" s="23"/>
      <c r="F73" s="23"/>
      <c r="G73" s="23"/>
      <c r="H73" s="23"/>
      <c r="I73" s="23"/>
      <c r="J73" s="23"/>
      <c r="K73" s="23"/>
      <c r="L73" s="23"/>
      <c r="M73" s="23"/>
      <c r="N73" s="23"/>
      <c r="O73" s="23"/>
      <c r="P73" s="23"/>
      <c r="Q73" s="23"/>
      <c r="R73" s="23"/>
      <c r="S73" s="23"/>
      <c r="T73" s="23"/>
      <c r="U73" s="23"/>
      <c r="V73" s="23"/>
      <c r="W73" s="23"/>
      <c r="X73" s="23"/>
      <c r="Y73" s="39"/>
      <c r="Z73" s="22" t="e">
        <f>VLOOKUP(Y73,'Datasource 2'!$I$14:$J$18,2,FALSE)</f>
        <v>#N/A</v>
      </c>
      <c r="AA73" s="22"/>
      <c r="AB73" s="22" t="str">
        <f>IF(AA73="","",VLOOKUP(AA73,Verdivurdering!$B$2:$K$100,15,FALSE))</f>
        <v/>
      </c>
      <c r="AC73" s="22"/>
      <c r="AD73" s="22" t="str">
        <f>IF(AC73="","",VLOOKUP(AC73,Verdivurdering!$B$2:$K$100,15,FALSE))</f>
        <v/>
      </c>
      <c r="AE73" s="22"/>
      <c r="AF73" s="22" t="str">
        <f>IF(AE73="","",VLOOKUP(AE73,Verdivurdering!$B$2:$K$100,15,FALSE))</f>
        <v/>
      </c>
      <c r="AG73" s="22"/>
      <c r="AH73" s="22" t="str">
        <f>IF(AG73="","",VLOOKUP(AG73,Verdivurdering!$B$2:$K$100,15,FALSE))</f>
        <v/>
      </c>
      <c r="AI73" s="22"/>
      <c r="AJ73" s="22" t="str">
        <f>IF(AI73="","",VLOOKUP(AI73,Verdivurdering!$B$2:$K$100,15,FALSE))</f>
        <v/>
      </c>
      <c r="AK73" s="22"/>
      <c r="AL73" s="22" t="str">
        <f>IF(AK73="","",VLOOKUP(AK73,Verdivurdering!$B$2:$K$100,15,FALSE))</f>
        <v/>
      </c>
      <c r="AM73" s="22"/>
      <c r="AN73" s="22" t="str">
        <f>IF(AM73="","",VLOOKUP(AM73,Verdivurdering!$B$2:$K$100,15,FALSE))</f>
        <v/>
      </c>
      <c r="AO73" s="22"/>
      <c r="AP73" s="22" t="str">
        <f>IF(AO73="","",VLOOKUP(AO73,Verdivurdering!$B$2:$K$100,15,FALSE))</f>
        <v/>
      </c>
      <c r="AQ73" s="22"/>
      <c r="AR73" s="22" t="str">
        <f>IF(AQ73="","",VLOOKUP(AQ73,Verdivurdering!$B$2:$K$100,15,FALSE))</f>
        <v/>
      </c>
      <c r="AS73" s="22"/>
      <c r="AT73" s="22" t="str">
        <f>IF(AS73="","",VLOOKUP(AS73,Verdivurdering!$B$2:$K$100,15,FALSE))</f>
        <v/>
      </c>
      <c r="AU73" s="22"/>
      <c r="AV73" s="22" t="str">
        <f>IF(AU73="","",VLOOKUP(AU73,Verdivurdering!$B$2:$K$100,15,FALSE))</f>
        <v/>
      </c>
      <c r="AW73" s="22"/>
      <c r="AX73" s="21" t="str">
        <f>IF(AW73="","",VLOOKUP(AW73,Verdivurdering!$B$2:$K$100,15,FALSE))</f>
        <v/>
      </c>
      <c r="AY73" s="19" t="e">
        <f t="shared" si="2"/>
        <v>#N/A</v>
      </c>
      <c r="AZ73" s="19" t="str">
        <f>IF(ISNUMBER(AY73),VLOOKUP(AY73,'Datasource 2'!$H$14:$I$18,2,FALSE),"")</f>
        <v/>
      </c>
      <c r="BA73" s="39"/>
      <c r="BB73" s="27" t="e">
        <f>_xlfn.IFNA(VLOOKUP(BA73,'Datasource 2'!I$14:$J$18,2,FALSE),AY73)</f>
        <v>#N/A</v>
      </c>
    </row>
    <row r="74" spans="1:54" x14ac:dyDescent="0.25">
      <c r="A74" s="37">
        <v>73</v>
      </c>
      <c r="B74" s="23"/>
      <c r="C74" s="23"/>
      <c r="D74" s="23"/>
      <c r="E74" s="23"/>
      <c r="F74" s="23"/>
      <c r="G74" s="23"/>
      <c r="H74" s="23"/>
      <c r="I74" s="23"/>
      <c r="J74" s="23"/>
      <c r="K74" s="23"/>
      <c r="L74" s="23"/>
      <c r="M74" s="23"/>
      <c r="N74" s="23"/>
      <c r="O74" s="23"/>
      <c r="P74" s="23"/>
      <c r="Q74" s="23"/>
      <c r="R74" s="23"/>
      <c r="S74" s="23"/>
      <c r="T74" s="23"/>
      <c r="U74" s="23"/>
      <c r="V74" s="23"/>
      <c r="W74" s="23"/>
      <c r="X74" s="23"/>
      <c r="Y74" s="39"/>
      <c r="Z74" s="22" t="e">
        <f>VLOOKUP(Y74,'Datasource 2'!$I$14:$J$18,2,FALSE)</f>
        <v>#N/A</v>
      </c>
      <c r="AA74" s="22"/>
      <c r="AB74" s="22" t="str">
        <f>IF(AA74="","",VLOOKUP(AA74,Verdivurdering!$B$2:$K$100,15,FALSE))</f>
        <v/>
      </c>
      <c r="AC74" s="22"/>
      <c r="AD74" s="22" t="str">
        <f>IF(AC74="","",VLOOKUP(AC74,Verdivurdering!$B$2:$K$100,15,FALSE))</f>
        <v/>
      </c>
      <c r="AE74" s="22"/>
      <c r="AF74" s="22" t="str">
        <f>IF(AE74="","",VLOOKUP(AE74,Verdivurdering!$B$2:$K$100,15,FALSE))</f>
        <v/>
      </c>
      <c r="AG74" s="22"/>
      <c r="AH74" s="22" t="str">
        <f>IF(AG74="","",VLOOKUP(AG74,Verdivurdering!$B$2:$K$100,15,FALSE))</f>
        <v/>
      </c>
      <c r="AI74" s="22"/>
      <c r="AJ74" s="22" t="str">
        <f>IF(AI74="","",VLOOKUP(AI74,Verdivurdering!$B$2:$K$100,15,FALSE))</f>
        <v/>
      </c>
      <c r="AK74" s="22"/>
      <c r="AL74" s="22" t="str">
        <f>IF(AK74="","",VLOOKUP(AK74,Verdivurdering!$B$2:$K$100,15,FALSE))</f>
        <v/>
      </c>
      <c r="AM74" s="22"/>
      <c r="AN74" s="22" t="str">
        <f>IF(AM74="","",VLOOKUP(AM74,Verdivurdering!$B$2:$K$100,15,FALSE))</f>
        <v/>
      </c>
      <c r="AO74" s="22"/>
      <c r="AP74" s="22" t="str">
        <f>IF(AO74="","",VLOOKUP(AO74,Verdivurdering!$B$2:$K$100,15,FALSE))</f>
        <v/>
      </c>
      <c r="AQ74" s="22"/>
      <c r="AR74" s="22" t="str">
        <f>IF(AQ74="","",VLOOKUP(AQ74,Verdivurdering!$B$2:$K$100,15,FALSE))</f>
        <v/>
      </c>
      <c r="AS74" s="22"/>
      <c r="AT74" s="22" t="str">
        <f>IF(AS74="","",VLOOKUP(AS74,Verdivurdering!$B$2:$K$100,15,FALSE))</f>
        <v/>
      </c>
      <c r="AU74" s="22"/>
      <c r="AV74" s="22" t="str">
        <f>IF(AU74="","",VLOOKUP(AU74,Verdivurdering!$B$2:$K$100,15,FALSE))</f>
        <v/>
      </c>
      <c r="AW74" s="22"/>
      <c r="AX74" s="21" t="str">
        <f>IF(AW74="","",VLOOKUP(AW74,Verdivurdering!$B$2:$K$100,15,FALSE))</f>
        <v/>
      </c>
      <c r="AY74" s="19" t="e">
        <f t="shared" si="2"/>
        <v>#N/A</v>
      </c>
      <c r="AZ74" s="19" t="str">
        <f>IF(ISNUMBER(AY74),VLOOKUP(AY74,'Datasource 2'!$H$14:$I$18,2,FALSE),"")</f>
        <v/>
      </c>
      <c r="BA74" s="39"/>
      <c r="BB74" s="27" t="e">
        <f>_xlfn.IFNA(VLOOKUP(BA74,'Datasource 2'!I$14:$J$18,2,FALSE),AY74)</f>
        <v>#N/A</v>
      </c>
    </row>
    <row r="75" spans="1:54" x14ac:dyDescent="0.25">
      <c r="A75" s="37">
        <v>74</v>
      </c>
      <c r="B75" s="23"/>
      <c r="C75" s="23"/>
      <c r="D75" s="23"/>
      <c r="E75" s="23"/>
      <c r="F75" s="23"/>
      <c r="G75" s="23"/>
      <c r="H75" s="23"/>
      <c r="I75" s="23"/>
      <c r="J75" s="23"/>
      <c r="K75" s="23"/>
      <c r="L75" s="23"/>
      <c r="M75" s="23"/>
      <c r="N75" s="23"/>
      <c r="O75" s="23"/>
      <c r="P75" s="23"/>
      <c r="Q75" s="23"/>
      <c r="R75" s="23"/>
      <c r="S75" s="23"/>
      <c r="T75" s="23"/>
      <c r="U75" s="23"/>
      <c r="V75" s="23"/>
      <c r="W75" s="23"/>
      <c r="X75" s="23"/>
      <c r="Y75" s="39"/>
      <c r="Z75" s="22" t="e">
        <f>VLOOKUP(Y75,'Datasource 2'!$I$14:$J$18,2,FALSE)</f>
        <v>#N/A</v>
      </c>
      <c r="AA75" s="22"/>
      <c r="AB75" s="22" t="str">
        <f>IF(AA75="","",VLOOKUP(AA75,Verdivurdering!$B$2:$K$100,15,FALSE))</f>
        <v/>
      </c>
      <c r="AC75" s="22"/>
      <c r="AD75" s="22" t="str">
        <f>IF(AC75="","",VLOOKUP(AC75,Verdivurdering!$B$2:$K$100,15,FALSE))</f>
        <v/>
      </c>
      <c r="AE75" s="22"/>
      <c r="AF75" s="22" t="str">
        <f>IF(AE75="","",VLOOKUP(AE75,Verdivurdering!$B$2:$K$100,15,FALSE))</f>
        <v/>
      </c>
      <c r="AG75" s="22"/>
      <c r="AH75" s="22" t="str">
        <f>IF(AG75="","",VLOOKUP(AG75,Verdivurdering!$B$2:$K$100,15,FALSE))</f>
        <v/>
      </c>
      <c r="AI75" s="22"/>
      <c r="AJ75" s="22" t="str">
        <f>IF(AI75="","",VLOOKUP(AI75,Verdivurdering!$B$2:$K$100,15,FALSE))</f>
        <v/>
      </c>
      <c r="AK75" s="22"/>
      <c r="AL75" s="22" t="str">
        <f>IF(AK75="","",VLOOKUP(AK75,Verdivurdering!$B$2:$K$100,15,FALSE))</f>
        <v/>
      </c>
      <c r="AM75" s="22"/>
      <c r="AN75" s="22" t="str">
        <f>IF(AM75="","",VLOOKUP(AM75,Verdivurdering!$B$2:$K$100,15,FALSE))</f>
        <v/>
      </c>
      <c r="AO75" s="22"/>
      <c r="AP75" s="22" t="str">
        <f>IF(AO75="","",VLOOKUP(AO75,Verdivurdering!$B$2:$K$100,15,FALSE))</f>
        <v/>
      </c>
      <c r="AQ75" s="22"/>
      <c r="AR75" s="22" t="str">
        <f>IF(AQ75="","",VLOOKUP(AQ75,Verdivurdering!$B$2:$K$100,15,FALSE))</f>
        <v/>
      </c>
      <c r="AS75" s="22"/>
      <c r="AT75" s="22" t="str">
        <f>IF(AS75="","",VLOOKUP(AS75,Verdivurdering!$B$2:$K$100,15,FALSE))</f>
        <v/>
      </c>
      <c r="AU75" s="22"/>
      <c r="AV75" s="22" t="str">
        <f>IF(AU75="","",VLOOKUP(AU75,Verdivurdering!$B$2:$K$100,15,FALSE))</f>
        <v/>
      </c>
      <c r="AW75" s="22"/>
      <c r="AX75" s="21" t="str">
        <f>IF(AW75="","",VLOOKUP(AW75,Verdivurdering!$B$2:$K$100,15,FALSE))</f>
        <v/>
      </c>
      <c r="AY75" s="19" t="e">
        <f t="shared" si="2"/>
        <v>#N/A</v>
      </c>
      <c r="AZ75" s="19" t="str">
        <f>IF(ISNUMBER(AY75),VLOOKUP(AY75,'Datasource 2'!$H$14:$I$18,2,FALSE),"")</f>
        <v/>
      </c>
      <c r="BA75" s="39"/>
      <c r="BB75" s="27" t="e">
        <f>_xlfn.IFNA(VLOOKUP(BA75,'Datasource 2'!I$14:$J$18,2,FALSE),AY75)</f>
        <v>#N/A</v>
      </c>
    </row>
    <row r="76" spans="1:54" x14ac:dyDescent="0.25">
      <c r="A76" s="37">
        <v>75</v>
      </c>
      <c r="B76" s="23"/>
      <c r="C76" s="23"/>
      <c r="D76" s="23"/>
      <c r="E76" s="23"/>
      <c r="F76" s="23"/>
      <c r="G76" s="23"/>
      <c r="H76" s="23"/>
      <c r="I76" s="23"/>
      <c r="J76" s="23"/>
      <c r="K76" s="23"/>
      <c r="L76" s="23"/>
      <c r="M76" s="23"/>
      <c r="N76" s="23"/>
      <c r="O76" s="23"/>
      <c r="P76" s="23"/>
      <c r="Q76" s="23"/>
      <c r="R76" s="23"/>
      <c r="S76" s="23"/>
      <c r="T76" s="23"/>
      <c r="U76" s="23"/>
      <c r="V76" s="23"/>
      <c r="W76" s="23"/>
      <c r="X76" s="23"/>
      <c r="Y76" s="39"/>
      <c r="Z76" s="22" t="e">
        <f>VLOOKUP(Y76,'Datasource 2'!$I$14:$J$18,2,FALSE)</f>
        <v>#N/A</v>
      </c>
      <c r="AA76" s="22"/>
      <c r="AB76" s="22" t="str">
        <f>IF(AA76="","",VLOOKUP(AA76,Verdivurdering!$B$2:$K$100,15,FALSE))</f>
        <v/>
      </c>
      <c r="AC76" s="22"/>
      <c r="AD76" s="22" t="str">
        <f>IF(AC76="","",VLOOKUP(AC76,Verdivurdering!$B$2:$K$100,15,FALSE))</f>
        <v/>
      </c>
      <c r="AE76" s="22"/>
      <c r="AF76" s="22" t="str">
        <f>IF(AE76="","",VLOOKUP(AE76,Verdivurdering!$B$2:$K$100,15,FALSE))</f>
        <v/>
      </c>
      <c r="AG76" s="22"/>
      <c r="AH76" s="22" t="str">
        <f>IF(AG76="","",VLOOKUP(AG76,Verdivurdering!$B$2:$K$100,15,FALSE))</f>
        <v/>
      </c>
      <c r="AI76" s="22"/>
      <c r="AJ76" s="22" t="str">
        <f>IF(AI76="","",VLOOKUP(AI76,Verdivurdering!$B$2:$K$100,15,FALSE))</f>
        <v/>
      </c>
      <c r="AK76" s="22"/>
      <c r="AL76" s="22" t="str">
        <f>IF(AK76="","",VLOOKUP(AK76,Verdivurdering!$B$2:$K$100,15,FALSE))</f>
        <v/>
      </c>
      <c r="AM76" s="22"/>
      <c r="AN76" s="22" t="str">
        <f>IF(AM76="","",VLOOKUP(AM76,Verdivurdering!$B$2:$K$100,15,FALSE))</f>
        <v/>
      </c>
      <c r="AO76" s="22"/>
      <c r="AP76" s="22" t="str">
        <f>IF(AO76="","",VLOOKUP(AO76,Verdivurdering!$B$2:$K$100,15,FALSE))</f>
        <v/>
      </c>
      <c r="AQ76" s="22"/>
      <c r="AR76" s="22" t="str">
        <f>IF(AQ76="","",VLOOKUP(AQ76,Verdivurdering!$B$2:$K$100,15,FALSE))</f>
        <v/>
      </c>
      <c r="AS76" s="22"/>
      <c r="AT76" s="22" t="str">
        <f>IF(AS76="","",VLOOKUP(AS76,Verdivurdering!$B$2:$K$100,15,FALSE))</f>
        <v/>
      </c>
      <c r="AU76" s="22"/>
      <c r="AV76" s="22" t="str">
        <f>IF(AU76="","",VLOOKUP(AU76,Verdivurdering!$B$2:$K$100,15,FALSE))</f>
        <v/>
      </c>
      <c r="AW76" s="22"/>
      <c r="AX76" s="21" t="str">
        <f>IF(AW76="","",VLOOKUP(AW76,Verdivurdering!$B$2:$K$100,15,FALSE))</f>
        <v/>
      </c>
      <c r="AY76" s="19" t="e">
        <f t="shared" si="2"/>
        <v>#N/A</v>
      </c>
      <c r="AZ76" s="19" t="str">
        <f>IF(ISNUMBER(AY76),VLOOKUP(AY76,'Datasource 2'!$H$14:$I$18,2,FALSE),"")</f>
        <v/>
      </c>
      <c r="BA76" s="39"/>
      <c r="BB76" s="27" t="e">
        <f>_xlfn.IFNA(VLOOKUP(BA76,'Datasource 2'!I$14:$J$18,2,FALSE),AY76)</f>
        <v>#N/A</v>
      </c>
    </row>
    <row r="77" spans="1:54" x14ac:dyDescent="0.25">
      <c r="A77" s="37">
        <v>76</v>
      </c>
      <c r="B77" s="23"/>
      <c r="C77" s="23"/>
      <c r="D77" s="23"/>
      <c r="E77" s="23"/>
      <c r="F77" s="23"/>
      <c r="G77" s="23"/>
      <c r="H77" s="23"/>
      <c r="I77" s="23"/>
      <c r="J77" s="23"/>
      <c r="K77" s="23"/>
      <c r="L77" s="23"/>
      <c r="M77" s="23"/>
      <c r="N77" s="23"/>
      <c r="O77" s="23"/>
      <c r="P77" s="23"/>
      <c r="Q77" s="23"/>
      <c r="R77" s="23"/>
      <c r="S77" s="23"/>
      <c r="T77" s="23"/>
      <c r="U77" s="23"/>
      <c r="V77" s="23"/>
      <c r="W77" s="23"/>
      <c r="X77" s="23"/>
      <c r="Y77" s="39"/>
      <c r="Z77" s="22" t="e">
        <f>VLOOKUP(Y77,'Datasource 2'!$I$14:$J$18,2,FALSE)</f>
        <v>#N/A</v>
      </c>
      <c r="AA77" s="22"/>
      <c r="AB77" s="22" t="str">
        <f>IF(AA77="","",VLOOKUP(AA77,Verdivurdering!$B$2:$K$100,15,FALSE))</f>
        <v/>
      </c>
      <c r="AC77" s="22"/>
      <c r="AD77" s="22" t="str">
        <f>IF(AC77="","",VLOOKUP(AC77,Verdivurdering!$B$2:$K$100,15,FALSE))</f>
        <v/>
      </c>
      <c r="AE77" s="22"/>
      <c r="AF77" s="22" t="str">
        <f>IF(AE77="","",VLOOKUP(AE77,Verdivurdering!$B$2:$K$100,15,FALSE))</f>
        <v/>
      </c>
      <c r="AG77" s="22"/>
      <c r="AH77" s="22" t="str">
        <f>IF(AG77="","",VLOOKUP(AG77,Verdivurdering!$B$2:$K$100,15,FALSE))</f>
        <v/>
      </c>
      <c r="AI77" s="22"/>
      <c r="AJ77" s="22" t="str">
        <f>IF(AI77="","",VLOOKUP(AI77,Verdivurdering!$B$2:$K$100,15,FALSE))</f>
        <v/>
      </c>
      <c r="AK77" s="22"/>
      <c r="AL77" s="22" t="str">
        <f>IF(AK77="","",VLOOKUP(AK77,Verdivurdering!$B$2:$K$100,15,FALSE))</f>
        <v/>
      </c>
      <c r="AM77" s="22"/>
      <c r="AN77" s="22" t="str">
        <f>IF(AM77="","",VLOOKUP(AM77,Verdivurdering!$B$2:$K$100,15,FALSE))</f>
        <v/>
      </c>
      <c r="AO77" s="22"/>
      <c r="AP77" s="22" t="str">
        <f>IF(AO77="","",VLOOKUP(AO77,Verdivurdering!$B$2:$K$100,15,FALSE))</f>
        <v/>
      </c>
      <c r="AQ77" s="22"/>
      <c r="AR77" s="22" t="str">
        <f>IF(AQ77="","",VLOOKUP(AQ77,Verdivurdering!$B$2:$K$100,15,FALSE))</f>
        <v/>
      </c>
      <c r="AS77" s="22"/>
      <c r="AT77" s="22" t="str">
        <f>IF(AS77="","",VLOOKUP(AS77,Verdivurdering!$B$2:$K$100,15,FALSE))</f>
        <v/>
      </c>
      <c r="AU77" s="22"/>
      <c r="AV77" s="22" t="str">
        <f>IF(AU77="","",VLOOKUP(AU77,Verdivurdering!$B$2:$K$100,15,FALSE))</f>
        <v/>
      </c>
      <c r="AW77" s="22"/>
      <c r="AX77" s="21" t="str">
        <f>IF(AW77="","",VLOOKUP(AW77,Verdivurdering!$B$2:$K$100,15,FALSE))</f>
        <v/>
      </c>
      <c r="AY77" s="19" t="e">
        <f t="shared" si="2"/>
        <v>#N/A</v>
      </c>
      <c r="AZ77" s="19" t="str">
        <f>IF(ISNUMBER(AY77),VLOOKUP(AY77,'Datasource 2'!$H$14:$I$18,2,FALSE),"")</f>
        <v/>
      </c>
      <c r="BA77" s="39"/>
      <c r="BB77" s="27" t="e">
        <f>_xlfn.IFNA(VLOOKUP(BA77,'Datasource 2'!I$14:$J$18,2,FALSE),AY77)</f>
        <v>#N/A</v>
      </c>
    </row>
    <row r="78" spans="1:54" x14ac:dyDescent="0.25">
      <c r="A78" s="37">
        <v>77</v>
      </c>
      <c r="B78" s="23"/>
      <c r="C78" s="23"/>
      <c r="D78" s="23"/>
      <c r="E78" s="23"/>
      <c r="F78" s="23"/>
      <c r="G78" s="23"/>
      <c r="H78" s="23"/>
      <c r="I78" s="23"/>
      <c r="J78" s="23"/>
      <c r="K78" s="23"/>
      <c r="L78" s="23"/>
      <c r="M78" s="23"/>
      <c r="N78" s="23"/>
      <c r="O78" s="23"/>
      <c r="P78" s="23"/>
      <c r="Q78" s="23"/>
      <c r="R78" s="23"/>
      <c r="S78" s="23"/>
      <c r="T78" s="23"/>
      <c r="U78" s="23"/>
      <c r="V78" s="23"/>
      <c r="W78" s="23"/>
      <c r="X78" s="23"/>
      <c r="Y78" s="39"/>
      <c r="Z78" s="22" t="e">
        <f>VLOOKUP(Y78,'Datasource 2'!$I$14:$J$18,2,FALSE)</f>
        <v>#N/A</v>
      </c>
      <c r="AA78" s="22"/>
      <c r="AB78" s="22" t="str">
        <f>IF(AA78="","",VLOOKUP(AA78,Verdivurdering!$B$2:$K$100,15,FALSE))</f>
        <v/>
      </c>
      <c r="AC78" s="22"/>
      <c r="AD78" s="22" t="str">
        <f>IF(AC78="","",VLOOKUP(AC78,Verdivurdering!$B$2:$K$100,15,FALSE))</f>
        <v/>
      </c>
      <c r="AE78" s="22"/>
      <c r="AF78" s="22" t="str">
        <f>IF(AE78="","",VLOOKUP(AE78,Verdivurdering!$B$2:$K$100,15,FALSE))</f>
        <v/>
      </c>
      <c r="AG78" s="22"/>
      <c r="AH78" s="22" t="str">
        <f>IF(AG78="","",VLOOKUP(AG78,Verdivurdering!$B$2:$K$100,15,FALSE))</f>
        <v/>
      </c>
      <c r="AI78" s="22"/>
      <c r="AJ78" s="22" t="str">
        <f>IF(AI78="","",VLOOKUP(AI78,Verdivurdering!$B$2:$K$100,15,FALSE))</f>
        <v/>
      </c>
      <c r="AK78" s="22"/>
      <c r="AL78" s="22" t="str">
        <f>IF(AK78="","",VLOOKUP(AK78,Verdivurdering!$B$2:$K$100,15,FALSE))</f>
        <v/>
      </c>
      <c r="AM78" s="22"/>
      <c r="AN78" s="22" t="str">
        <f>IF(AM78="","",VLOOKUP(AM78,Verdivurdering!$B$2:$K$100,15,FALSE))</f>
        <v/>
      </c>
      <c r="AO78" s="22"/>
      <c r="AP78" s="22" t="str">
        <f>IF(AO78="","",VLOOKUP(AO78,Verdivurdering!$B$2:$K$100,15,FALSE))</f>
        <v/>
      </c>
      <c r="AQ78" s="22"/>
      <c r="AR78" s="22" t="str">
        <f>IF(AQ78="","",VLOOKUP(AQ78,Verdivurdering!$B$2:$K$100,15,FALSE))</f>
        <v/>
      </c>
      <c r="AS78" s="22"/>
      <c r="AT78" s="22" t="str">
        <f>IF(AS78="","",VLOOKUP(AS78,Verdivurdering!$B$2:$K$100,15,FALSE))</f>
        <v/>
      </c>
      <c r="AU78" s="22"/>
      <c r="AV78" s="22" t="str">
        <f>IF(AU78="","",VLOOKUP(AU78,Verdivurdering!$B$2:$K$100,15,FALSE))</f>
        <v/>
      </c>
      <c r="AW78" s="22"/>
      <c r="AX78" s="21" t="str">
        <f>IF(AW78="","",VLOOKUP(AW78,Verdivurdering!$B$2:$K$100,15,FALSE))</f>
        <v/>
      </c>
      <c r="AY78" s="19" t="e">
        <f t="shared" si="2"/>
        <v>#N/A</v>
      </c>
      <c r="AZ78" s="19" t="str">
        <f>IF(ISNUMBER(AY78),VLOOKUP(AY78,'Datasource 2'!$H$14:$I$18,2,FALSE),"")</f>
        <v/>
      </c>
      <c r="BA78" s="39"/>
      <c r="BB78" s="27" t="e">
        <f>_xlfn.IFNA(VLOOKUP(BA78,'Datasource 2'!I$14:$J$18,2,FALSE),AY78)</f>
        <v>#N/A</v>
      </c>
    </row>
    <row r="79" spans="1:54" x14ac:dyDescent="0.25">
      <c r="A79" s="37">
        <v>78</v>
      </c>
      <c r="B79" s="23"/>
      <c r="C79" s="23"/>
      <c r="D79" s="23"/>
      <c r="E79" s="23"/>
      <c r="F79" s="23"/>
      <c r="G79" s="23"/>
      <c r="H79" s="23"/>
      <c r="I79" s="23"/>
      <c r="J79" s="23"/>
      <c r="K79" s="23"/>
      <c r="L79" s="23"/>
      <c r="M79" s="23"/>
      <c r="N79" s="23"/>
      <c r="O79" s="23"/>
      <c r="P79" s="23"/>
      <c r="Q79" s="23"/>
      <c r="R79" s="23"/>
      <c r="S79" s="23"/>
      <c r="T79" s="23"/>
      <c r="U79" s="23"/>
      <c r="V79" s="23"/>
      <c r="W79" s="23"/>
      <c r="X79" s="23"/>
      <c r="Y79" s="39"/>
      <c r="Z79" s="22" t="e">
        <f>VLOOKUP(Y79,'Datasource 2'!$I$14:$J$18,2,FALSE)</f>
        <v>#N/A</v>
      </c>
      <c r="AA79" s="22"/>
      <c r="AB79" s="22" t="str">
        <f>IF(AA79="","",VLOOKUP(AA79,Verdivurdering!$B$2:$K$100,15,FALSE))</f>
        <v/>
      </c>
      <c r="AC79" s="22"/>
      <c r="AD79" s="22" t="str">
        <f>IF(AC79="","",VLOOKUP(AC79,Verdivurdering!$B$2:$K$100,15,FALSE))</f>
        <v/>
      </c>
      <c r="AE79" s="22"/>
      <c r="AF79" s="22" t="str">
        <f>IF(AE79="","",VLOOKUP(AE79,Verdivurdering!$B$2:$K$100,15,FALSE))</f>
        <v/>
      </c>
      <c r="AG79" s="22"/>
      <c r="AH79" s="22" t="str">
        <f>IF(AG79="","",VLOOKUP(AG79,Verdivurdering!$B$2:$K$100,15,FALSE))</f>
        <v/>
      </c>
      <c r="AI79" s="22"/>
      <c r="AJ79" s="22" t="str">
        <f>IF(AI79="","",VLOOKUP(AI79,Verdivurdering!$B$2:$K$100,15,FALSE))</f>
        <v/>
      </c>
      <c r="AK79" s="22"/>
      <c r="AL79" s="22" t="str">
        <f>IF(AK79="","",VLOOKUP(AK79,Verdivurdering!$B$2:$K$100,15,FALSE))</f>
        <v/>
      </c>
      <c r="AM79" s="22"/>
      <c r="AN79" s="22" t="str">
        <f>IF(AM79="","",VLOOKUP(AM79,Verdivurdering!$B$2:$K$100,15,FALSE))</f>
        <v/>
      </c>
      <c r="AO79" s="22"/>
      <c r="AP79" s="22" t="str">
        <f>IF(AO79="","",VLOOKUP(AO79,Verdivurdering!$B$2:$K$100,15,FALSE))</f>
        <v/>
      </c>
      <c r="AQ79" s="22"/>
      <c r="AR79" s="22" t="str">
        <f>IF(AQ79="","",VLOOKUP(AQ79,Verdivurdering!$B$2:$K$100,15,FALSE))</f>
        <v/>
      </c>
      <c r="AS79" s="22"/>
      <c r="AT79" s="22" t="str">
        <f>IF(AS79="","",VLOOKUP(AS79,Verdivurdering!$B$2:$K$100,15,FALSE))</f>
        <v/>
      </c>
      <c r="AU79" s="22"/>
      <c r="AV79" s="22" t="str">
        <f>IF(AU79="","",VLOOKUP(AU79,Verdivurdering!$B$2:$K$100,15,FALSE))</f>
        <v/>
      </c>
      <c r="AW79" s="22"/>
      <c r="AX79" s="21" t="str">
        <f>IF(AW79="","",VLOOKUP(AW79,Verdivurdering!$B$2:$K$100,15,FALSE))</f>
        <v/>
      </c>
      <c r="AY79" s="19" t="e">
        <f t="shared" si="2"/>
        <v>#N/A</v>
      </c>
      <c r="AZ79" s="19" t="str">
        <f>IF(ISNUMBER(AY79),VLOOKUP(AY79,'Datasource 2'!$H$14:$I$18,2,FALSE),"")</f>
        <v/>
      </c>
      <c r="BA79" s="39"/>
      <c r="BB79" s="27" t="e">
        <f>_xlfn.IFNA(VLOOKUP(BA79,'Datasource 2'!I$14:$J$18,2,FALSE),AY79)</f>
        <v>#N/A</v>
      </c>
    </row>
    <row r="80" spans="1:54" x14ac:dyDescent="0.25">
      <c r="A80" s="37">
        <v>79</v>
      </c>
      <c r="B80" s="23"/>
      <c r="C80" s="23"/>
      <c r="D80" s="23"/>
      <c r="E80" s="23"/>
      <c r="F80" s="23"/>
      <c r="G80" s="23"/>
      <c r="H80" s="23"/>
      <c r="I80" s="23"/>
      <c r="J80" s="23"/>
      <c r="K80" s="23"/>
      <c r="L80" s="23"/>
      <c r="M80" s="23"/>
      <c r="N80" s="23"/>
      <c r="O80" s="23"/>
      <c r="P80" s="23"/>
      <c r="Q80" s="23"/>
      <c r="R80" s="23"/>
      <c r="S80" s="23"/>
      <c r="T80" s="23"/>
      <c r="U80" s="23"/>
      <c r="V80" s="23"/>
      <c r="W80" s="23"/>
      <c r="X80" s="23"/>
      <c r="Y80" s="39"/>
      <c r="Z80" s="22" t="e">
        <f>VLOOKUP(Y80,'Datasource 2'!$I$14:$J$18,2,FALSE)</f>
        <v>#N/A</v>
      </c>
      <c r="AA80" s="22"/>
      <c r="AB80" s="22" t="str">
        <f>IF(AA80="","",VLOOKUP(AA80,Verdivurdering!$B$2:$K$100,15,FALSE))</f>
        <v/>
      </c>
      <c r="AC80" s="22"/>
      <c r="AD80" s="22" t="str">
        <f>IF(AC80="","",VLOOKUP(AC80,Verdivurdering!$B$2:$K$100,15,FALSE))</f>
        <v/>
      </c>
      <c r="AE80" s="22"/>
      <c r="AF80" s="22" t="str">
        <f>IF(AE80="","",VLOOKUP(AE80,Verdivurdering!$B$2:$K$100,15,FALSE))</f>
        <v/>
      </c>
      <c r="AG80" s="22"/>
      <c r="AH80" s="22" t="str">
        <f>IF(AG80="","",VLOOKUP(AG80,Verdivurdering!$B$2:$K$100,15,FALSE))</f>
        <v/>
      </c>
      <c r="AI80" s="22"/>
      <c r="AJ80" s="22" t="str">
        <f>IF(AI80="","",VLOOKUP(AI80,Verdivurdering!$B$2:$K$100,15,FALSE))</f>
        <v/>
      </c>
      <c r="AK80" s="22"/>
      <c r="AL80" s="22" t="str">
        <f>IF(AK80="","",VLOOKUP(AK80,Verdivurdering!$B$2:$K$100,15,FALSE))</f>
        <v/>
      </c>
      <c r="AM80" s="22"/>
      <c r="AN80" s="22" t="str">
        <f>IF(AM80="","",VLOOKUP(AM80,Verdivurdering!$B$2:$K$100,15,FALSE))</f>
        <v/>
      </c>
      <c r="AO80" s="22"/>
      <c r="AP80" s="22" t="str">
        <f>IF(AO80="","",VLOOKUP(AO80,Verdivurdering!$B$2:$K$100,15,FALSE))</f>
        <v/>
      </c>
      <c r="AQ80" s="22"/>
      <c r="AR80" s="22" t="str">
        <f>IF(AQ80="","",VLOOKUP(AQ80,Verdivurdering!$B$2:$K$100,15,FALSE))</f>
        <v/>
      </c>
      <c r="AS80" s="22"/>
      <c r="AT80" s="22" t="str">
        <f>IF(AS80="","",VLOOKUP(AS80,Verdivurdering!$B$2:$K$100,15,FALSE))</f>
        <v/>
      </c>
      <c r="AU80" s="22"/>
      <c r="AV80" s="22" t="str">
        <f>IF(AU80="","",VLOOKUP(AU80,Verdivurdering!$B$2:$K$100,15,FALSE))</f>
        <v/>
      </c>
      <c r="AW80" s="22"/>
      <c r="AX80" s="21" t="str">
        <f>IF(AW80="","",VLOOKUP(AW80,Verdivurdering!$B$2:$K$100,15,FALSE))</f>
        <v/>
      </c>
      <c r="AY80" s="19" t="e">
        <f t="shared" si="2"/>
        <v>#N/A</v>
      </c>
      <c r="AZ80" s="19" t="str">
        <f>IF(ISNUMBER(AY80),VLOOKUP(AY80,'Datasource 2'!$H$14:$I$18,2,FALSE),"")</f>
        <v/>
      </c>
      <c r="BA80" s="39"/>
      <c r="BB80" s="27" t="e">
        <f>_xlfn.IFNA(VLOOKUP(BA80,'Datasource 2'!I$14:$J$18,2,FALSE),AY80)</f>
        <v>#N/A</v>
      </c>
    </row>
    <row r="81" spans="1:54" x14ac:dyDescent="0.25">
      <c r="A81" s="37">
        <v>80</v>
      </c>
      <c r="B81" s="23"/>
      <c r="C81" s="23"/>
      <c r="D81" s="23"/>
      <c r="E81" s="23"/>
      <c r="F81" s="23"/>
      <c r="G81" s="23"/>
      <c r="H81" s="23"/>
      <c r="I81" s="23"/>
      <c r="J81" s="23"/>
      <c r="K81" s="23"/>
      <c r="L81" s="23"/>
      <c r="M81" s="23"/>
      <c r="N81" s="23"/>
      <c r="O81" s="23"/>
      <c r="P81" s="23"/>
      <c r="Q81" s="23"/>
      <c r="R81" s="23"/>
      <c r="S81" s="23"/>
      <c r="T81" s="23"/>
      <c r="U81" s="23"/>
      <c r="V81" s="23"/>
      <c r="W81" s="23"/>
      <c r="X81" s="23"/>
      <c r="Y81" s="39"/>
      <c r="Z81" s="22" t="e">
        <f>VLOOKUP(Y81,'Datasource 2'!$I$14:$J$18,2,FALSE)</f>
        <v>#N/A</v>
      </c>
      <c r="AA81" s="22"/>
      <c r="AB81" s="22" t="str">
        <f>IF(AA81="","",VLOOKUP(AA81,Verdivurdering!$B$2:$K$100,15,FALSE))</f>
        <v/>
      </c>
      <c r="AC81" s="22"/>
      <c r="AD81" s="22" t="str">
        <f>IF(AC81="","",VLOOKUP(AC81,Verdivurdering!$B$2:$K$100,15,FALSE))</f>
        <v/>
      </c>
      <c r="AE81" s="22"/>
      <c r="AF81" s="22" t="str">
        <f>IF(AE81="","",VLOOKUP(AE81,Verdivurdering!$B$2:$K$100,15,FALSE))</f>
        <v/>
      </c>
      <c r="AG81" s="22"/>
      <c r="AH81" s="22" t="str">
        <f>IF(AG81="","",VLOOKUP(AG81,Verdivurdering!$B$2:$K$100,15,FALSE))</f>
        <v/>
      </c>
      <c r="AI81" s="22"/>
      <c r="AJ81" s="22" t="str">
        <f>IF(AI81="","",VLOOKUP(AI81,Verdivurdering!$B$2:$K$100,15,FALSE))</f>
        <v/>
      </c>
      <c r="AK81" s="22"/>
      <c r="AL81" s="22" t="str">
        <f>IF(AK81="","",VLOOKUP(AK81,Verdivurdering!$B$2:$K$100,15,FALSE))</f>
        <v/>
      </c>
      <c r="AM81" s="22"/>
      <c r="AN81" s="22" t="str">
        <f>IF(AM81="","",VLOOKUP(AM81,Verdivurdering!$B$2:$K$100,15,FALSE))</f>
        <v/>
      </c>
      <c r="AO81" s="22"/>
      <c r="AP81" s="22" t="str">
        <f>IF(AO81="","",VLOOKUP(AO81,Verdivurdering!$B$2:$K$100,15,FALSE))</f>
        <v/>
      </c>
      <c r="AQ81" s="22"/>
      <c r="AR81" s="22" t="str">
        <f>IF(AQ81="","",VLOOKUP(AQ81,Verdivurdering!$B$2:$K$100,15,FALSE))</f>
        <v/>
      </c>
      <c r="AS81" s="22"/>
      <c r="AT81" s="22" t="str">
        <f>IF(AS81="","",VLOOKUP(AS81,Verdivurdering!$B$2:$K$100,15,FALSE))</f>
        <v/>
      </c>
      <c r="AU81" s="22"/>
      <c r="AV81" s="22" t="str">
        <f>IF(AU81="","",VLOOKUP(AU81,Verdivurdering!$B$2:$K$100,15,FALSE))</f>
        <v/>
      </c>
      <c r="AW81" s="22"/>
      <c r="AX81" s="21" t="str">
        <f>IF(AW81="","",VLOOKUP(AW81,Verdivurdering!$B$2:$K$100,15,FALSE))</f>
        <v/>
      </c>
      <c r="AY81" s="19" t="e">
        <f t="shared" si="2"/>
        <v>#N/A</v>
      </c>
      <c r="AZ81" s="19" t="str">
        <f>IF(ISNUMBER(AY81),VLOOKUP(AY81,'Datasource 2'!$H$14:$I$18,2,FALSE),"")</f>
        <v/>
      </c>
      <c r="BA81" s="39"/>
      <c r="BB81" s="27" t="e">
        <f>_xlfn.IFNA(VLOOKUP(BA81,'Datasource 2'!I$14:$J$18,2,FALSE),AY81)</f>
        <v>#N/A</v>
      </c>
    </row>
    <row r="82" spans="1:54" x14ac:dyDescent="0.25">
      <c r="A82" s="37">
        <v>81</v>
      </c>
      <c r="B82" s="23"/>
      <c r="C82" s="23"/>
      <c r="D82" s="23"/>
      <c r="E82" s="23"/>
      <c r="F82" s="23"/>
      <c r="G82" s="23"/>
      <c r="H82" s="23"/>
      <c r="I82" s="23"/>
      <c r="J82" s="23"/>
      <c r="K82" s="23"/>
      <c r="L82" s="23"/>
      <c r="M82" s="23"/>
      <c r="N82" s="23"/>
      <c r="O82" s="23"/>
      <c r="P82" s="23"/>
      <c r="Q82" s="23"/>
      <c r="R82" s="23"/>
      <c r="S82" s="23"/>
      <c r="T82" s="23"/>
      <c r="U82" s="23"/>
      <c r="V82" s="23"/>
      <c r="W82" s="23"/>
      <c r="X82" s="23"/>
      <c r="Y82" s="39"/>
      <c r="Z82" s="22" t="e">
        <f>VLOOKUP(Y82,'Datasource 2'!$I$14:$J$18,2,FALSE)</f>
        <v>#N/A</v>
      </c>
      <c r="AA82" s="22"/>
      <c r="AB82" s="22" t="str">
        <f>IF(AA82="","",VLOOKUP(AA82,Verdivurdering!$B$2:$K$100,15,FALSE))</f>
        <v/>
      </c>
      <c r="AC82" s="22"/>
      <c r="AD82" s="22" t="str">
        <f>IF(AC82="","",VLOOKUP(AC82,Verdivurdering!$B$2:$K$100,15,FALSE))</f>
        <v/>
      </c>
      <c r="AE82" s="22"/>
      <c r="AF82" s="22" t="str">
        <f>IF(AE82="","",VLOOKUP(AE82,Verdivurdering!$B$2:$K$100,15,FALSE))</f>
        <v/>
      </c>
      <c r="AG82" s="22"/>
      <c r="AH82" s="22" t="str">
        <f>IF(AG82="","",VLOOKUP(AG82,Verdivurdering!$B$2:$K$100,15,FALSE))</f>
        <v/>
      </c>
      <c r="AI82" s="22"/>
      <c r="AJ82" s="22" t="str">
        <f>IF(AI82="","",VLOOKUP(AI82,Verdivurdering!$B$2:$K$100,15,FALSE))</f>
        <v/>
      </c>
      <c r="AK82" s="22"/>
      <c r="AL82" s="22" t="str">
        <f>IF(AK82="","",VLOOKUP(AK82,Verdivurdering!$B$2:$K$100,15,FALSE))</f>
        <v/>
      </c>
      <c r="AM82" s="22"/>
      <c r="AN82" s="22" t="str">
        <f>IF(AM82="","",VLOOKUP(AM82,Verdivurdering!$B$2:$K$100,15,FALSE))</f>
        <v/>
      </c>
      <c r="AO82" s="22"/>
      <c r="AP82" s="22" t="str">
        <f>IF(AO82="","",VLOOKUP(AO82,Verdivurdering!$B$2:$K$100,15,FALSE))</f>
        <v/>
      </c>
      <c r="AQ82" s="22"/>
      <c r="AR82" s="22" t="str">
        <f>IF(AQ82="","",VLOOKUP(AQ82,Verdivurdering!$B$2:$K$100,15,FALSE))</f>
        <v/>
      </c>
      <c r="AS82" s="22"/>
      <c r="AT82" s="22" t="str">
        <f>IF(AS82="","",VLOOKUP(AS82,Verdivurdering!$B$2:$K$100,15,FALSE))</f>
        <v/>
      </c>
      <c r="AU82" s="22"/>
      <c r="AV82" s="22" t="str">
        <f>IF(AU82="","",VLOOKUP(AU82,Verdivurdering!$B$2:$K$100,15,FALSE))</f>
        <v/>
      </c>
      <c r="AW82" s="22"/>
      <c r="AX82" s="21" t="str">
        <f>IF(AW82="","",VLOOKUP(AW82,Verdivurdering!$B$2:$K$100,15,FALSE))</f>
        <v/>
      </c>
      <c r="AY82" s="19" t="e">
        <f t="shared" si="2"/>
        <v>#N/A</v>
      </c>
      <c r="AZ82" s="19" t="str">
        <f>IF(ISNUMBER(AY82),VLOOKUP(AY82,'Datasource 2'!$H$14:$I$18,2,FALSE),"")</f>
        <v/>
      </c>
      <c r="BA82" s="39"/>
      <c r="BB82" s="27" t="e">
        <f>_xlfn.IFNA(VLOOKUP(BA82,'Datasource 2'!I$14:$J$18,2,FALSE),AY82)</f>
        <v>#N/A</v>
      </c>
    </row>
    <row r="83" spans="1:54" x14ac:dyDescent="0.25">
      <c r="A83" s="37">
        <v>82</v>
      </c>
      <c r="B83" s="23"/>
      <c r="C83" s="23"/>
      <c r="D83" s="23"/>
      <c r="E83" s="23"/>
      <c r="F83" s="23"/>
      <c r="G83" s="23"/>
      <c r="H83" s="23"/>
      <c r="I83" s="23"/>
      <c r="J83" s="23"/>
      <c r="K83" s="23"/>
      <c r="L83" s="23"/>
      <c r="M83" s="23"/>
      <c r="N83" s="23"/>
      <c r="O83" s="23"/>
      <c r="P83" s="23"/>
      <c r="Q83" s="23"/>
      <c r="R83" s="23"/>
      <c r="S83" s="23"/>
      <c r="T83" s="23"/>
      <c r="U83" s="23"/>
      <c r="V83" s="23"/>
      <c r="W83" s="23"/>
      <c r="X83" s="23"/>
      <c r="Y83" s="39"/>
      <c r="Z83" s="22" t="e">
        <f>VLOOKUP(Y83,'Datasource 2'!$I$14:$J$18,2,FALSE)</f>
        <v>#N/A</v>
      </c>
      <c r="AA83" s="22"/>
      <c r="AB83" s="22" t="str">
        <f>IF(AA83="","",VLOOKUP(AA83,Verdivurdering!$B$2:$K$100,15,FALSE))</f>
        <v/>
      </c>
      <c r="AC83" s="22"/>
      <c r="AD83" s="22" t="str">
        <f>IF(AC83="","",VLOOKUP(AC83,Verdivurdering!$B$2:$K$100,15,FALSE))</f>
        <v/>
      </c>
      <c r="AE83" s="22"/>
      <c r="AF83" s="22" t="str">
        <f>IF(AE83="","",VLOOKUP(AE83,Verdivurdering!$B$2:$K$100,15,FALSE))</f>
        <v/>
      </c>
      <c r="AG83" s="22"/>
      <c r="AH83" s="22" t="str">
        <f>IF(AG83="","",VLOOKUP(AG83,Verdivurdering!$B$2:$K$100,15,FALSE))</f>
        <v/>
      </c>
      <c r="AI83" s="22"/>
      <c r="AJ83" s="22" t="str">
        <f>IF(AI83="","",VLOOKUP(AI83,Verdivurdering!$B$2:$K$100,15,FALSE))</f>
        <v/>
      </c>
      <c r="AK83" s="22"/>
      <c r="AL83" s="22" t="str">
        <f>IF(AK83="","",VLOOKUP(AK83,Verdivurdering!$B$2:$K$100,15,FALSE))</f>
        <v/>
      </c>
      <c r="AM83" s="22"/>
      <c r="AN83" s="22" t="str">
        <f>IF(AM83="","",VLOOKUP(AM83,Verdivurdering!$B$2:$K$100,15,FALSE))</f>
        <v/>
      </c>
      <c r="AO83" s="22"/>
      <c r="AP83" s="22" t="str">
        <f>IF(AO83="","",VLOOKUP(AO83,Verdivurdering!$B$2:$K$100,15,FALSE))</f>
        <v/>
      </c>
      <c r="AQ83" s="22"/>
      <c r="AR83" s="22" t="str">
        <f>IF(AQ83="","",VLOOKUP(AQ83,Verdivurdering!$B$2:$K$100,15,FALSE))</f>
        <v/>
      </c>
      <c r="AS83" s="22"/>
      <c r="AT83" s="22" t="str">
        <f>IF(AS83="","",VLOOKUP(AS83,Verdivurdering!$B$2:$K$100,15,FALSE))</f>
        <v/>
      </c>
      <c r="AU83" s="22"/>
      <c r="AV83" s="22" t="str">
        <f>IF(AU83="","",VLOOKUP(AU83,Verdivurdering!$B$2:$K$100,15,FALSE))</f>
        <v/>
      </c>
      <c r="AW83" s="22"/>
      <c r="AX83" s="21" t="str">
        <f>IF(AW83="","",VLOOKUP(AW83,Verdivurdering!$B$2:$K$100,15,FALSE))</f>
        <v/>
      </c>
      <c r="AY83" s="19" t="e">
        <f t="shared" si="2"/>
        <v>#N/A</v>
      </c>
      <c r="AZ83" s="19" t="str">
        <f>IF(ISNUMBER(AY83),VLOOKUP(AY83,'Datasource 2'!$H$14:$I$18,2,FALSE),"")</f>
        <v/>
      </c>
      <c r="BA83" s="39"/>
      <c r="BB83" s="27" t="e">
        <f>_xlfn.IFNA(VLOOKUP(BA83,'Datasource 2'!I$14:$J$18,2,FALSE),AY83)</f>
        <v>#N/A</v>
      </c>
    </row>
    <row r="84" spans="1:54" x14ac:dyDescent="0.25">
      <c r="A84" s="37">
        <v>83</v>
      </c>
      <c r="B84" s="23"/>
      <c r="C84" s="23"/>
      <c r="D84" s="23"/>
      <c r="E84" s="23"/>
      <c r="F84" s="23"/>
      <c r="G84" s="23"/>
      <c r="H84" s="23"/>
      <c r="I84" s="23"/>
      <c r="J84" s="23"/>
      <c r="K84" s="23"/>
      <c r="L84" s="23"/>
      <c r="M84" s="23"/>
      <c r="N84" s="23"/>
      <c r="O84" s="23"/>
      <c r="P84" s="23"/>
      <c r="Q84" s="23"/>
      <c r="R84" s="23"/>
      <c r="S84" s="23"/>
      <c r="T84" s="23"/>
      <c r="U84" s="23"/>
      <c r="V84" s="23"/>
      <c r="W84" s="23"/>
      <c r="X84" s="23"/>
      <c r="Y84" s="39"/>
      <c r="Z84" s="22" t="e">
        <f>VLOOKUP(Y84,'Datasource 2'!$I$14:$J$18,2,FALSE)</f>
        <v>#N/A</v>
      </c>
      <c r="AA84" s="22"/>
      <c r="AB84" s="22" t="str">
        <f>IF(AA84="","",VLOOKUP(AA84,Verdivurdering!$B$2:$K$100,15,FALSE))</f>
        <v/>
      </c>
      <c r="AC84" s="22"/>
      <c r="AD84" s="22" t="str">
        <f>IF(AC84="","",VLOOKUP(AC84,Verdivurdering!$B$2:$K$100,15,FALSE))</f>
        <v/>
      </c>
      <c r="AE84" s="22"/>
      <c r="AF84" s="22" t="str">
        <f>IF(AE84="","",VLOOKUP(AE84,Verdivurdering!$B$2:$K$100,15,FALSE))</f>
        <v/>
      </c>
      <c r="AG84" s="22"/>
      <c r="AH84" s="22" t="str">
        <f>IF(AG84="","",VLOOKUP(AG84,Verdivurdering!$B$2:$K$100,15,FALSE))</f>
        <v/>
      </c>
      <c r="AI84" s="22"/>
      <c r="AJ84" s="22" t="str">
        <f>IF(AI84="","",VLOOKUP(AI84,Verdivurdering!$B$2:$K$100,15,FALSE))</f>
        <v/>
      </c>
      <c r="AK84" s="22"/>
      <c r="AL84" s="22" t="str">
        <f>IF(AK84="","",VLOOKUP(AK84,Verdivurdering!$B$2:$K$100,15,FALSE))</f>
        <v/>
      </c>
      <c r="AM84" s="22"/>
      <c r="AN84" s="22" t="str">
        <f>IF(AM84="","",VLOOKUP(AM84,Verdivurdering!$B$2:$K$100,15,FALSE))</f>
        <v/>
      </c>
      <c r="AO84" s="22"/>
      <c r="AP84" s="22" t="str">
        <f>IF(AO84="","",VLOOKUP(AO84,Verdivurdering!$B$2:$K$100,15,FALSE))</f>
        <v/>
      </c>
      <c r="AQ84" s="22"/>
      <c r="AR84" s="22" t="str">
        <f>IF(AQ84="","",VLOOKUP(AQ84,Verdivurdering!$B$2:$K$100,15,FALSE))</f>
        <v/>
      </c>
      <c r="AS84" s="22"/>
      <c r="AT84" s="22" t="str">
        <f>IF(AS84="","",VLOOKUP(AS84,Verdivurdering!$B$2:$K$100,15,FALSE))</f>
        <v/>
      </c>
      <c r="AU84" s="22"/>
      <c r="AV84" s="22" t="str">
        <f>IF(AU84="","",VLOOKUP(AU84,Verdivurdering!$B$2:$K$100,15,FALSE))</f>
        <v/>
      </c>
      <c r="AW84" s="22"/>
      <c r="AX84" s="21" t="str">
        <f>IF(AW84="","",VLOOKUP(AW84,Verdivurdering!$B$2:$K$100,15,FALSE))</f>
        <v/>
      </c>
      <c r="AY84" s="19" t="e">
        <f t="shared" si="2"/>
        <v>#N/A</v>
      </c>
      <c r="AZ84" s="19" t="str">
        <f>IF(ISNUMBER(AY84),VLOOKUP(AY84,'Datasource 2'!$H$14:$I$18,2,FALSE),"")</f>
        <v/>
      </c>
      <c r="BA84" s="39"/>
      <c r="BB84" s="27" t="e">
        <f>_xlfn.IFNA(VLOOKUP(BA84,'Datasource 2'!I$14:$J$18,2,FALSE),AY84)</f>
        <v>#N/A</v>
      </c>
    </row>
    <row r="85" spans="1:54" x14ac:dyDescent="0.25">
      <c r="A85" s="37">
        <v>84</v>
      </c>
      <c r="B85" s="23"/>
      <c r="C85" s="23"/>
      <c r="D85" s="23"/>
      <c r="E85" s="23"/>
      <c r="F85" s="23"/>
      <c r="G85" s="23"/>
      <c r="H85" s="23"/>
      <c r="I85" s="23"/>
      <c r="J85" s="23"/>
      <c r="K85" s="23"/>
      <c r="L85" s="23"/>
      <c r="M85" s="23"/>
      <c r="N85" s="23"/>
      <c r="O85" s="23"/>
      <c r="P85" s="23"/>
      <c r="Q85" s="23"/>
      <c r="R85" s="23"/>
      <c r="S85" s="23"/>
      <c r="T85" s="23"/>
      <c r="U85" s="23"/>
      <c r="V85" s="23"/>
      <c r="W85" s="23"/>
      <c r="X85" s="23"/>
      <c r="Y85" s="39"/>
      <c r="Z85" s="22" t="e">
        <f>VLOOKUP(Y85,'Datasource 2'!$I$14:$J$18,2,FALSE)</f>
        <v>#N/A</v>
      </c>
      <c r="AA85" s="22"/>
      <c r="AB85" s="22" t="str">
        <f>IF(AA85="","",VLOOKUP(AA85,Verdivurdering!$B$2:$K$100,15,FALSE))</f>
        <v/>
      </c>
      <c r="AC85" s="22"/>
      <c r="AD85" s="22" t="str">
        <f>IF(AC85="","",VLOOKUP(AC85,Verdivurdering!$B$2:$K$100,15,FALSE))</f>
        <v/>
      </c>
      <c r="AE85" s="22"/>
      <c r="AF85" s="22" t="str">
        <f>IF(AE85="","",VLOOKUP(AE85,Verdivurdering!$B$2:$K$100,15,FALSE))</f>
        <v/>
      </c>
      <c r="AG85" s="22"/>
      <c r="AH85" s="22" t="str">
        <f>IF(AG85="","",VLOOKUP(AG85,Verdivurdering!$B$2:$K$100,15,FALSE))</f>
        <v/>
      </c>
      <c r="AI85" s="22"/>
      <c r="AJ85" s="22" t="str">
        <f>IF(AI85="","",VLOOKUP(AI85,Verdivurdering!$B$2:$K$100,15,FALSE))</f>
        <v/>
      </c>
      <c r="AK85" s="22"/>
      <c r="AL85" s="22" t="str">
        <f>IF(AK85="","",VLOOKUP(AK85,Verdivurdering!$B$2:$K$100,15,FALSE))</f>
        <v/>
      </c>
      <c r="AM85" s="22"/>
      <c r="AN85" s="22" t="str">
        <f>IF(AM85="","",VLOOKUP(AM85,Verdivurdering!$B$2:$K$100,15,FALSE))</f>
        <v/>
      </c>
      <c r="AO85" s="22"/>
      <c r="AP85" s="22" t="str">
        <f>IF(AO85="","",VLOOKUP(AO85,Verdivurdering!$B$2:$K$100,15,FALSE))</f>
        <v/>
      </c>
      <c r="AQ85" s="22"/>
      <c r="AR85" s="22" t="str">
        <f>IF(AQ85="","",VLOOKUP(AQ85,Verdivurdering!$B$2:$K$100,15,FALSE))</f>
        <v/>
      </c>
      <c r="AS85" s="22"/>
      <c r="AT85" s="22" t="str">
        <f>IF(AS85="","",VLOOKUP(AS85,Verdivurdering!$B$2:$K$100,15,FALSE))</f>
        <v/>
      </c>
      <c r="AU85" s="22"/>
      <c r="AV85" s="22" t="str">
        <f>IF(AU85="","",VLOOKUP(AU85,Verdivurdering!$B$2:$K$100,15,FALSE))</f>
        <v/>
      </c>
      <c r="AW85" s="22"/>
      <c r="AX85" s="21" t="str">
        <f>IF(AW85="","",VLOOKUP(AW85,Verdivurdering!$B$2:$K$100,15,FALSE))</f>
        <v/>
      </c>
      <c r="AY85" s="19" t="e">
        <f t="shared" si="2"/>
        <v>#N/A</v>
      </c>
      <c r="AZ85" s="19" t="str">
        <f>IF(ISNUMBER(AY85),VLOOKUP(AY85,'Datasource 2'!$H$14:$I$18,2,FALSE),"")</f>
        <v/>
      </c>
      <c r="BA85" s="39"/>
      <c r="BB85" s="27" t="e">
        <f>_xlfn.IFNA(VLOOKUP(BA85,'Datasource 2'!I$14:$J$18,2,FALSE),AY85)</f>
        <v>#N/A</v>
      </c>
    </row>
    <row r="86" spans="1:54" x14ac:dyDescent="0.25">
      <c r="A86" s="37">
        <v>85</v>
      </c>
      <c r="B86" s="23"/>
      <c r="C86" s="23"/>
      <c r="D86" s="23"/>
      <c r="E86" s="23"/>
      <c r="F86" s="23"/>
      <c r="G86" s="23"/>
      <c r="H86" s="23"/>
      <c r="I86" s="23"/>
      <c r="J86" s="23"/>
      <c r="K86" s="23"/>
      <c r="L86" s="23"/>
      <c r="M86" s="23"/>
      <c r="N86" s="23"/>
      <c r="O86" s="23"/>
      <c r="P86" s="23"/>
      <c r="Q86" s="23"/>
      <c r="R86" s="23"/>
      <c r="S86" s="23"/>
      <c r="T86" s="23"/>
      <c r="U86" s="23"/>
      <c r="V86" s="23"/>
      <c r="W86" s="23"/>
      <c r="X86" s="23"/>
      <c r="Y86" s="39"/>
      <c r="Z86" s="22" t="e">
        <f>VLOOKUP(Y86,'Datasource 2'!$I$14:$J$18,2,FALSE)</f>
        <v>#N/A</v>
      </c>
      <c r="AA86" s="22"/>
      <c r="AB86" s="22" t="str">
        <f>IF(AA86="","",VLOOKUP(AA86,Verdivurdering!$B$2:$K$100,15,FALSE))</f>
        <v/>
      </c>
      <c r="AC86" s="22"/>
      <c r="AD86" s="22" t="str">
        <f>IF(AC86="","",VLOOKUP(AC86,Verdivurdering!$B$2:$K$100,15,FALSE))</f>
        <v/>
      </c>
      <c r="AE86" s="22"/>
      <c r="AF86" s="22" t="str">
        <f>IF(AE86="","",VLOOKUP(AE86,Verdivurdering!$B$2:$K$100,15,FALSE))</f>
        <v/>
      </c>
      <c r="AG86" s="22"/>
      <c r="AH86" s="22" t="str">
        <f>IF(AG86="","",VLOOKUP(AG86,Verdivurdering!$B$2:$K$100,15,FALSE))</f>
        <v/>
      </c>
      <c r="AI86" s="22"/>
      <c r="AJ86" s="22" t="str">
        <f>IF(AI86="","",VLOOKUP(AI86,Verdivurdering!$B$2:$K$100,15,FALSE))</f>
        <v/>
      </c>
      <c r="AK86" s="22"/>
      <c r="AL86" s="22" t="str">
        <f>IF(AK86="","",VLOOKUP(AK86,Verdivurdering!$B$2:$K$100,15,FALSE))</f>
        <v/>
      </c>
      <c r="AM86" s="22"/>
      <c r="AN86" s="22" t="str">
        <f>IF(AM86="","",VLOOKUP(AM86,Verdivurdering!$B$2:$K$100,15,FALSE))</f>
        <v/>
      </c>
      <c r="AO86" s="22"/>
      <c r="AP86" s="22" t="str">
        <f>IF(AO86="","",VLOOKUP(AO86,Verdivurdering!$B$2:$K$100,15,FALSE))</f>
        <v/>
      </c>
      <c r="AQ86" s="22"/>
      <c r="AR86" s="22" t="str">
        <f>IF(AQ86="","",VLOOKUP(AQ86,Verdivurdering!$B$2:$K$100,15,FALSE))</f>
        <v/>
      </c>
      <c r="AS86" s="22"/>
      <c r="AT86" s="22" t="str">
        <f>IF(AS86="","",VLOOKUP(AS86,Verdivurdering!$B$2:$K$100,15,FALSE))</f>
        <v/>
      </c>
      <c r="AU86" s="22"/>
      <c r="AV86" s="22" t="str">
        <f>IF(AU86="","",VLOOKUP(AU86,Verdivurdering!$B$2:$K$100,15,FALSE))</f>
        <v/>
      </c>
      <c r="AW86" s="22"/>
      <c r="AX86" s="21" t="str">
        <f>IF(AW86="","",VLOOKUP(AW86,Verdivurdering!$B$2:$K$100,15,FALSE))</f>
        <v/>
      </c>
      <c r="AY86" s="19" t="e">
        <f t="shared" si="2"/>
        <v>#N/A</v>
      </c>
      <c r="AZ86" s="19" t="str">
        <f>IF(ISNUMBER(AY86),VLOOKUP(AY86,'Datasource 2'!$H$14:$I$18,2,FALSE),"")</f>
        <v/>
      </c>
      <c r="BA86" s="39"/>
      <c r="BB86" s="27" t="e">
        <f>_xlfn.IFNA(VLOOKUP(BA86,'Datasource 2'!I$14:$J$18,2,FALSE),AY86)</f>
        <v>#N/A</v>
      </c>
    </row>
    <row r="87" spans="1:54" x14ac:dyDescent="0.25">
      <c r="A87" s="37">
        <v>86</v>
      </c>
      <c r="B87" s="23"/>
      <c r="C87" s="23"/>
      <c r="D87" s="23"/>
      <c r="E87" s="23"/>
      <c r="F87" s="23"/>
      <c r="G87" s="23"/>
      <c r="H87" s="23"/>
      <c r="I87" s="23"/>
      <c r="J87" s="23"/>
      <c r="K87" s="23"/>
      <c r="L87" s="23"/>
      <c r="M87" s="23"/>
      <c r="N87" s="23"/>
      <c r="O87" s="23"/>
      <c r="P87" s="23"/>
      <c r="Q87" s="23"/>
      <c r="R87" s="23"/>
      <c r="S87" s="23"/>
      <c r="T87" s="23"/>
      <c r="U87" s="23"/>
      <c r="V87" s="23"/>
      <c r="W87" s="23"/>
      <c r="X87" s="23"/>
      <c r="Y87" s="39"/>
      <c r="Z87" s="22" t="e">
        <f>VLOOKUP(Y87,'Datasource 2'!$I$14:$J$18,2,FALSE)</f>
        <v>#N/A</v>
      </c>
      <c r="AA87" s="22"/>
      <c r="AB87" s="22" t="str">
        <f>IF(AA87="","",VLOOKUP(AA87,Verdivurdering!$B$2:$K$100,15,FALSE))</f>
        <v/>
      </c>
      <c r="AC87" s="22"/>
      <c r="AD87" s="22" t="str">
        <f>IF(AC87="","",VLOOKUP(AC87,Verdivurdering!$B$2:$K$100,15,FALSE))</f>
        <v/>
      </c>
      <c r="AE87" s="22"/>
      <c r="AF87" s="22" t="str">
        <f>IF(AE87="","",VLOOKUP(AE87,Verdivurdering!$B$2:$K$100,15,FALSE))</f>
        <v/>
      </c>
      <c r="AG87" s="22"/>
      <c r="AH87" s="22" t="str">
        <f>IF(AG87="","",VLOOKUP(AG87,Verdivurdering!$B$2:$K$100,15,FALSE))</f>
        <v/>
      </c>
      <c r="AI87" s="22"/>
      <c r="AJ87" s="22" t="str">
        <f>IF(AI87="","",VLOOKUP(AI87,Verdivurdering!$B$2:$K$100,15,FALSE))</f>
        <v/>
      </c>
      <c r="AK87" s="22"/>
      <c r="AL87" s="22" t="str">
        <f>IF(AK87="","",VLOOKUP(AK87,Verdivurdering!$B$2:$K$100,15,FALSE))</f>
        <v/>
      </c>
      <c r="AM87" s="22"/>
      <c r="AN87" s="22" t="str">
        <f>IF(AM87="","",VLOOKUP(AM87,Verdivurdering!$B$2:$K$100,15,FALSE))</f>
        <v/>
      </c>
      <c r="AO87" s="22"/>
      <c r="AP87" s="22" t="str">
        <f>IF(AO87="","",VLOOKUP(AO87,Verdivurdering!$B$2:$K$100,15,FALSE))</f>
        <v/>
      </c>
      <c r="AQ87" s="22"/>
      <c r="AR87" s="22" t="str">
        <f>IF(AQ87="","",VLOOKUP(AQ87,Verdivurdering!$B$2:$K$100,15,FALSE))</f>
        <v/>
      </c>
      <c r="AS87" s="22"/>
      <c r="AT87" s="22" t="str">
        <f>IF(AS87="","",VLOOKUP(AS87,Verdivurdering!$B$2:$K$100,15,FALSE))</f>
        <v/>
      </c>
      <c r="AU87" s="22"/>
      <c r="AV87" s="22" t="str">
        <f>IF(AU87="","",VLOOKUP(AU87,Verdivurdering!$B$2:$K$100,15,FALSE))</f>
        <v/>
      </c>
      <c r="AW87" s="22"/>
      <c r="AX87" s="21" t="str">
        <f>IF(AW87="","",VLOOKUP(AW87,Verdivurdering!$B$2:$K$100,15,FALSE))</f>
        <v/>
      </c>
      <c r="AY87" s="19" t="e">
        <f t="shared" si="2"/>
        <v>#N/A</v>
      </c>
      <c r="AZ87" s="19" t="str">
        <f>IF(ISNUMBER(AY87),VLOOKUP(AY87,'Datasource 2'!$H$14:$I$18,2,FALSE),"")</f>
        <v/>
      </c>
      <c r="BA87" s="39"/>
      <c r="BB87" s="27" t="e">
        <f>_xlfn.IFNA(VLOOKUP(BA87,'Datasource 2'!I$14:$J$18,2,FALSE),AY87)</f>
        <v>#N/A</v>
      </c>
    </row>
    <row r="88" spans="1:54" x14ac:dyDescent="0.25">
      <c r="A88" s="37">
        <v>87</v>
      </c>
      <c r="B88" s="23"/>
      <c r="C88" s="23"/>
      <c r="D88" s="23"/>
      <c r="E88" s="23"/>
      <c r="F88" s="23"/>
      <c r="G88" s="23"/>
      <c r="H88" s="23"/>
      <c r="I88" s="23"/>
      <c r="J88" s="23"/>
      <c r="K88" s="23"/>
      <c r="L88" s="23"/>
      <c r="M88" s="23"/>
      <c r="N88" s="23"/>
      <c r="O88" s="23"/>
      <c r="P88" s="23"/>
      <c r="Q88" s="23"/>
      <c r="R88" s="23"/>
      <c r="S88" s="23"/>
      <c r="T88" s="23"/>
      <c r="U88" s="23"/>
      <c r="V88" s="23"/>
      <c r="W88" s="23"/>
      <c r="X88" s="23"/>
      <c r="Y88" s="39"/>
      <c r="Z88" s="22" t="e">
        <f>VLOOKUP(Y88,'Datasource 2'!$I$14:$J$18,2,FALSE)</f>
        <v>#N/A</v>
      </c>
      <c r="AA88" s="22"/>
      <c r="AB88" s="22" t="str">
        <f>IF(AA88="","",VLOOKUP(AA88,Verdivurdering!$B$2:$K$100,15,FALSE))</f>
        <v/>
      </c>
      <c r="AC88" s="22"/>
      <c r="AD88" s="22" t="str">
        <f>IF(AC88="","",VLOOKUP(AC88,Verdivurdering!$B$2:$K$100,15,FALSE))</f>
        <v/>
      </c>
      <c r="AE88" s="22"/>
      <c r="AF88" s="22" t="str">
        <f>IF(AE88="","",VLOOKUP(AE88,Verdivurdering!$B$2:$K$100,15,FALSE))</f>
        <v/>
      </c>
      <c r="AG88" s="22"/>
      <c r="AH88" s="22" t="str">
        <f>IF(AG88="","",VLOOKUP(AG88,Verdivurdering!$B$2:$K$100,15,FALSE))</f>
        <v/>
      </c>
      <c r="AI88" s="22"/>
      <c r="AJ88" s="22" t="str">
        <f>IF(AI88="","",VLOOKUP(AI88,Verdivurdering!$B$2:$K$100,15,FALSE))</f>
        <v/>
      </c>
      <c r="AK88" s="22"/>
      <c r="AL88" s="22" t="str">
        <f>IF(AK88="","",VLOOKUP(AK88,Verdivurdering!$B$2:$K$100,15,FALSE))</f>
        <v/>
      </c>
      <c r="AM88" s="22"/>
      <c r="AN88" s="22" t="str">
        <f>IF(AM88="","",VLOOKUP(AM88,Verdivurdering!$B$2:$K$100,15,FALSE))</f>
        <v/>
      </c>
      <c r="AO88" s="22"/>
      <c r="AP88" s="22" t="str">
        <f>IF(AO88="","",VLOOKUP(AO88,Verdivurdering!$B$2:$K$100,15,FALSE))</f>
        <v/>
      </c>
      <c r="AQ88" s="22"/>
      <c r="AR88" s="22" t="str">
        <f>IF(AQ88="","",VLOOKUP(AQ88,Verdivurdering!$B$2:$K$100,15,FALSE))</f>
        <v/>
      </c>
      <c r="AS88" s="22"/>
      <c r="AT88" s="22" t="str">
        <f>IF(AS88="","",VLOOKUP(AS88,Verdivurdering!$B$2:$K$100,15,FALSE))</f>
        <v/>
      </c>
      <c r="AU88" s="22"/>
      <c r="AV88" s="22" t="str">
        <f>IF(AU88="","",VLOOKUP(AU88,Verdivurdering!$B$2:$K$100,15,FALSE))</f>
        <v/>
      </c>
      <c r="AW88" s="22"/>
      <c r="AX88" s="21" t="str">
        <f>IF(AW88="","",VLOOKUP(AW88,Verdivurdering!$B$2:$K$100,15,FALSE))</f>
        <v/>
      </c>
      <c r="AY88" s="19" t="e">
        <f t="shared" si="2"/>
        <v>#N/A</v>
      </c>
      <c r="AZ88" s="19" t="str">
        <f>IF(ISNUMBER(AY88),VLOOKUP(AY88,'Datasource 2'!$H$14:$I$18,2,FALSE),"")</f>
        <v/>
      </c>
      <c r="BA88" s="39"/>
      <c r="BB88" s="27" t="e">
        <f>_xlfn.IFNA(VLOOKUP(BA88,'Datasource 2'!I$14:$J$18,2,FALSE),AY88)</f>
        <v>#N/A</v>
      </c>
    </row>
    <row r="89" spans="1:54" x14ac:dyDescent="0.25">
      <c r="A89" s="37">
        <v>88</v>
      </c>
      <c r="B89" s="23"/>
      <c r="C89" s="23"/>
      <c r="D89" s="23"/>
      <c r="E89" s="23"/>
      <c r="F89" s="23"/>
      <c r="G89" s="23"/>
      <c r="H89" s="23"/>
      <c r="I89" s="23"/>
      <c r="J89" s="23"/>
      <c r="K89" s="23"/>
      <c r="L89" s="23"/>
      <c r="M89" s="23"/>
      <c r="N89" s="23"/>
      <c r="O89" s="23"/>
      <c r="P89" s="23"/>
      <c r="Q89" s="23"/>
      <c r="R89" s="23"/>
      <c r="S89" s="23"/>
      <c r="T89" s="23"/>
      <c r="U89" s="23"/>
      <c r="V89" s="23"/>
      <c r="W89" s="23"/>
      <c r="X89" s="23"/>
      <c r="Y89" s="39"/>
      <c r="Z89" s="22" t="e">
        <f>VLOOKUP(Y89,'Datasource 2'!$I$14:$J$18,2,FALSE)</f>
        <v>#N/A</v>
      </c>
      <c r="AA89" s="22"/>
      <c r="AB89" s="22" t="str">
        <f>IF(AA89="","",VLOOKUP(AA89,Verdivurdering!$B$2:$K$100,15,FALSE))</f>
        <v/>
      </c>
      <c r="AC89" s="22"/>
      <c r="AD89" s="22" t="str">
        <f>IF(AC89="","",VLOOKUP(AC89,Verdivurdering!$B$2:$K$100,15,FALSE))</f>
        <v/>
      </c>
      <c r="AE89" s="22"/>
      <c r="AF89" s="22" t="str">
        <f>IF(AE89="","",VLOOKUP(AE89,Verdivurdering!$B$2:$K$100,15,FALSE))</f>
        <v/>
      </c>
      <c r="AG89" s="22"/>
      <c r="AH89" s="22" t="str">
        <f>IF(AG89="","",VLOOKUP(AG89,Verdivurdering!$B$2:$K$100,15,FALSE))</f>
        <v/>
      </c>
      <c r="AI89" s="22"/>
      <c r="AJ89" s="22" t="str">
        <f>IF(AI89="","",VLOOKUP(AI89,Verdivurdering!$B$2:$K$100,15,FALSE))</f>
        <v/>
      </c>
      <c r="AK89" s="22"/>
      <c r="AL89" s="22" t="str">
        <f>IF(AK89="","",VLOOKUP(AK89,Verdivurdering!$B$2:$K$100,15,FALSE))</f>
        <v/>
      </c>
      <c r="AM89" s="22"/>
      <c r="AN89" s="22" t="str">
        <f>IF(AM89="","",VLOOKUP(AM89,Verdivurdering!$B$2:$K$100,15,FALSE))</f>
        <v/>
      </c>
      <c r="AO89" s="22"/>
      <c r="AP89" s="22" t="str">
        <f>IF(AO89="","",VLOOKUP(AO89,Verdivurdering!$B$2:$K$100,15,FALSE))</f>
        <v/>
      </c>
      <c r="AQ89" s="22"/>
      <c r="AR89" s="22" t="str">
        <f>IF(AQ89="","",VLOOKUP(AQ89,Verdivurdering!$B$2:$K$100,15,FALSE))</f>
        <v/>
      </c>
      <c r="AS89" s="22"/>
      <c r="AT89" s="22" t="str">
        <f>IF(AS89="","",VLOOKUP(AS89,Verdivurdering!$B$2:$K$100,15,FALSE))</f>
        <v/>
      </c>
      <c r="AU89" s="22"/>
      <c r="AV89" s="22" t="str">
        <f>IF(AU89="","",VLOOKUP(AU89,Verdivurdering!$B$2:$K$100,15,FALSE))</f>
        <v/>
      </c>
      <c r="AW89" s="22"/>
      <c r="AX89" s="21" t="str">
        <f>IF(AW89="","",VLOOKUP(AW89,Verdivurdering!$B$2:$K$100,15,FALSE))</f>
        <v/>
      </c>
      <c r="AY89" s="19" t="e">
        <f t="shared" si="2"/>
        <v>#N/A</v>
      </c>
      <c r="AZ89" s="19" t="str">
        <f>IF(ISNUMBER(AY89),VLOOKUP(AY89,'Datasource 2'!$H$14:$I$18,2,FALSE),"")</f>
        <v/>
      </c>
      <c r="BA89" s="39"/>
      <c r="BB89" s="27" t="e">
        <f>_xlfn.IFNA(VLOOKUP(BA89,'Datasource 2'!I$14:$J$18,2,FALSE),AY89)</f>
        <v>#N/A</v>
      </c>
    </row>
    <row r="90" spans="1:54" x14ac:dyDescent="0.25">
      <c r="A90" s="37">
        <v>89</v>
      </c>
      <c r="B90" s="23"/>
      <c r="C90" s="23"/>
      <c r="D90" s="23"/>
      <c r="E90" s="23"/>
      <c r="F90" s="23"/>
      <c r="G90" s="23"/>
      <c r="H90" s="23"/>
      <c r="I90" s="23"/>
      <c r="J90" s="23"/>
      <c r="K90" s="23"/>
      <c r="L90" s="23"/>
      <c r="M90" s="23"/>
      <c r="N90" s="23"/>
      <c r="O90" s="23"/>
      <c r="P90" s="23"/>
      <c r="Q90" s="23"/>
      <c r="R90" s="23"/>
      <c r="S90" s="23"/>
      <c r="T90" s="23"/>
      <c r="U90" s="23"/>
      <c r="V90" s="23"/>
      <c r="W90" s="23"/>
      <c r="X90" s="23"/>
      <c r="Y90" s="39"/>
      <c r="Z90" s="22" t="e">
        <f>VLOOKUP(Y90,'Datasource 2'!$I$14:$J$18,2,FALSE)</f>
        <v>#N/A</v>
      </c>
      <c r="AA90" s="22"/>
      <c r="AB90" s="22" t="str">
        <f>IF(AA90="","",VLOOKUP(AA90,Verdivurdering!$B$2:$K$100,15,FALSE))</f>
        <v/>
      </c>
      <c r="AC90" s="22"/>
      <c r="AD90" s="22" t="str">
        <f>IF(AC90="","",VLOOKUP(AC90,Verdivurdering!$B$2:$K$100,15,FALSE))</f>
        <v/>
      </c>
      <c r="AE90" s="22"/>
      <c r="AF90" s="22" t="str">
        <f>IF(AE90="","",VLOOKUP(AE90,Verdivurdering!$B$2:$K$100,15,FALSE))</f>
        <v/>
      </c>
      <c r="AG90" s="22"/>
      <c r="AH90" s="22" t="str">
        <f>IF(AG90="","",VLOOKUP(AG90,Verdivurdering!$B$2:$K$100,15,FALSE))</f>
        <v/>
      </c>
      <c r="AI90" s="22"/>
      <c r="AJ90" s="22" t="str">
        <f>IF(AI90="","",VLOOKUP(AI90,Verdivurdering!$B$2:$K$100,15,FALSE))</f>
        <v/>
      </c>
      <c r="AK90" s="22"/>
      <c r="AL90" s="22" t="str">
        <f>IF(AK90="","",VLOOKUP(AK90,Verdivurdering!$B$2:$K$100,15,FALSE))</f>
        <v/>
      </c>
      <c r="AM90" s="22"/>
      <c r="AN90" s="22" t="str">
        <f>IF(AM90="","",VLOOKUP(AM90,Verdivurdering!$B$2:$K$100,15,FALSE))</f>
        <v/>
      </c>
      <c r="AO90" s="22"/>
      <c r="AP90" s="22" t="str">
        <f>IF(AO90="","",VLOOKUP(AO90,Verdivurdering!$B$2:$K$100,15,FALSE))</f>
        <v/>
      </c>
      <c r="AQ90" s="22"/>
      <c r="AR90" s="22" t="str">
        <f>IF(AQ90="","",VLOOKUP(AQ90,Verdivurdering!$B$2:$K$100,15,FALSE))</f>
        <v/>
      </c>
      <c r="AS90" s="22"/>
      <c r="AT90" s="22" t="str">
        <f>IF(AS90="","",VLOOKUP(AS90,Verdivurdering!$B$2:$K$100,15,FALSE))</f>
        <v/>
      </c>
      <c r="AU90" s="22"/>
      <c r="AV90" s="22" t="str">
        <f>IF(AU90="","",VLOOKUP(AU90,Verdivurdering!$B$2:$K$100,15,FALSE))</f>
        <v/>
      </c>
      <c r="AW90" s="22"/>
      <c r="AX90" s="21" t="str">
        <f>IF(AW90="","",VLOOKUP(AW90,Verdivurdering!$B$2:$K$100,15,FALSE))</f>
        <v/>
      </c>
      <c r="AY90" s="19" t="e">
        <f t="shared" si="2"/>
        <v>#N/A</v>
      </c>
      <c r="AZ90" s="19" t="str">
        <f>IF(ISNUMBER(AY90),VLOOKUP(AY90,'Datasource 2'!$H$14:$I$18,2,FALSE),"")</f>
        <v/>
      </c>
      <c r="BA90" s="39"/>
      <c r="BB90" s="27" t="e">
        <f>_xlfn.IFNA(VLOOKUP(BA90,'Datasource 2'!I$14:$J$18,2,FALSE),AY90)</f>
        <v>#N/A</v>
      </c>
    </row>
    <row r="91" spans="1:54" x14ac:dyDescent="0.25">
      <c r="A91" s="37">
        <v>90</v>
      </c>
      <c r="B91" s="23"/>
      <c r="C91" s="23"/>
      <c r="D91" s="23"/>
      <c r="E91" s="23"/>
      <c r="F91" s="23"/>
      <c r="G91" s="23"/>
      <c r="H91" s="23"/>
      <c r="I91" s="23"/>
      <c r="J91" s="23"/>
      <c r="K91" s="23"/>
      <c r="L91" s="23"/>
      <c r="M91" s="23"/>
      <c r="N91" s="23"/>
      <c r="O91" s="23"/>
      <c r="P91" s="23"/>
      <c r="Q91" s="23"/>
      <c r="R91" s="23"/>
      <c r="S91" s="23"/>
      <c r="T91" s="23"/>
      <c r="U91" s="23"/>
      <c r="V91" s="23"/>
      <c r="W91" s="23"/>
      <c r="X91" s="23"/>
      <c r="Y91" s="39"/>
      <c r="Z91" s="22" t="e">
        <f>VLOOKUP(Y91,'Datasource 2'!$I$14:$J$18,2,FALSE)</f>
        <v>#N/A</v>
      </c>
      <c r="AA91" s="22"/>
      <c r="AB91" s="22" t="str">
        <f>IF(AA91="","",VLOOKUP(AA91,Verdivurdering!$B$2:$K$100,15,FALSE))</f>
        <v/>
      </c>
      <c r="AC91" s="22"/>
      <c r="AD91" s="22" t="str">
        <f>IF(AC91="","",VLOOKUP(AC91,Verdivurdering!$B$2:$K$100,15,FALSE))</f>
        <v/>
      </c>
      <c r="AE91" s="22"/>
      <c r="AF91" s="22" t="str">
        <f>IF(AE91="","",VLOOKUP(AE91,Verdivurdering!$B$2:$K$100,15,FALSE))</f>
        <v/>
      </c>
      <c r="AG91" s="22"/>
      <c r="AH91" s="22" t="str">
        <f>IF(AG91="","",VLOOKUP(AG91,Verdivurdering!$B$2:$K$100,15,FALSE))</f>
        <v/>
      </c>
      <c r="AI91" s="22"/>
      <c r="AJ91" s="22" t="str">
        <f>IF(AI91="","",VLOOKUP(AI91,Verdivurdering!$B$2:$K$100,15,FALSE))</f>
        <v/>
      </c>
      <c r="AK91" s="22"/>
      <c r="AL91" s="22" t="str">
        <f>IF(AK91="","",VLOOKUP(AK91,Verdivurdering!$B$2:$K$100,15,FALSE))</f>
        <v/>
      </c>
      <c r="AM91" s="22"/>
      <c r="AN91" s="22" t="str">
        <f>IF(AM91="","",VLOOKUP(AM91,Verdivurdering!$B$2:$K$100,15,FALSE))</f>
        <v/>
      </c>
      <c r="AO91" s="22"/>
      <c r="AP91" s="22" t="str">
        <f>IF(AO91="","",VLOOKUP(AO91,Verdivurdering!$B$2:$K$100,15,FALSE))</f>
        <v/>
      </c>
      <c r="AQ91" s="22"/>
      <c r="AR91" s="22" t="str">
        <f>IF(AQ91="","",VLOOKUP(AQ91,Verdivurdering!$B$2:$K$100,15,FALSE))</f>
        <v/>
      </c>
      <c r="AS91" s="22"/>
      <c r="AT91" s="22" t="str">
        <f>IF(AS91="","",VLOOKUP(AS91,Verdivurdering!$B$2:$K$100,15,FALSE))</f>
        <v/>
      </c>
      <c r="AU91" s="22"/>
      <c r="AV91" s="22" t="str">
        <f>IF(AU91="","",VLOOKUP(AU91,Verdivurdering!$B$2:$K$100,15,FALSE))</f>
        <v/>
      </c>
      <c r="AW91" s="22"/>
      <c r="AX91" s="21" t="str">
        <f>IF(AW91="","",VLOOKUP(AW91,Verdivurdering!$B$2:$K$100,15,FALSE))</f>
        <v/>
      </c>
      <c r="AY91" s="19" t="e">
        <f t="shared" si="2"/>
        <v>#N/A</v>
      </c>
      <c r="AZ91" s="19" t="str">
        <f>IF(ISNUMBER(AY91),VLOOKUP(AY91,'Datasource 2'!$H$14:$I$18,2,FALSE),"")</f>
        <v/>
      </c>
      <c r="BA91" s="39"/>
      <c r="BB91" s="27" t="e">
        <f>_xlfn.IFNA(VLOOKUP(BA91,'Datasource 2'!I$14:$J$18,2,FALSE),AY91)</f>
        <v>#N/A</v>
      </c>
    </row>
    <row r="92" spans="1:54" x14ac:dyDescent="0.25">
      <c r="A92" s="37">
        <v>91</v>
      </c>
      <c r="B92" s="23"/>
      <c r="C92" s="23"/>
      <c r="D92" s="23"/>
      <c r="E92" s="23"/>
      <c r="F92" s="23"/>
      <c r="G92" s="23"/>
      <c r="H92" s="23"/>
      <c r="I92" s="23"/>
      <c r="J92" s="23"/>
      <c r="K92" s="23"/>
      <c r="L92" s="23"/>
      <c r="M92" s="23"/>
      <c r="N92" s="23"/>
      <c r="O92" s="23"/>
      <c r="P92" s="23"/>
      <c r="Q92" s="23"/>
      <c r="R92" s="23"/>
      <c r="S92" s="23"/>
      <c r="T92" s="23"/>
      <c r="U92" s="23"/>
      <c r="V92" s="23"/>
      <c r="W92" s="23"/>
      <c r="X92" s="23"/>
      <c r="Y92" s="39"/>
      <c r="Z92" s="22" t="e">
        <f>VLOOKUP(Y92,'Datasource 2'!$I$14:$J$18,2,FALSE)</f>
        <v>#N/A</v>
      </c>
      <c r="AA92" s="22"/>
      <c r="AB92" s="22" t="str">
        <f>IF(AA92="","",VLOOKUP(AA92,Verdivurdering!$B$2:$K$100,15,FALSE))</f>
        <v/>
      </c>
      <c r="AC92" s="22"/>
      <c r="AD92" s="22" t="str">
        <f>IF(AC92="","",VLOOKUP(AC92,Verdivurdering!$B$2:$K$100,15,FALSE))</f>
        <v/>
      </c>
      <c r="AE92" s="22"/>
      <c r="AF92" s="22" t="str">
        <f>IF(AE92="","",VLOOKUP(AE92,Verdivurdering!$B$2:$K$100,15,FALSE))</f>
        <v/>
      </c>
      <c r="AG92" s="22"/>
      <c r="AH92" s="22" t="str">
        <f>IF(AG92="","",VLOOKUP(AG92,Verdivurdering!$B$2:$K$100,15,FALSE))</f>
        <v/>
      </c>
      <c r="AI92" s="22"/>
      <c r="AJ92" s="22" t="str">
        <f>IF(AI92="","",VLOOKUP(AI92,Verdivurdering!$B$2:$K$100,15,FALSE))</f>
        <v/>
      </c>
      <c r="AK92" s="22"/>
      <c r="AL92" s="22" t="str">
        <f>IF(AK92="","",VLOOKUP(AK92,Verdivurdering!$B$2:$K$100,15,FALSE))</f>
        <v/>
      </c>
      <c r="AM92" s="22"/>
      <c r="AN92" s="22" t="str">
        <f>IF(AM92="","",VLOOKUP(AM92,Verdivurdering!$B$2:$K$100,15,FALSE))</f>
        <v/>
      </c>
      <c r="AO92" s="22"/>
      <c r="AP92" s="22" t="str">
        <f>IF(AO92="","",VLOOKUP(AO92,Verdivurdering!$B$2:$K$100,15,FALSE))</f>
        <v/>
      </c>
      <c r="AQ92" s="22"/>
      <c r="AR92" s="22" t="str">
        <f>IF(AQ92="","",VLOOKUP(AQ92,Verdivurdering!$B$2:$K$100,15,FALSE))</f>
        <v/>
      </c>
      <c r="AS92" s="22"/>
      <c r="AT92" s="22" t="str">
        <f>IF(AS92="","",VLOOKUP(AS92,Verdivurdering!$B$2:$K$100,15,FALSE))</f>
        <v/>
      </c>
      <c r="AU92" s="22"/>
      <c r="AV92" s="22" t="str">
        <f>IF(AU92="","",VLOOKUP(AU92,Verdivurdering!$B$2:$K$100,15,FALSE))</f>
        <v/>
      </c>
      <c r="AW92" s="22"/>
      <c r="AX92" s="21" t="str">
        <f>IF(AW92="","",VLOOKUP(AW92,Verdivurdering!$B$2:$K$100,15,FALSE))</f>
        <v/>
      </c>
      <c r="AY92" s="19" t="e">
        <f t="shared" si="2"/>
        <v>#N/A</v>
      </c>
      <c r="AZ92" s="19" t="str">
        <f>IF(ISNUMBER(AY92),VLOOKUP(AY92,'Datasource 2'!$H$14:$I$18,2,FALSE),"")</f>
        <v/>
      </c>
      <c r="BA92" s="39"/>
      <c r="BB92" s="27" t="e">
        <f>_xlfn.IFNA(VLOOKUP(BA92,'Datasource 2'!I$14:$J$18,2,FALSE),AY92)</f>
        <v>#N/A</v>
      </c>
    </row>
    <row r="93" spans="1:54" x14ac:dyDescent="0.25">
      <c r="A93" s="37">
        <v>92</v>
      </c>
      <c r="B93" s="23"/>
      <c r="C93" s="23"/>
      <c r="D93" s="23"/>
      <c r="E93" s="23"/>
      <c r="F93" s="23"/>
      <c r="G93" s="23"/>
      <c r="H93" s="23"/>
      <c r="I93" s="23"/>
      <c r="J93" s="23"/>
      <c r="K93" s="23"/>
      <c r="L93" s="23"/>
      <c r="M93" s="23"/>
      <c r="N93" s="23"/>
      <c r="O93" s="23"/>
      <c r="P93" s="23"/>
      <c r="Q93" s="23"/>
      <c r="R93" s="23"/>
      <c r="S93" s="23"/>
      <c r="T93" s="23"/>
      <c r="U93" s="23"/>
      <c r="V93" s="23"/>
      <c r="W93" s="23"/>
      <c r="X93" s="23"/>
      <c r="Y93" s="39"/>
      <c r="Z93" s="22" t="e">
        <f>VLOOKUP(Y93,'Datasource 2'!$I$14:$J$18,2,FALSE)</f>
        <v>#N/A</v>
      </c>
      <c r="AA93" s="22"/>
      <c r="AB93" s="22" t="str">
        <f>IF(AA93="","",VLOOKUP(AA93,Verdivurdering!$B$2:$K$100,15,FALSE))</f>
        <v/>
      </c>
      <c r="AC93" s="22"/>
      <c r="AD93" s="22" t="str">
        <f>IF(AC93="","",VLOOKUP(AC93,Verdivurdering!$B$2:$K$100,15,FALSE))</f>
        <v/>
      </c>
      <c r="AE93" s="22"/>
      <c r="AF93" s="22" t="str">
        <f>IF(AE93="","",VLOOKUP(AE93,Verdivurdering!$B$2:$K$100,15,FALSE))</f>
        <v/>
      </c>
      <c r="AG93" s="22"/>
      <c r="AH93" s="22" t="str">
        <f>IF(AG93="","",VLOOKUP(AG93,Verdivurdering!$B$2:$K$100,15,FALSE))</f>
        <v/>
      </c>
      <c r="AI93" s="22"/>
      <c r="AJ93" s="22" t="str">
        <f>IF(AI93="","",VLOOKUP(AI93,Verdivurdering!$B$2:$K$100,15,FALSE))</f>
        <v/>
      </c>
      <c r="AK93" s="22"/>
      <c r="AL93" s="22" t="str">
        <f>IF(AK93="","",VLOOKUP(AK93,Verdivurdering!$B$2:$K$100,15,FALSE))</f>
        <v/>
      </c>
      <c r="AM93" s="22"/>
      <c r="AN93" s="22" t="str">
        <f>IF(AM93="","",VLOOKUP(AM93,Verdivurdering!$B$2:$K$100,15,FALSE))</f>
        <v/>
      </c>
      <c r="AO93" s="22"/>
      <c r="AP93" s="22" t="str">
        <f>IF(AO93="","",VLOOKUP(AO93,Verdivurdering!$B$2:$K$100,15,FALSE))</f>
        <v/>
      </c>
      <c r="AQ93" s="22"/>
      <c r="AR93" s="22" t="str">
        <f>IF(AQ93="","",VLOOKUP(AQ93,Verdivurdering!$B$2:$K$100,15,FALSE))</f>
        <v/>
      </c>
      <c r="AS93" s="22"/>
      <c r="AT93" s="22" t="str">
        <f>IF(AS93="","",VLOOKUP(AS93,Verdivurdering!$B$2:$K$100,15,FALSE))</f>
        <v/>
      </c>
      <c r="AU93" s="22"/>
      <c r="AV93" s="22" t="str">
        <f>IF(AU93="","",VLOOKUP(AU93,Verdivurdering!$B$2:$K$100,15,FALSE))</f>
        <v/>
      </c>
      <c r="AW93" s="22"/>
      <c r="AX93" s="21" t="str">
        <f>IF(AW93="","",VLOOKUP(AW93,Verdivurdering!$B$2:$K$100,15,FALSE))</f>
        <v/>
      </c>
      <c r="AY93" s="19" t="e">
        <f t="shared" si="2"/>
        <v>#N/A</v>
      </c>
      <c r="AZ93" s="19" t="str">
        <f>IF(ISNUMBER(AY93),VLOOKUP(AY93,'Datasource 2'!$H$14:$I$18,2,FALSE),"")</f>
        <v/>
      </c>
      <c r="BA93" s="39"/>
      <c r="BB93" s="27" t="e">
        <f>_xlfn.IFNA(VLOOKUP(BA93,'Datasource 2'!I$14:$J$18,2,FALSE),AY93)</f>
        <v>#N/A</v>
      </c>
    </row>
    <row r="94" spans="1:54" x14ac:dyDescent="0.25">
      <c r="A94" s="37">
        <v>93</v>
      </c>
      <c r="B94" s="23"/>
      <c r="C94" s="23"/>
      <c r="D94" s="23"/>
      <c r="E94" s="23"/>
      <c r="F94" s="23"/>
      <c r="G94" s="23"/>
      <c r="H94" s="23"/>
      <c r="I94" s="23"/>
      <c r="J94" s="23"/>
      <c r="K94" s="23"/>
      <c r="L94" s="23"/>
      <c r="M94" s="23"/>
      <c r="N94" s="23"/>
      <c r="O94" s="23"/>
      <c r="P94" s="23"/>
      <c r="Q94" s="23"/>
      <c r="R94" s="23"/>
      <c r="S94" s="23"/>
      <c r="T94" s="23"/>
      <c r="U94" s="23"/>
      <c r="V94" s="23"/>
      <c r="W94" s="23"/>
      <c r="X94" s="23"/>
      <c r="Y94" s="39"/>
      <c r="Z94" s="22" t="e">
        <f>VLOOKUP(Y94,'Datasource 2'!$I$14:$J$18,2,FALSE)</f>
        <v>#N/A</v>
      </c>
      <c r="AA94" s="22"/>
      <c r="AB94" s="22" t="str">
        <f>IF(AA94="","",VLOOKUP(AA94,Verdivurdering!$B$2:$K$100,15,FALSE))</f>
        <v/>
      </c>
      <c r="AC94" s="22"/>
      <c r="AD94" s="22" t="str">
        <f>IF(AC94="","",VLOOKUP(AC94,Verdivurdering!$B$2:$K$100,15,FALSE))</f>
        <v/>
      </c>
      <c r="AE94" s="22"/>
      <c r="AF94" s="22" t="str">
        <f>IF(AE94="","",VLOOKUP(AE94,Verdivurdering!$B$2:$K$100,15,FALSE))</f>
        <v/>
      </c>
      <c r="AG94" s="22"/>
      <c r="AH94" s="22" t="str">
        <f>IF(AG94="","",VLOOKUP(AG94,Verdivurdering!$B$2:$K$100,15,FALSE))</f>
        <v/>
      </c>
      <c r="AI94" s="22"/>
      <c r="AJ94" s="22" t="str">
        <f>IF(AI94="","",VLOOKUP(AI94,Verdivurdering!$B$2:$K$100,15,FALSE))</f>
        <v/>
      </c>
      <c r="AK94" s="22"/>
      <c r="AL94" s="22" t="str">
        <f>IF(AK94="","",VLOOKUP(AK94,Verdivurdering!$B$2:$K$100,15,FALSE))</f>
        <v/>
      </c>
      <c r="AM94" s="22"/>
      <c r="AN94" s="22" t="str">
        <f>IF(AM94="","",VLOOKUP(AM94,Verdivurdering!$B$2:$K$100,15,FALSE))</f>
        <v/>
      </c>
      <c r="AO94" s="22"/>
      <c r="AP94" s="22" t="str">
        <f>IF(AO94="","",VLOOKUP(AO94,Verdivurdering!$B$2:$K$100,15,FALSE))</f>
        <v/>
      </c>
      <c r="AQ94" s="22"/>
      <c r="AR94" s="22" t="str">
        <f>IF(AQ94="","",VLOOKUP(AQ94,Verdivurdering!$B$2:$K$100,15,FALSE))</f>
        <v/>
      </c>
      <c r="AS94" s="22"/>
      <c r="AT94" s="22" t="str">
        <f>IF(AS94="","",VLOOKUP(AS94,Verdivurdering!$B$2:$K$100,15,FALSE))</f>
        <v/>
      </c>
      <c r="AU94" s="22"/>
      <c r="AV94" s="22" t="str">
        <f>IF(AU94="","",VLOOKUP(AU94,Verdivurdering!$B$2:$K$100,15,FALSE))</f>
        <v/>
      </c>
      <c r="AW94" s="22"/>
      <c r="AX94" s="21" t="str">
        <f>IF(AW94="","",VLOOKUP(AW94,Verdivurdering!$B$2:$K$100,15,FALSE))</f>
        <v/>
      </c>
      <c r="AY94" s="19" t="e">
        <f t="shared" si="2"/>
        <v>#N/A</v>
      </c>
      <c r="AZ94" s="19" t="str">
        <f>IF(ISNUMBER(AY94),VLOOKUP(AY94,'Datasource 2'!$H$14:$I$18,2,FALSE),"")</f>
        <v/>
      </c>
      <c r="BA94" s="39"/>
      <c r="BB94" s="27" t="e">
        <f>_xlfn.IFNA(VLOOKUP(BA94,'Datasource 2'!I$14:$J$18,2,FALSE),AY94)</f>
        <v>#N/A</v>
      </c>
    </row>
    <row r="95" spans="1:54" x14ac:dyDescent="0.25">
      <c r="A95" s="37">
        <v>94</v>
      </c>
      <c r="B95" s="23"/>
      <c r="C95" s="23"/>
      <c r="D95" s="23"/>
      <c r="E95" s="23"/>
      <c r="F95" s="23"/>
      <c r="G95" s="23"/>
      <c r="H95" s="23"/>
      <c r="I95" s="23"/>
      <c r="J95" s="23"/>
      <c r="K95" s="23"/>
      <c r="L95" s="23"/>
      <c r="M95" s="23"/>
      <c r="N95" s="23"/>
      <c r="O95" s="23"/>
      <c r="P95" s="23"/>
      <c r="Q95" s="23"/>
      <c r="R95" s="23"/>
      <c r="S95" s="23"/>
      <c r="T95" s="23"/>
      <c r="U95" s="23"/>
      <c r="V95" s="23"/>
      <c r="W95" s="23"/>
      <c r="X95" s="23"/>
      <c r="Y95" s="39"/>
      <c r="Z95" s="22" t="e">
        <f>VLOOKUP(Y95,'Datasource 2'!$I$14:$J$18,2,FALSE)</f>
        <v>#N/A</v>
      </c>
      <c r="AA95" s="22"/>
      <c r="AB95" s="22" t="str">
        <f>IF(AA95="","",VLOOKUP(AA95,Verdivurdering!$B$2:$K$100,15,FALSE))</f>
        <v/>
      </c>
      <c r="AC95" s="22"/>
      <c r="AD95" s="22" t="str">
        <f>IF(AC95="","",VLOOKUP(AC95,Verdivurdering!$B$2:$K$100,15,FALSE))</f>
        <v/>
      </c>
      <c r="AE95" s="22"/>
      <c r="AF95" s="22" t="str">
        <f>IF(AE95="","",VLOOKUP(AE95,Verdivurdering!$B$2:$K$100,15,FALSE))</f>
        <v/>
      </c>
      <c r="AG95" s="22"/>
      <c r="AH95" s="22" t="str">
        <f>IF(AG95="","",VLOOKUP(AG95,Verdivurdering!$B$2:$K$100,15,FALSE))</f>
        <v/>
      </c>
      <c r="AI95" s="22"/>
      <c r="AJ95" s="22" t="str">
        <f>IF(AI95="","",VLOOKUP(AI95,Verdivurdering!$B$2:$K$100,15,FALSE))</f>
        <v/>
      </c>
      <c r="AK95" s="22"/>
      <c r="AL95" s="22" t="str">
        <f>IF(AK95="","",VLOOKUP(AK95,Verdivurdering!$B$2:$K$100,15,FALSE))</f>
        <v/>
      </c>
      <c r="AM95" s="22"/>
      <c r="AN95" s="22" t="str">
        <f>IF(AM95="","",VLOOKUP(AM95,Verdivurdering!$B$2:$K$100,15,FALSE))</f>
        <v/>
      </c>
      <c r="AO95" s="22"/>
      <c r="AP95" s="22" t="str">
        <f>IF(AO95="","",VLOOKUP(AO95,Verdivurdering!$B$2:$K$100,15,FALSE))</f>
        <v/>
      </c>
      <c r="AQ95" s="22"/>
      <c r="AR95" s="22" t="str">
        <f>IF(AQ95="","",VLOOKUP(AQ95,Verdivurdering!$B$2:$K$100,15,FALSE))</f>
        <v/>
      </c>
      <c r="AS95" s="22"/>
      <c r="AT95" s="22" t="str">
        <f>IF(AS95="","",VLOOKUP(AS95,Verdivurdering!$B$2:$K$100,15,FALSE))</f>
        <v/>
      </c>
      <c r="AU95" s="22"/>
      <c r="AV95" s="22" t="str">
        <f>IF(AU95="","",VLOOKUP(AU95,Verdivurdering!$B$2:$K$100,15,FALSE))</f>
        <v/>
      </c>
      <c r="AW95" s="22"/>
      <c r="AX95" s="21" t="str">
        <f>IF(AW95="","",VLOOKUP(AW95,Verdivurdering!$B$2:$K$100,15,FALSE))</f>
        <v/>
      </c>
      <c r="AY95" s="19" t="e">
        <f t="shared" si="2"/>
        <v>#N/A</v>
      </c>
      <c r="AZ95" s="19" t="str">
        <f>IF(ISNUMBER(AY95),VLOOKUP(AY95,'Datasource 2'!$H$14:$I$18,2,FALSE),"")</f>
        <v/>
      </c>
      <c r="BA95" s="39"/>
      <c r="BB95" s="27" t="e">
        <f>_xlfn.IFNA(VLOOKUP(BA95,'Datasource 2'!I$14:$J$18,2,FALSE),AY95)</f>
        <v>#N/A</v>
      </c>
    </row>
    <row r="96" spans="1:54" x14ac:dyDescent="0.25">
      <c r="A96" s="37">
        <v>95</v>
      </c>
      <c r="B96" s="23"/>
      <c r="C96" s="23"/>
      <c r="D96" s="23"/>
      <c r="E96" s="23"/>
      <c r="F96" s="23"/>
      <c r="G96" s="23"/>
      <c r="H96" s="23"/>
      <c r="I96" s="23"/>
      <c r="J96" s="23"/>
      <c r="K96" s="23"/>
      <c r="L96" s="23"/>
      <c r="M96" s="23"/>
      <c r="N96" s="23"/>
      <c r="O96" s="23"/>
      <c r="P96" s="23"/>
      <c r="Q96" s="23"/>
      <c r="R96" s="23"/>
      <c r="S96" s="23"/>
      <c r="T96" s="23"/>
      <c r="U96" s="23"/>
      <c r="V96" s="23"/>
      <c r="W96" s="23"/>
      <c r="X96" s="23"/>
      <c r="Y96" s="39"/>
      <c r="Z96" s="22" t="e">
        <f>VLOOKUP(Y96,'Datasource 2'!$I$14:$J$18,2,FALSE)</f>
        <v>#N/A</v>
      </c>
      <c r="AA96" s="22"/>
      <c r="AB96" s="22" t="str">
        <f>IF(AA96="","",VLOOKUP(AA96,Verdivurdering!$B$2:$K$100,15,FALSE))</f>
        <v/>
      </c>
      <c r="AC96" s="22"/>
      <c r="AD96" s="22" t="str">
        <f>IF(AC96="","",VLOOKUP(AC96,Verdivurdering!$B$2:$K$100,15,FALSE))</f>
        <v/>
      </c>
      <c r="AE96" s="22"/>
      <c r="AF96" s="22" t="str">
        <f>IF(AE96="","",VLOOKUP(AE96,Verdivurdering!$B$2:$K$100,15,FALSE))</f>
        <v/>
      </c>
      <c r="AG96" s="22"/>
      <c r="AH96" s="22" t="str">
        <f>IF(AG96="","",VLOOKUP(AG96,Verdivurdering!$B$2:$K$100,15,FALSE))</f>
        <v/>
      </c>
      <c r="AI96" s="22"/>
      <c r="AJ96" s="22" t="str">
        <f>IF(AI96="","",VLOOKUP(AI96,Verdivurdering!$B$2:$K$100,15,FALSE))</f>
        <v/>
      </c>
      <c r="AK96" s="22"/>
      <c r="AL96" s="22" t="str">
        <f>IF(AK96="","",VLOOKUP(AK96,Verdivurdering!$B$2:$K$100,15,FALSE))</f>
        <v/>
      </c>
      <c r="AM96" s="22"/>
      <c r="AN96" s="22" t="str">
        <f>IF(AM96="","",VLOOKUP(AM96,Verdivurdering!$B$2:$K$100,15,FALSE))</f>
        <v/>
      </c>
      <c r="AO96" s="22"/>
      <c r="AP96" s="22" t="str">
        <f>IF(AO96="","",VLOOKUP(AO96,Verdivurdering!$B$2:$K$100,15,FALSE))</f>
        <v/>
      </c>
      <c r="AQ96" s="22"/>
      <c r="AR96" s="22" t="str">
        <f>IF(AQ96="","",VLOOKUP(AQ96,Verdivurdering!$B$2:$K$100,15,FALSE))</f>
        <v/>
      </c>
      <c r="AS96" s="22"/>
      <c r="AT96" s="22" t="str">
        <f>IF(AS96="","",VLOOKUP(AS96,Verdivurdering!$B$2:$K$100,15,FALSE))</f>
        <v/>
      </c>
      <c r="AU96" s="22"/>
      <c r="AV96" s="22" t="str">
        <f>IF(AU96="","",VLOOKUP(AU96,Verdivurdering!$B$2:$K$100,15,FALSE))</f>
        <v/>
      </c>
      <c r="AW96" s="22"/>
      <c r="AX96" s="21" t="str">
        <f>IF(AW96="","",VLOOKUP(AW96,Verdivurdering!$B$2:$K$100,15,FALSE))</f>
        <v/>
      </c>
      <c r="AY96" s="19" t="e">
        <f t="shared" si="2"/>
        <v>#N/A</v>
      </c>
      <c r="AZ96" s="19" t="str">
        <f>IF(ISNUMBER(AY96),VLOOKUP(AY96,'Datasource 2'!$H$14:$I$18,2,FALSE),"")</f>
        <v/>
      </c>
      <c r="BA96" s="39"/>
      <c r="BB96" s="27" t="e">
        <f>_xlfn.IFNA(VLOOKUP(BA96,'Datasource 2'!I$14:$J$18,2,FALSE),AY96)</f>
        <v>#N/A</v>
      </c>
    </row>
    <row r="97" spans="1:54" x14ac:dyDescent="0.25">
      <c r="A97" s="37">
        <v>96</v>
      </c>
      <c r="B97" s="23"/>
      <c r="C97" s="23"/>
      <c r="D97" s="23"/>
      <c r="E97" s="23"/>
      <c r="F97" s="23"/>
      <c r="G97" s="23"/>
      <c r="H97" s="23"/>
      <c r="I97" s="23"/>
      <c r="J97" s="23"/>
      <c r="K97" s="23"/>
      <c r="L97" s="23"/>
      <c r="M97" s="23"/>
      <c r="N97" s="23"/>
      <c r="O97" s="23"/>
      <c r="P97" s="23"/>
      <c r="Q97" s="23"/>
      <c r="R97" s="23"/>
      <c r="S97" s="23"/>
      <c r="T97" s="23"/>
      <c r="U97" s="23"/>
      <c r="V97" s="23"/>
      <c r="W97" s="23"/>
      <c r="X97" s="23"/>
      <c r="Y97" s="39"/>
      <c r="Z97" s="22" t="e">
        <f>VLOOKUP(Y97,'Datasource 2'!$I$14:$J$18,2,FALSE)</f>
        <v>#N/A</v>
      </c>
      <c r="AA97" s="22"/>
      <c r="AB97" s="22" t="str">
        <f>IF(AA97="","",VLOOKUP(AA97,Verdivurdering!$B$2:$K$100,15,FALSE))</f>
        <v/>
      </c>
      <c r="AC97" s="22"/>
      <c r="AD97" s="22" t="str">
        <f>IF(AC97="","",VLOOKUP(AC97,Verdivurdering!$B$2:$K$100,15,FALSE))</f>
        <v/>
      </c>
      <c r="AE97" s="22"/>
      <c r="AF97" s="22" t="str">
        <f>IF(AE97="","",VLOOKUP(AE97,Verdivurdering!$B$2:$K$100,15,FALSE))</f>
        <v/>
      </c>
      <c r="AG97" s="22"/>
      <c r="AH97" s="22" t="str">
        <f>IF(AG97="","",VLOOKUP(AG97,Verdivurdering!$B$2:$K$100,15,FALSE))</f>
        <v/>
      </c>
      <c r="AI97" s="22"/>
      <c r="AJ97" s="22" t="str">
        <f>IF(AI97="","",VLOOKUP(AI97,Verdivurdering!$B$2:$K$100,15,FALSE))</f>
        <v/>
      </c>
      <c r="AK97" s="22"/>
      <c r="AL97" s="22" t="str">
        <f>IF(AK97="","",VLOOKUP(AK97,Verdivurdering!$B$2:$K$100,15,FALSE))</f>
        <v/>
      </c>
      <c r="AM97" s="22"/>
      <c r="AN97" s="22" t="str">
        <f>IF(AM97="","",VLOOKUP(AM97,Verdivurdering!$B$2:$K$100,15,FALSE))</f>
        <v/>
      </c>
      <c r="AO97" s="22"/>
      <c r="AP97" s="22" t="str">
        <f>IF(AO97="","",VLOOKUP(AO97,Verdivurdering!$B$2:$K$100,15,FALSE))</f>
        <v/>
      </c>
      <c r="AQ97" s="22"/>
      <c r="AR97" s="22" t="str">
        <f>IF(AQ97="","",VLOOKUP(AQ97,Verdivurdering!$B$2:$K$100,15,FALSE))</f>
        <v/>
      </c>
      <c r="AS97" s="22"/>
      <c r="AT97" s="22" t="str">
        <f>IF(AS97="","",VLOOKUP(AS97,Verdivurdering!$B$2:$K$100,15,FALSE))</f>
        <v/>
      </c>
      <c r="AU97" s="22"/>
      <c r="AV97" s="22" t="str">
        <f>IF(AU97="","",VLOOKUP(AU97,Verdivurdering!$B$2:$K$100,15,FALSE))</f>
        <v/>
      </c>
      <c r="AW97" s="22"/>
      <c r="AX97" s="21" t="str">
        <f>IF(AW97="","",VLOOKUP(AW97,Verdivurdering!$B$2:$K$100,15,FALSE))</f>
        <v/>
      </c>
      <c r="AY97" s="19" t="e">
        <f t="shared" si="2"/>
        <v>#N/A</v>
      </c>
      <c r="AZ97" s="19" t="str">
        <f>IF(ISNUMBER(AY97),VLOOKUP(AY97,'Datasource 2'!$H$14:$I$18,2,FALSE),"")</f>
        <v/>
      </c>
      <c r="BA97" s="39"/>
      <c r="BB97" s="27" t="e">
        <f>_xlfn.IFNA(VLOOKUP(BA97,'Datasource 2'!I$14:$J$18,2,FALSE),AY97)</f>
        <v>#N/A</v>
      </c>
    </row>
    <row r="98" spans="1:54" x14ac:dyDescent="0.25">
      <c r="A98" s="37">
        <v>97</v>
      </c>
      <c r="B98" s="23"/>
      <c r="C98" s="23"/>
      <c r="D98" s="23"/>
      <c r="E98" s="23"/>
      <c r="F98" s="23"/>
      <c r="G98" s="23"/>
      <c r="H98" s="23"/>
      <c r="I98" s="23"/>
      <c r="J98" s="23"/>
      <c r="K98" s="23"/>
      <c r="L98" s="23"/>
      <c r="M98" s="23"/>
      <c r="N98" s="23"/>
      <c r="O98" s="23"/>
      <c r="P98" s="23"/>
      <c r="Q98" s="23"/>
      <c r="R98" s="23"/>
      <c r="S98" s="23"/>
      <c r="T98" s="23"/>
      <c r="U98" s="23"/>
      <c r="V98" s="23"/>
      <c r="W98" s="23"/>
      <c r="X98" s="23"/>
      <c r="Y98" s="39"/>
      <c r="Z98" s="22" t="e">
        <f>VLOOKUP(Y98,'Datasource 2'!$I$14:$J$18,2,FALSE)</f>
        <v>#N/A</v>
      </c>
      <c r="AA98" s="22"/>
      <c r="AB98" s="22" t="str">
        <f>IF(AA98="","",VLOOKUP(AA98,Verdivurdering!$B$2:$K$100,15,FALSE))</f>
        <v/>
      </c>
      <c r="AC98" s="22"/>
      <c r="AD98" s="22" t="str">
        <f>IF(AC98="","",VLOOKUP(AC98,Verdivurdering!$B$2:$K$100,15,FALSE))</f>
        <v/>
      </c>
      <c r="AE98" s="22"/>
      <c r="AF98" s="22" t="str">
        <f>IF(AE98="","",VLOOKUP(AE98,Verdivurdering!$B$2:$K$100,15,FALSE))</f>
        <v/>
      </c>
      <c r="AG98" s="22"/>
      <c r="AH98" s="22" t="str">
        <f>IF(AG98="","",VLOOKUP(AG98,Verdivurdering!$B$2:$K$100,15,FALSE))</f>
        <v/>
      </c>
      <c r="AI98" s="22"/>
      <c r="AJ98" s="22" t="str">
        <f>IF(AI98="","",VLOOKUP(AI98,Verdivurdering!$B$2:$K$100,15,FALSE))</f>
        <v/>
      </c>
      <c r="AK98" s="22"/>
      <c r="AL98" s="22" t="str">
        <f>IF(AK98="","",VLOOKUP(AK98,Verdivurdering!$B$2:$K$100,15,FALSE))</f>
        <v/>
      </c>
      <c r="AM98" s="22"/>
      <c r="AN98" s="22" t="str">
        <f>IF(AM98="","",VLOOKUP(AM98,Verdivurdering!$B$2:$K$100,15,FALSE))</f>
        <v/>
      </c>
      <c r="AO98" s="22"/>
      <c r="AP98" s="22" t="str">
        <f>IF(AO98="","",VLOOKUP(AO98,Verdivurdering!$B$2:$K$100,15,FALSE))</f>
        <v/>
      </c>
      <c r="AQ98" s="22"/>
      <c r="AR98" s="22" t="str">
        <f>IF(AQ98="","",VLOOKUP(AQ98,Verdivurdering!$B$2:$K$100,15,FALSE))</f>
        <v/>
      </c>
      <c r="AS98" s="22"/>
      <c r="AT98" s="22" t="str">
        <f>IF(AS98="","",VLOOKUP(AS98,Verdivurdering!$B$2:$K$100,15,FALSE))</f>
        <v/>
      </c>
      <c r="AU98" s="22"/>
      <c r="AV98" s="22" t="str">
        <f>IF(AU98="","",VLOOKUP(AU98,Verdivurdering!$B$2:$K$100,15,FALSE))</f>
        <v/>
      </c>
      <c r="AW98" s="22"/>
      <c r="AX98" s="21" t="str">
        <f>IF(AW98="","",VLOOKUP(AW98,Verdivurdering!$B$2:$K$100,15,FALSE))</f>
        <v/>
      </c>
      <c r="AY98" s="19" t="e">
        <f t="shared" si="2"/>
        <v>#N/A</v>
      </c>
      <c r="AZ98" s="19" t="str">
        <f>IF(ISNUMBER(AY98),VLOOKUP(AY98,'Datasource 2'!$H$14:$I$18,2,FALSE),"")</f>
        <v/>
      </c>
      <c r="BA98" s="39"/>
      <c r="BB98" s="27" t="e">
        <f>_xlfn.IFNA(VLOOKUP(BA98,'Datasource 2'!I$14:$J$18,2,FALSE),AY98)</f>
        <v>#N/A</v>
      </c>
    </row>
    <row r="99" spans="1:54" x14ac:dyDescent="0.25">
      <c r="A99" s="37">
        <v>98</v>
      </c>
      <c r="B99" s="23"/>
      <c r="C99" s="23"/>
      <c r="D99" s="23"/>
      <c r="E99" s="23"/>
      <c r="F99" s="23"/>
      <c r="G99" s="23"/>
      <c r="H99" s="23"/>
      <c r="I99" s="23"/>
      <c r="J99" s="23"/>
      <c r="K99" s="23"/>
      <c r="L99" s="23"/>
      <c r="M99" s="23"/>
      <c r="N99" s="23"/>
      <c r="O99" s="23"/>
      <c r="P99" s="23"/>
      <c r="Q99" s="23"/>
      <c r="R99" s="23"/>
      <c r="S99" s="23"/>
      <c r="T99" s="23"/>
      <c r="U99" s="23"/>
      <c r="V99" s="23"/>
      <c r="W99" s="23"/>
      <c r="X99" s="23"/>
      <c r="Y99" s="39"/>
      <c r="Z99" s="22" t="e">
        <f>VLOOKUP(Y99,'Datasource 2'!$I$14:$J$18,2,FALSE)</f>
        <v>#N/A</v>
      </c>
      <c r="AA99" s="22"/>
      <c r="AB99" s="22" t="str">
        <f>IF(AA99="","",VLOOKUP(AA99,Verdivurdering!$B$2:$K$100,15,FALSE))</f>
        <v/>
      </c>
      <c r="AC99" s="22"/>
      <c r="AD99" s="22" t="str">
        <f>IF(AC99="","",VLOOKUP(AC99,Verdivurdering!$B$2:$K$100,15,FALSE))</f>
        <v/>
      </c>
      <c r="AE99" s="22"/>
      <c r="AF99" s="22" t="str">
        <f>IF(AE99="","",VLOOKUP(AE99,Verdivurdering!$B$2:$K$100,15,FALSE))</f>
        <v/>
      </c>
      <c r="AG99" s="22"/>
      <c r="AH99" s="22" t="str">
        <f>IF(AG99="","",VLOOKUP(AG99,Verdivurdering!$B$2:$K$100,15,FALSE))</f>
        <v/>
      </c>
      <c r="AI99" s="22"/>
      <c r="AJ99" s="22" t="str">
        <f>IF(AI99="","",VLOOKUP(AI99,Verdivurdering!$B$2:$K$100,15,FALSE))</f>
        <v/>
      </c>
      <c r="AK99" s="22"/>
      <c r="AL99" s="22" t="str">
        <f>IF(AK99="","",VLOOKUP(AK99,Verdivurdering!$B$2:$K$100,15,FALSE))</f>
        <v/>
      </c>
      <c r="AM99" s="22"/>
      <c r="AN99" s="22" t="str">
        <f>IF(AM99="","",VLOOKUP(AM99,Verdivurdering!$B$2:$K$100,15,FALSE))</f>
        <v/>
      </c>
      <c r="AO99" s="22"/>
      <c r="AP99" s="22" t="str">
        <f>IF(AO99="","",VLOOKUP(AO99,Verdivurdering!$B$2:$K$100,15,FALSE))</f>
        <v/>
      </c>
      <c r="AQ99" s="22"/>
      <c r="AR99" s="22" t="str">
        <f>IF(AQ99="","",VLOOKUP(AQ99,Verdivurdering!$B$2:$K$100,15,FALSE))</f>
        <v/>
      </c>
      <c r="AS99" s="22"/>
      <c r="AT99" s="22" t="str">
        <f>IF(AS99="","",VLOOKUP(AS99,Verdivurdering!$B$2:$K$100,15,FALSE))</f>
        <v/>
      </c>
      <c r="AU99" s="22"/>
      <c r="AV99" s="22" t="str">
        <f>IF(AU99="","",VLOOKUP(AU99,Verdivurdering!$B$2:$K$100,15,FALSE))</f>
        <v/>
      </c>
      <c r="AW99" s="22"/>
      <c r="AX99" s="21" t="str">
        <f>IF(AW99="","",VLOOKUP(AW99,Verdivurdering!$B$2:$K$100,15,FALSE))</f>
        <v/>
      </c>
      <c r="AY99" s="19" t="e">
        <f t="shared" si="2"/>
        <v>#N/A</v>
      </c>
      <c r="AZ99" s="19" t="str">
        <f>IF(ISNUMBER(AY99),VLOOKUP(AY99,'Datasource 2'!$H$14:$I$18,2,FALSE),"")</f>
        <v/>
      </c>
      <c r="BA99" s="39"/>
      <c r="BB99" s="27" t="e">
        <f>_xlfn.IFNA(VLOOKUP(BA99,'Datasource 2'!I$14:$J$18,2,FALSE),AY99)</f>
        <v>#N/A</v>
      </c>
    </row>
    <row r="100" spans="1:54" x14ac:dyDescent="0.25">
      <c r="A100" s="37">
        <v>99</v>
      </c>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39"/>
      <c r="Z100" s="22" t="e">
        <f>VLOOKUP(Y100,'Datasource 2'!$I$14:$J$18,2,FALSE)</f>
        <v>#N/A</v>
      </c>
      <c r="AA100" s="22"/>
      <c r="AB100" s="22" t="str">
        <f>IF(AA100="","",VLOOKUP(AA100,Verdivurdering!$B$2:$K$100,15,FALSE))</f>
        <v/>
      </c>
      <c r="AC100" s="22"/>
      <c r="AD100" s="22" t="str">
        <f>IF(AC100="","",VLOOKUP(AC100,Verdivurdering!$B$2:$K$100,15,FALSE))</f>
        <v/>
      </c>
      <c r="AE100" s="22"/>
      <c r="AF100" s="22" t="str">
        <f>IF(AE100="","",VLOOKUP(AE100,Verdivurdering!$B$2:$K$100,15,FALSE))</f>
        <v/>
      </c>
      <c r="AG100" s="22"/>
      <c r="AH100" s="22" t="str">
        <f>IF(AG100="","",VLOOKUP(AG100,Verdivurdering!$B$2:$K$100,15,FALSE))</f>
        <v/>
      </c>
      <c r="AI100" s="22"/>
      <c r="AJ100" s="22" t="str">
        <f>IF(AI100="","",VLOOKUP(AI100,Verdivurdering!$B$2:$K$100,15,FALSE))</f>
        <v/>
      </c>
      <c r="AK100" s="22"/>
      <c r="AL100" s="22" t="str">
        <f>IF(AK100="","",VLOOKUP(AK100,Verdivurdering!$B$2:$K$100,15,FALSE))</f>
        <v/>
      </c>
      <c r="AM100" s="22"/>
      <c r="AN100" s="22" t="str">
        <f>IF(AM100="","",VLOOKUP(AM100,Verdivurdering!$B$2:$K$100,15,FALSE))</f>
        <v/>
      </c>
      <c r="AO100" s="22"/>
      <c r="AP100" s="22" t="str">
        <f>IF(AO100="","",VLOOKUP(AO100,Verdivurdering!$B$2:$K$100,15,FALSE))</f>
        <v/>
      </c>
      <c r="AQ100" s="22"/>
      <c r="AR100" s="22" t="str">
        <f>IF(AQ100="","",VLOOKUP(AQ100,Verdivurdering!$B$2:$K$100,15,FALSE))</f>
        <v/>
      </c>
      <c r="AS100" s="22"/>
      <c r="AT100" s="22" t="str">
        <f>IF(AS100="","",VLOOKUP(AS100,Verdivurdering!$B$2:$K$100,15,FALSE))</f>
        <v/>
      </c>
      <c r="AU100" s="22"/>
      <c r="AV100" s="22" t="str">
        <f>IF(AU100="","",VLOOKUP(AU100,Verdivurdering!$B$2:$K$100,15,FALSE))</f>
        <v/>
      </c>
      <c r="AW100" s="22"/>
      <c r="AX100" s="21" t="str">
        <f>IF(AW100="","",VLOOKUP(AW100,Verdivurdering!$B$2:$K$100,15,FALSE))</f>
        <v/>
      </c>
      <c r="AY100" s="19" t="e">
        <f t="shared" si="2"/>
        <v>#N/A</v>
      </c>
      <c r="AZ100" s="19" t="str">
        <f>IF(ISNUMBER(AY100),VLOOKUP(AY100,'Datasource 2'!$H$14:$I$18,2,FALSE),"")</f>
        <v/>
      </c>
      <c r="BA100" s="39"/>
      <c r="BB100" s="27" t="e">
        <f>_xlfn.IFNA(VLOOKUP(BA100,'Datasource 2'!I$14:$J$18,2,FALSE),AY100)</f>
        <v>#N/A</v>
      </c>
    </row>
    <row r="101" spans="1:54" x14ac:dyDescent="0.25">
      <c r="A101" s="37">
        <v>100</v>
      </c>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39"/>
      <c r="Z101" s="22" t="e">
        <f>VLOOKUP(Y101,'Datasource 2'!$I$14:$J$18,2,FALSE)</f>
        <v>#N/A</v>
      </c>
      <c r="AA101" s="22"/>
      <c r="AB101" s="22" t="str">
        <f>IF(AA101="","",VLOOKUP(AA101,Verdivurdering!$B$2:$K$100,15,FALSE))</f>
        <v/>
      </c>
      <c r="AC101" s="22"/>
      <c r="AD101" s="22" t="str">
        <f>IF(AC101="","",VLOOKUP(AC101,Verdivurdering!$B$2:$K$100,15,FALSE))</f>
        <v/>
      </c>
      <c r="AE101" s="22"/>
      <c r="AF101" s="22" t="str">
        <f>IF(AE101="","",VLOOKUP(AE101,Verdivurdering!$B$2:$K$100,15,FALSE))</f>
        <v/>
      </c>
      <c r="AG101" s="22"/>
      <c r="AH101" s="22" t="str">
        <f>IF(AG101="","",VLOOKUP(AG101,Verdivurdering!$B$2:$K$100,15,FALSE))</f>
        <v/>
      </c>
      <c r="AI101" s="22"/>
      <c r="AJ101" s="22" t="str">
        <f>IF(AI101="","",VLOOKUP(AI101,Verdivurdering!$B$2:$K$100,15,FALSE))</f>
        <v/>
      </c>
      <c r="AK101" s="22"/>
      <c r="AL101" s="22" t="str">
        <f>IF(AK101="","",VLOOKUP(AK101,Verdivurdering!$B$2:$K$100,15,FALSE))</f>
        <v/>
      </c>
      <c r="AM101" s="22"/>
      <c r="AN101" s="22" t="str">
        <f>IF(AM101="","",VLOOKUP(AM101,Verdivurdering!$B$2:$K$100,15,FALSE))</f>
        <v/>
      </c>
      <c r="AO101" s="22"/>
      <c r="AP101" s="22" t="str">
        <f>IF(AO101="","",VLOOKUP(AO101,Verdivurdering!$B$2:$K$100,15,FALSE))</f>
        <v/>
      </c>
      <c r="AQ101" s="22"/>
      <c r="AR101" s="22" t="str">
        <f>IF(AQ101="","",VLOOKUP(AQ101,Verdivurdering!$B$2:$K$100,15,FALSE))</f>
        <v/>
      </c>
      <c r="AS101" s="22"/>
      <c r="AT101" s="22" t="str">
        <f>IF(AS101="","",VLOOKUP(AS101,Verdivurdering!$B$2:$K$100,15,FALSE))</f>
        <v/>
      </c>
      <c r="AU101" s="22"/>
      <c r="AV101" s="22" t="str">
        <f>IF(AU101="","",VLOOKUP(AU101,Verdivurdering!$B$2:$K$100,15,FALSE))</f>
        <v/>
      </c>
      <c r="AW101" s="22"/>
      <c r="AX101" s="21" t="str">
        <f>IF(AW101="","",VLOOKUP(AW101,Verdivurdering!$B$2:$K$100,15,FALSE))</f>
        <v/>
      </c>
      <c r="AY101" s="19" t="e">
        <f t="shared" si="2"/>
        <v>#N/A</v>
      </c>
      <c r="AZ101" s="19" t="str">
        <f>IF(ISNUMBER(AY101),VLOOKUP(AY101,'Datasource 2'!$H$14:$I$18,2,FALSE),"")</f>
        <v/>
      </c>
      <c r="BA101" s="39"/>
      <c r="BB101" s="27" t="e">
        <f>_xlfn.IFNA(VLOOKUP(BA101,'Datasource 2'!I$14:$J$18,2,FALSE),AY101)</f>
        <v>#N/A</v>
      </c>
    </row>
    <row r="102" spans="1:54" x14ac:dyDescent="0.25">
      <c r="A102" s="37">
        <v>101</v>
      </c>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39"/>
      <c r="Z102" s="22" t="e">
        <f>VLOOKUP(Y102,'Datasource 2'!$I$14:$J$18,2,FALSE)</f>
        <v>#N/A</v>
      </c>
      <c r="AA102" s="22"/>
      <c r="AB102" s="22" t="str">
        <f>IF(AA102="","",VLOOKUP(AA102,Verdivurdering!$B$2:$K$100,15,FALSE))</f>
        <v/>
      </c>
      <c r="AC102" s="22"/>
      <c r="AD102" s="22" t="str">
        <f>IF(AC102="","",VLOOKUP(AC102,Verdivurdering!$B$2:$K$100,15,FALSE))</f>
        <v/>
      </c>
      <c r="AE102" s="22"/>
      <c r="AF102" s="22" t="str">
        <f>IF(AE102="","",VLOOKUP(AE102,Verdivurdering!$B$2:$K$100,15,FALSE))</f>
        <v/>
      </c>
      <c r="AG102" s="22"/>
      <c r="AH102" s="22" t="str">
        <f>IF(AG102="","",VLOOKUP(AG102,Verdivurdering!$B$2:$K$100,15,FALSE))</f>
        <v/>
      </c>
      <c r="AI102" s="22"/>
      <c r="AJ102" s="22" t="str">
        <f>IF(AI102="","",VLOOKUP(AI102,Verdivurdering!$B$2:$K$100,15,FALSE))</f>
        <v/>
      </c>
      <c r="AK102" s="22"/>
      <c r="AL102" s="22" t="str">
        <f>IF(AK102="","",VLOOKUP(AK102,Verdivurdering!$B$2:$K$100,15,FALSE))</f>
        <v/>
      </c>
      <c r="AM102" s="22"/>
      <c r="AN102" s="22" t="str">
        <f>IF(AM102="","",VLOOKUP(AM102,Verdivurdering!$B$2:$K$100,15,FALSE))</f>
        <v/>
      </c>
      <c r="AO102" s="22"/>
      <c r="AP102" s="22" t="str">
        <f>IF(AO102="","",VLOOKUP(AO102,Verdivurdering!$B$2:$K$100,15,FALSE))</f>
        <v/>
      </c>
      <c r="AQ102" s="22"/>
      <c r="AR102" s="22" t="str">
        <f>IF(AQ102="","",VLOOKUP(AQ102,Verdivurdering!$B$2:$K$100,15,FALSE))</f>
        <v/>
      </c>
      <c r="AS102" s="22"/>
      <c r="AT102" s="22" t="str">
        <f>IF(AS102="","",VLOOKUP(AS102,Verdivurdering!$B$2:$K$100,15,FALSE))</f>
        <v/>
      </c>
      <c r="AU102" s="22"/>
      <c r="AV102" s="22" t="str">
        <f>IF(AU102="","",VLOOKUP(AU102,Verdivurdering!$B$2:$K$100,15,FALSE))</f>
        <v/>
      </c>
      <c r="AW102" s="22"/>
      <c r="AX102" s="21" t="str">
        <f>IF(AW102="","",VLOOKUP(AW102,Verdivurdering!$B$2:$K$100,15,FALSE))</f>
        <v/>
      </c>
      <c r="AY102" s="19" t="e">
        <f t="shared" si="2"/>
        <v>#N/A</v>
      </c>
      <c r="AZ102" s="19" t="str">
        <f>IF(ISNUMBER(AY102),VLOOKUP(AY102,'Datasource 2'!$H$14:$I$18,2,FALSE),"")</f>
        <v/>
      </c>
      <c r="BA102" s="39"/>
      <c r="BB102" s="27" t="e">
        <f>_xlfn.IFNA(VLOOKUP(BA102,'Datasource 2'!I$14:$J$18,2,FALSE),AY102)</f>
        <v>#N/A</v>
      </c>
    </row>
    <row r="103" spans="1:54" x14ac:dyDescent="0.25">
      <c r="A103" s="37">
        <v>102</v>
      </c>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39"/>
      <c r="Z103" s="22" t="e">
        <f>VLOOKUP(Y103,'Datasource 2'!$I$14:$J$18,2,FALSE)</f>
        <v>#N/A</v>
      </c>
      <c r="AA103" s="22"/>
      <c r="AB103" s="22" t="str">
        <f>IF(AA103="","",VLOOKUP(AA103,Verdivurdering!$B$2:$K$100,15,FALSE))</f>
        <v/>
      </c>
      <c r="AC103" s="22"/>
      <c r="AD103" s="22" t="str">
        <f>IF(AC103="","",VLOOKUP(AC103,Verdivurdering!$B$2:$K$100,15,FALSE))</f>
        <v/>
      </c>
      <c r="AE103" s="22"/>
      <c r="AF103" s="22" t="str">
        <f>IF(AE103="","",VLOOKUP(AE103,Verdivurdering!$B$2:$K$100,15,FALSE))</f>
        <v/>
      </c>
      <c r="AG103" s="22"/>
      <c r="AH103" s="22" t="str">
        <f>IF(AG103="","",VLOOKUP(AG103,Verdivurdering!$B$2:$K$100,15,FALSE))</f>
        <v/>
      </c>
      <c r="AI103" s="22"/>
      <c r="AJ103" s="22" t="str">
        <f>IF(AI103="","",VLOOKUP(AI103,Verdivurdering!$B$2:$K$100,15,FALSE))</f>
        <v/>
      </c>
      <c r="AK103" s="22"/>
      <c r="AL103" s="22" t="str">
        <f>IF(AK103="","",VLOOKUP(AK103,Verdivurdering!$B$2:$K$100,15,FALSE))</f>
        <v/>
      </c>
      <c r="AM103" s="22"/>
      <c r="AN103" s="22" t="str">
        <f>IF(AM103="","",VLOOKUP(AM103,Verdivurdering!$B$2:$K$100,15,FALSE))</f>
        <v/>
      </c>
      <c r="AO103" s="22"/>
      <c r="AP103" s="22" t="str">
        <f>IF(AO103="","",VLOOKUP(AO103,Verdivurdering!$B$2:$K$100,15,FALSE))</f>
        <v/>
      </c>
      <c r="AQ103" s="22"/>
      <c r="AR103" s="22" t="str">
        <f>IF(AQ103="","",VLOOKUP(AQ103,Verdivurdering!$B$2:$K$100,15,FALSE))</f>
        <v/>
      </c>
      <c r="AS103" s="22"/>
      <c r="AT103" s="22" t="str">
        <f>IF(AS103="","",VLOOKUP(AS103,Verdivurdering!$B$2:$K$100,15,FALSE))</f>
        <v/>
      </c>
      <c r="AU103" s="22"/>
      <c r="AV103" s="22" t="str">
        <f>IF(AU103="","",VLOOKUP(AU103,Verdivurdering!$B$2:$K$100,15,FALSE))</f>
        <v/>
      </c>
      <c r="AW103" s="22"/>
      <c r="AX103" s="21" t="str">
        <f>IF(AW103="","",VLOOKUP(AW103,Verdivurdering!$B$2:$K$100,15,FALSE))</f>
        <v/>
      </c>
      <c r="AY103" s="19" t="e">
        <f t="shared" si="2"/>
        <v>#N/A</v>
      </c>
      <c r="AZ103" s="19" t="str">
        <f>IF(ISNUMBER(AY103),VLOOKUP(AY103,'Datasource 2'!$H$14:$I$18,2,FALSE),"")</f>
        <v/>
      </c>
      <c r="BA103" s="39"/>
      <c r="BB103" s="27" t="e">
        <f>_xlfn.IFNA(VLOOKUP(BA103,'Datasource 2'!I$14:$J$18,2,FALSE),AY103)</f>
        <v>#N/A</v>
      </c>
    </row>
    <row r="104" spans="1:54" x14ac:dyDescent="0.25">
      <c r="A104" s="37">
        <v>103</v>
      </c>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39"/>
      <c r="Z104" s="22" t="e">
        <f>VLOOKUP(Y104,'Datasource 2'!$I$14:$J$18,2,FALSE)</f>
        <v>#N/A</v>
      </c>
      <c r="AA104" s="22"/>
      <c r="AB104" s="22" t="str">
        <f>IF(AA104="","",VLOOKUP(AA104,Verdivurdering!$B$2:$K$100,15,FALSE))</f>
        <v/>
      </c>
      <c r="AC104" s="22"/>
      <c r="AD104" s="22" t="str">
        <f>IF(AC104="","",VLOOKUP(AC104,Verdivurdering!$B$2:$K$100,15,FALSE))</f>
        <v/>
      </c>
      <c r="AE104" s="22"/>
      <c r="AF104" s="22" t="str">
        <f>IF(AE104="","",VLOOKUP(AE104,Verdivurdering!$B$2:$K$100,15,FALSE))</f>
        <v/>
      </c>
      <c r="AG104" s="22"/>
      <c r="AH104" s="22" t="str">
        <f>IF(AG104="","",VLOOKUP(AG104,Verdivurdering!$B$2:$K$100,15,FALSE))</f>
        <v/>
      </c>
      <c r="AI104" s="22"/>
      <c r="AJ104" s="22" t="str">
        <f>IF(AI104="","",VLOOKUP(AI104,Verdivurdering!$B$2:$K$100,15,FALSE))</f>
        <v/>
      </c>
      <c r="AK104" s="22"/>
      <c r="AL104" s="22" t="str">
        <f>IF(AK104="","",VLOOKUP(AK104,Verdivurdering!$B$2:$K$100,15,FALSE))</f>
        <v/>
      </c>
      <c r="AM104" s="22"/>
      <c r="AN104" s="22" t="str">
        <f>IF(AM104="","",VLOOKUP(AM104,Verdivurdering!$B$2:$K$100,15,FALSE))</f>
        <v/>
      </c>
      <c r="AO104" s="22"/>
      <c r="AP104" s="22" t="str">
        <f>IF(AO104="","",VLOOKUP(AO104,Verdivurdering!$B$2:$K$100,15,FALSE))</f>
        <v/>
      </c>
      <c r="AQ104" s="22"/>
      <c r="AR104" s="22" t="str">
        <f>IF(AQ104="","",VLOOKUP(AQ104,Verdivurdering!$B$2:$K$100,15,FALSE))</f>
        <v/>
      </c>
      <c r="AS104" s="22"/>
      <c r="AT104" s="22" t="str">
        <f>IF(AS104="","",VLOOKUP(AS104,Verdivurdering!$B$2:$K$100,15,FALSE))</f>
        <v/>
      </c>
      <c r="AU104" s="22"/>
      <c r="AV104" s="22" t="str">
        <f>IF(AU104="","",VLOOKUP(AU104,Verdivurdering!$B$2:$K$100,15,FALSE))</f>
        <v/>
      </c>
      <c r="AW104" s="22"/>
      <c r="AX104" s="21" t="str">
        <f>IF(AW104="","",VLOOKUP(AW104,Verdivurdering!$B$2:$K$100,15,FALSE))</f>
        <v/>
      </c>
      <c r="AY104" s="19" t="e">
        <f t="shared" si="2"/>
        <v>#N/A</v>
      </c>
      <c r="AZ104" s="19" t="str">
        <f>IF(ISNUMBER(AY104),VLOOKUP(AY104,'Datasource 2'!$H$14:$I$18,2,FALSE),"")</f>
        <v/>
      </c>
      <c r="BA104" s="39"/>
      <c r="BB104" s="27" t="e">
        <f>_xlfn.IFNA(VLOOKUP(BA104,'Datasource 2'!I$14:$J$18,2,FALSE),AY104)</f>
        <v>#N/A</v>
      </c>
    </row>
    <row r="105" spans="1:54" x14ac:dyDescent="0.25">
      <c r="A105" s="37">
        <v>104</v>
      </c>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39"/>
      <c r="Z105" s="22" t="e">
        <f>VLOOKUP(Y105,'Datasource 2'!$I$14:$J$18,2,FALSE)</f>
        <v>#N/A</v>
      </c>
      <c r="AA105" s="22"/>
      <c r="AB105" s="22" t="str">
        <f>IF(AA105="","",VLOOKUP(AA105,Verdivurdering!$B$2:$K$100,15,FALSE))</f>
        <v/>
      </c>
      <c r="AC105" s="22"/>
      <c r="AD105" s="22" t="str">
        <f>IF(AC105="","",VLOOKUP(AC105,Verdivurdering!$B$2:$K$100,15,FALSE))</f>
        <v/>
      </c>
      <c r="AE105" s="22"/>
      <c r="AF105" s="22" t="str">
        <f>IF(AE105="","",VLOOKUP(AE105,Verdivurdering!$B$2:$K$100,15,FALSE))</f>
        <v/>
      </c>
      <c r="AG105" s="22"/>
      <c r="AH105" s="22" t="str">
        <f>IF(AG105="","",VLOOKUP(AG105,Verdivurdering!$B$2:$K$100,15,FALSE))</f>
        <v/>
      </c>
      <c r="AI105" s="22"/>
      <c r="AJ105" s="22" t="str">
        <f>IF(AI105="","",VLOOKUP(AI105,Verdivurdering!$B$2:$K$100,15,FALSE))</f>
        <v/>
      </c>
      <c r="AK105" s="22"/>
      <c r="AL105" s="22" t="str">
        <f>IF(AK105="","",VLOOKUP(AK105,Verdivurdering!$B$2:$K$100,15,FALSE))</f>
        <v/>
      </c>
      <c r="AM105" s="22"/>
      <c r="AN105" s="22" t="str">
        <f>IF(AM105="","",VLOOKUP(AM105,Verdivurdering!$B$2:$K$100,15,FALSE))</f>
        <v/>
      </c>
      <c r="AO105" s="22"/>
      <c r="AP105" s="22" t="str">
        <f>IF(AO105="","",VLOOKUP(AO105,Verdivurdering!$B$2:$K$100,15,FALSE))</f>
        <v/>
      </c>
      <c r="AQ105" s="22"/>
      <c r="AR105" s="22" t="str">
        <f>IF(AQ105="","",VLOOKUP(AQ105,Verdivurdering!$B$2:$K$100,15,FALSE))</f>
        <v/>
      </c>
      <c r="AS105" s="22"/>
      <c r="AT105" s="22" t="str">
        <f>IF(AS105="","",VLOOKUP(AS105,Verdivurdering!$B$2:$K$100,15,FALSE))</f>
        <v/>
      </c>
      <c r="AU105" s="22"/>
      <c r="AV105" s="22" t="str">
        <f>IF(AU105="","",VLOOKUP(AU105,Verdivurdering!$B$2:$K$100,15,FALSE))</f>
        <v/>
      </c>
      <c r="AW105" s="22"/>
      <c r="AX105" s="21" t="str">
        <f>IF(AW105="","",VLOOKUP(AW105,Verdivurdering!$B$2:$K$100,15,FALSE))</f>
        <v/>
      </c>
      <c r="AY105" s="19" t="e">
        <f t="shared" si="2"/>
        <v>#N/A</v>
      </c>
      <c r="AZ105" s="19" t="str">
        <f>IF(ISNUMBER(AY105),VLOOKUP(AY105,'Datasource 2'!$H$14:$I$18,2,FALSE),"")</f>
        <v/>
      </c>
      <c r="BA105" s="39"/>
      <c r="BB105" s="27" t="e">
        <f>_xlfn.IFNA(VLOOKUP(BA105,'Datasource 2'!I$14:$J$18,2,FALSE),AY105)</f>
        <v>#N/A</v>
      </c>
    </row>
    <row r="106" spans="1:54" x14ac:dyDescent="0.25">
      <c r="A106" s="37">
        <v>105</v>
      </c>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39"/>
      <c r="Z106" s="22" t="e">
        <f>VLOOKUP(Y106,'Datasource 2'!$I$14:$J$18,2,FALSE)</f>
        <v>#N/A</v>
      </c>
      <c r="AA106" s="22"/>
      <c r="AB106" s="22" t="str">
        <f>IF(AA106="","",VLOOKUP(AA106,Verdivurdering!$B$2:$K$100,15,FALSE))</f>
        <v/>
      </c>
      <c r="AC106" s="22"/>
      <c r="AD106" s="22" t="str">
        <f>IF(AC106="","",VLOOKUP(AC106,Verdivurdering!$B$2:$K$100,15,FALSE))</f>
        <v/>
      </c>
      <c r="AE106" s="22"/>
      <c r="AF106" s="22" t="str">
        <f>IF(AE106="","",VLOOKUP(AE106,Verdivurdering!$B$2:$K$100,15,FALSE))</f>
        <v/>
      </c>
      <c r="AG106" s="22"/>
      <c r="AH106" s="22" t="str">
        <f>IF(AG106="","",VLOOKUP(AG106,Verdivurdering!$B$2:$K$100,15,FALSE))</f>
        <v/>
      </c>
      <c r="AI106" s="22"/>
      <c r="AJ106" s="22" t="str">
        <f>IF(AI106="","",VLOOKUP(AI106,Verdivurdering!$B$2:$K$100,15,FALSE))</f>
        <v/>
      </c>
      <c r="AK106" s="22"/>
      <c r="AL106" s="22" t="str">
        <f>IF(AK106="","",VLOOKUP(AK106,Verdivurdering!$B$2:$K$100,15,FALSE))</f>
        <v/>
      </c>
      <c r="AM106" s="22"/>
      <c r="AN106" s="22" t="str">
        <f>IF(AM106="","",VLOOKUP(AM106,Verdivurdering!$B$2:$K$100,15,FALSE))</f>
        <v/>
      </c>
      <c r="AO106" s="22"/>
      <c r="AP106" s="22" t="str">
        <f>IF(AO106="","",VLOOKUP(AO106,Verdivurdering!$B$2:$K$100,15,FALSE))</f>
        <v/>
      </c>
      <c r="AQ106" s="22"/>
      <c r="AR106" s="22" t="str">
        <f>IF(AQ106="","",VLOOKUP(AQ106,Verdivurdering!$B$2:$K$100,15,FALSE))</f>
        <v/>
      </c>
      <c r="AS106" s="22"/>
      <c r="AT106" s="22" t="str">
        <f>IF(AS106="","",VLOOKUP(AS106,Verdivurdering!$B$2:$K$100,15,FALSE))</f>
        <v/>
      </c>
      <c r="AU106" s="22"/>
      <c r="AV106" s="22" t="str">
        <f>IF(AU106="","",VLOOKUP(AU106,Verdivurdering!$B$2:$K$100,15,FALSE))</f>
        <v/>
      </c>
      <c r="AW106" s="22"/>
      <c r="AX106" s="21" t="str">
        <f>IF(AW106="","",VLOOKUP(AW106,Verdivurdering!$B$2:$K$100,15,FALSE))</f>
        <v/>
      </c>
      <c r="AY106" s="19" t="e">
        <f t="shared" si="2"/>
        <v>#N/A</v>
      </c>
      <c r="AZ106" s="19" t="str">
        <f>IF(ISNUMBER(AY106),VLOOKUP(AY106,'Datasource 2'!$H$14:$I$18,2,FALSE),"")</f>
        <v/>
      </c>
      <c r="BA106" s="39"/>
      <c r="BB106" s="27" t="e">
        <f>_xlfn.IFNA(VLOOKUP(BA106,'Datasource 2'!I$14:$J$18,2,FALSE),AY106)</f>
        <v>#N/A</v>
      </c>
    </row>
    <row r="107" spans="1:54" x14ac:dyDescent="0.25">
      <c r="A107" s="37">
        <v>106</v>
      </c>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39"/>
      <c r="Z107" s="22" t="e">
        <f>VLOOKUP(Y107,'Datasource 2'!$I$14:$J$18,2,FALSE)</f>
        <v>#N/A</v>
      </c>
      <c r="AA107" s="22"/>
      <c r="AB107" s="22" t="str">
        <f>IF(AA107="","",VLOOKUP(AA107,Verdivurdering!$B$2:$K$100,15,FALSE))</f>
        <v/>
      </c>
      <c r="AC107" s="22"/>
      <c r="AD107" s="22" t="str">
        <f>IF(AC107="","",VLOOKUP(AC107,Verdivurdering!$B$2:$K$100,15,FALSE))</f>
        <v/>
      </c>
      <c r="AE107" s="22"/>
      <c r="AF107" s="22" t="str">
        <f>IF(AE107="","",VLOOKUP(AE107,Verdivurdering!$B$2:$K$100,15,FALSE))</f>
        <v/>
      </c>
      <c r="AG107" s="22"/>
      <c r="AH107" s="22" t="str">
        <f>IF(AG107="","",VLOOKUP(AG107,Verdivurdering!$B$2:$K$100,15,FALSE))</f>
        <v/>
      </c>
      <c r="AI107" s="22"/>
      <c r="AJ107" s="22" t="str">
        <f>IF(AI107="","",VLOOKUP(AI107,Verdivurdering!$B$2:$K$100,15,FALSE))</f>
        <v/>
      </c>
      <c r="AK107" s="22"/>
      <c r="AL107" s="22" t="str">
        <f>IF(AK107="","",VLOOKUP(AK107,Verdivurdering!$B$2:$K$100,15,FALSE))</f>
        <v/>
      </c>
      <c r="AM107" s="22"/>
      <c r="AN107" s="22" t="str">
        <f>IF(AM107="","",VLOOKUP(AM107,Verdivurdering!$B$2:$K$100,15,FALSE))</f>
        <v/>
      </c>
      <c r="AO107" s="22"/>
      <c r="AP107" s="22" t="str">
        <f>IF(AO107="","",VLOOKUP(AO107,Verdivurdering!$B$2:$K$100,15,FALSE))</f>
        <v/>
      </c>
      <c r="AQ107" s="22"/>
      <c r="AR107" s="22" t="str">
        <f>IF(AQ107="","",VLOOKUP(AQ107,Verdivurdering!$B$2:$K$100,15,FALSE))</f>
        <v/>
      </c>
      <c r="AS107" s="22"/>
      <c r="AT107" s="22" t="str">
        <f>IF(AS107="","",VLOOKUP(AS107,Verdivurdering!$B$2:$K$100,15,FALSE))</f>
        <v/>
      </c>
      <c r="AU107" s="22"/>
      <c r="AV107" s="22" t="str">
        <f>IF(AU107="","",VLOOKUP(AU107,Verdivurdering!$B$2:$K$100,15,FALSE))</f>
        <v/>
      </c>
      <c r="AW107" s="22"/>
      <c r="AX107" s="21" t="str">
        <f>IF(AW107="","",VLOOKUP(AW107,Verdivurdering!$B$2:$K$100,15,FALSE))</f>
        <v/>
      </c>
      <c r="AY107" s="19" t="e">
        <f t="shared" si="2"/>
        <v>#N/A</v>
      </c>
      <c r="AZ107" s="19" t="str">
        <f>IF(ISNUMBER(AY107),VLOOKUP(AY107,'Datasource 2'!$H$14:$I$18,2,FALSE),"")</f>
        <v/>
      </c>
      <c r="BA107" s="39"/>
      <c r="BB107" s="27" t="e">
        <f>_xlfn.IFNA(VLOOKUP(BA107,'Datasource 2'!I$14:$J$18,2,FALSE),AY107)</f>
        <v>#N/A</v>
      </c>
    </row>
    <row r="108" spans="1:54" x14ac:dyDescent="0.25">
      <c r="A108" s="37">
        <v>107</v>
      </c>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39"/>
      <c r="Z108" s="22" t="e">
        <f>VLOOKUP(Y108,'Datasource 2'!$I$14:$J$18,2,FALSE)</f>
        <v>#N/A</v>
      </c>
      <c r="AA108" s="22"/>
      <c r="AB108" s="22" t="str">
        <f>IF(AA108="","",VLOOKUP(AA108,Verdivurdering!$B$2:$K$100,15,FALSE))</f>
        <v/>
      </c>
      <c r="AC108" s="22"/>
      <c r="AD108" s="22" t="str">
        <f>IF(AC108="","",VLOOKUP(AC108,Verdivurdering!$B$2:$K$100,15,FALSE))</f>
        <v/>
      </c>
      <c r="AE108" s="22"/>
      <c r="AF108" s="22" t="str">
        <f>IF(AE108="","",VLOOKUP(AE108,Verdivurdering!$B$2:$K$100,15,FALSE))</f>
        <v/>
      </c>
      <c r="AG108" s="22"/>
      <c r="AH108" s="22" t="str">
        <f>IF(AG108="","",VLOOKUP(AG108,Verdivurdering!$B$2:$K$100,15,FALSE))</f>
        <v/>
      </c>
      <c r="AI108" s="22"/>
      <c r="AJ108" s="22" t="str">
        <f>IF(AI108="","",VLOOKUP(AI108,Verdivurdering!$B$2:$K$100,15,FALSE))</f>
        <v/>
      </c>
      <c r="AK108" s="22"/>
      <c r="AL108" s="22" t="str">
        <f>IF(AK108="","",VLOOKUP(AK108,Verdivurdering!$B$2:$K$100,15,FALSE))</f>
        <v/>
      </c>
      <c r="AM108" s="22"/>
      <c r="AN108" s="22" t="str">
        <f>IF(AM108="","",VLOOKUP(AM108,Verdivurdering!$B$2:$K$100,15,FALSE))</f>
        <v/>
      </c>
      <c r="AO108" s="22"/>
      <c r="AP108" s="22" t="str">
        <f>IF(AO108="","",VLOOKUP(AO108,Verdivurdering!$B$2:$K$100,15,FALSE))</f>
        <v/>
      </c>
      <c r="AQ108" s="22"/>
      <c r="AR108" s="22" t="str">
        <f>IF(AQ108="","",VLOOKUP(AQ108,Verdivurdering!$B$2:$K$100,15,FALSE))</f>
        <v/>
      </c>
      <c r="AS108" s="22"/>
      <c r="AT108" s="22" t="str">
        <f>IF(AS108="","",VLOOKUP(AS108,Verdivurdering!$B$2:$K$100,15,FALSE))</f>
        <v/>
      </c>
      <c r="AU108" s="22"/>
      <c r="AV108" s="22" t="str">
        <f>IF(AU108="","",VLOOKUP(AU108,Verdivurdering!$B$2:$K$100,15,FALSE))</f>
        <v/>
      </c>
      <c r="AW108" s="22"/>
      <c r="AX108" s="21" t="str">
        <f>IF(AW108="","",VLOOKUP(AW108,Verdivurdering!$B$2:$K$100,15,FALSE))</f>
        <v/>
      </c>
      <c r="AY108" s="19" t="e">
        <f t="shared" si="2"/>
        <v>#N/A</v>
      </c>
      <c r="AZ108" s="19" t="str">
        <f>IF(ISNUMBER(AY108),VLOOKUP(AY108,'Datasource 2'!$H$14:$I$18,2,FALSE),"")</f>
        <v/>
      </c>
      <c r="BA108" s="39"/>
      <c r="BB108" s="27" t="e">
        <f>_xlfn.IFNA(VLOOKUP(BA108,'Datasource 2'!I$14:$J$18,2,FALSE),AY108)</f>
        <v>#N/A</v>
      </c>
    </row>
    <row r="109" spans="1:54" x14ac:dyDescent="0.25">
      <c r="A109" s="37">
        <v>108</v>
      </c>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39"/>
      <c r="Z109" s="22" t="e">
        <f>VLOOKUP(Y109,'Datasource 2'!$I$14:$J$18,2,FALSE)</f>
        <v>#N/A</v>
      </c>
      <c r="AA109" s="22"/>
      <c r="AB109" s="22" t="str">
        <f>IF(AA109="","",VLOOKUP(AA109,Verdivurdering!$B$2:$K$100,15,FALSE))</f>
        <v/>
      </c>
      <c r="AC109" s="22"/>
      <c r="AD109" s="22" t="str">
        <f>IF(AC109="","",VLOOKUP(AC109,Verdivurdering!$B$2:$K$100,15,FALSE))</f>
        <v/>
      </c>
      <c r="AE109" s="22"/>
      <c r="AF109" s="22" t="str">
        <f>IF(AE109="","",VLOOKUP(AE109,Verdivurdering!$B$2:$K$100,15,FALSE))</f>
        <v/>
      </c>
      <c r="AG109" s="22"/>
      <c r="AH109" s="22" t="str">
        <f>IF(AG109="","",VLOOKUP(AG109,Verdivurdering!$B$2:$K$100,15,FALSE))</f>
        <v/>
      </c>
      <c r="AI109" s="22"/>
      <c r="AJ109" s="22" t="str">
        <f>IF(AI109="","",VLOOKUP(AI109,Verdivurdering!$B$2:$K$100,15,FALSE))</f>
        <v/>
      </c>
      <c r="AK109" s="22"/>
      <c r="AL109" s="22" t="str">
        <f>IF(AK109="","",VLOOKUP(AK109,Verdivurdering!$B$2:$K$100,15,FALSE))</f>
        <v/>
      </c>
      <c r="AM109" s="22"/>
      <c r="AN109" s="22" t="str">
        <f>IF(AM109="","",VLOOKUP(AM109,Verdivurdering!$B$2:$K$100,15,FALSE))</f>
        <v/>
      </c>
      <c r="AO109" s="22"/>
      <c r="AP109" s="22" t="str">
        <f>IF(AO109="","",VLOOKUP(AO109,Verdivurdering!$B$2:$K$100,15,FALSE))</f>
        <v/>
      </c>
      <c r="AQ109" s="22"/>
      <c r="AR109" s="22" t="str">
        <f>IF(AQ109="","",VLOOKUP(AQ109,Verdivurdering!$B$2:$K$100,15,FALSE))</f>
        <v/>
      </c>
      <c r="AS109" s="22"/>
      <c r="AT109" s="22" t="str">
        <f>IF(AS109="","",VLOOKUP(AS109,Verdivurdering!$B$2:$K$100,15,FALSE))</f>
        <v/>
      </c>
      <c r="AU109" s="22"/>
      <c r="AV109" s="22" t="str">
        <f>IF(AU109="","",VLOOKUP(AU109,Verdivurdering!$B$2:$K$100,15,FALSE))</f>
        <v/>
      </c>
      <c r="AW109" s="22"/>
      <c r="AX109" s="21" t="str">
        <f>IF(AW109="","",VLOOKUP(AW109,Verdivurdering!$B$2:$K$100,15,FALSE))</f>
        <v/>
      </c>
      <c r="AY109" s="19" t="e">
        <f t="shared" si="2"/>
        <v>#N/A</v>
      </c>
      <c r="AZ109" s="19" t="str">
        <f>IF(ISNUMBER(AY109),VLOOKUP(AY109,'Datasource 2'!$H$14:$I$18,2,FALSE),"")</f>
        <v/>
      </c>
      <c r="BA109" s="39"/>
      <c r="BB109" s="27" t="e">
        <f>_xlfn.IFNA(VLOOKUP(BA109,'Datasource 2'!I$14:$J$18,2,FALSE),AY109)</f>
        <v>#N/A</v>
      </c>
    </row>
    <row r="110" spans="1:54" x14ac:dyDescent="0.25">
      <c r="A110" s="37">
        <v>109</v>
      </c>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39"/>
      <c r="Z110" s="22" t="e">
        <f>VLOOKUP(Y110,'Datasource 2'!$I$14:$J$18,2,FALSE)</f>
        <v>#N/A</v>
      </c>
      <c r="AA110" s="22"/>
      <c r="AB110" s="22" t="str">
        <f>IF(AA110="","",VLOOKUP(AA110,Verdivurdering!$B$2:$K$100,15,FALSE))</f>
        <v/>
      </c>
      <c r="AC110" s="22"/>
      <c r="AD110" s="22" t="str">
        <f>IF(AC110="","",VLOOKUP(AC110,Verdivurdering!$B$2:$K$100,15,FALSE))</f>
        <v/>
      </c>
      <c r="AE110" s="22"/>
      <c r="AF110" s="22" t="str">
        <f>IF(AE110="","",VLOOKUP(AE110,Verdivurdering!$B$2:$K$100,15,FALSE))</f>
        <v/>
      </c>
      <c r="AG110" s="22"/>
      <c r="AH110" s="22" t="str">
        <f>IF(AG110="","",VLOOKUP(AG110,Verdivurdering!$B$2:$K$100,15,FALSE))</f>
        <v/>
      </c>
      <c r="AI110" s="22"/>
      <c r="AJ110" s="22" t="str">
        <f>IF(AI110="","",VLOOKUP(AI110,Verdivurdering!$B$2:$K$100,15,FALSE))</f>
        <v/>
      </c>
      <c r="AK110" s="22"/>
      <c r="AL110" s="22" t="str">
        <f>IF(AK110="","",VLOOKUP(AK110,Verdivurdering!$B$2:$K$100,15,FALSE))</f>
        <v/>
      </c>
      <c r="AM110" s="22"/>
      <c r="AN110" s="22" t="str">
        <f>IF(AM110="","",VLOOKUP(AM110,Verdivurdering!$B$2:$K$100,15,FALSE))</f>
        <v/>
      </c>
      <c r="AO110" s="22"/>
      <c r="AP110" s="22" t="str">
        <f>IF(AO110="","",VLOOKUP(AO110,Verdivurdering!$B$2:$K$100,15,FALSE))</f>
        <v/>
      </c>
      <c r="AQ110" s="22"/>
      <c r="AR110" s="22" t="str">
        <f>IF(AQ110="","",VLOOKUP(AQ110,Verdivurdering!$B$2:$K$100,15,FALSE))</f>
        <v/>
      </c>
      <c r="AS110" s="22"/>
      <c r="AT110" s="22" t="str">
        <f>IF(AS110="","",VLOOKUP(AS110,Verdivurdering!$B$2:$K$100,15,FALSE))</f>
        <v/>
      </c>
      <c r="AU110" s="22"/>
      <c r="AV110" s="22" t="str">
        <f>IF(AU110="","",VLOOKUP(AU110,Verdivurdering!$B$2:$K$100,15,FALSE))</f>
        <v/>
      </c>
      <c r="AW110" s="22"/>
      <c r="AX110" s="21" t="str">
        <f>IF(AW110="","",VLOOKUP(AW110,Verdivurdering!$B$2:$K$100,15,FALSE))</f>
        <v/>
      </c>
      <c r="AY110" s="19" t="e">
        <f t="shared" si="2"/>
        <v>#N/A</v>
      </c>
      <c r="AZ110" s="19" t="str">
        <f>IF(ISNUMBER(AY110),VLOOKUP(AY110,'Datasource 2'!$H$14:$I$18,2,FALSE),"")</f>
        <v/>
      </c>
      <c r="BA110" s="39"/>
      <c r="BB110" s="27" t="e">
        <f>_xlfn.IFNA(VLOOKUP(BA110,'Datasource 2'!I$14:$J$18,2,FALSE),AY110)</f>
        <v>#N/A</v>
      </c>
    </row>
    <row r="111" spans="1:54" x14ac:dyDescent="0.25">
      <c r="A111" s="37">
        <v>110</v>
      </c>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39"/>
      <c r="Z111" s="22" t="e">
        <f>VLOOKUP(Y111,'Datasource 2'!$I$14:$J$18,2,FALSE)</f>
        <v>#N/A</v>
      </c>
      <c r="AA111" s="22"/>
      <c r="AB111" s="22" t="str">
        <f>IF(AA111="","",VLOOKUP(AA111,Verdivurdering!$B$2:$K$100,15,FALSE))</f>
        <v/>
      </c>
      <c r="AC111" s="22"/>
      <c r="AD111" s="22" t="str">
        <f>IF(AC111="","",VLOOKUP(AC111,Verdivurdering!$B$2:$K$100,15,FALSE))</f>
        <v/>
      </c>
      <c r="AE111" s="22"/>
      <c r="AF111" s="22" t="str">
        <f>IF(AE111="","",VLOOKUP(AE111,Verdivurdering!$B$2:$K$100,15,FALSE))</f>
        <v/>
      </c>
      <c r="AG111" s="22"/>
      <c r="AH111" s="22" t="str">
        <f>IF(AG111="","",VLOOKUP(AG111,Verdivurdering!$B$2:$K$100,15,FALSE))</f>
        <v/>
      </c>
      <c r="AI111" s="22"/>
      <c r="AJ111" s="22" t="str">
        <f>IF(AI111="","",VLOOKUP(AI111,Verdivurdering!$B$2:$K$100,15,FALSE))</f>
        <v/>
      </c>
      <c r="AK111" s="22"/>
      <c r="AL111" s="22" t="str">
        <f>IF(AK111="","",VLOOKUP(AK111,Verdivurdering!$B$2:$K$100,15,FALSE))</f>
        <v/>
      </c>
      <c r="AM111" s="22"/>
      <c r="AN111" s="22" t="str">
        <f>IF(AM111="","",VLOOKUP(AM111,Verdivurdering!$B$2:$K$100,15,FALSE))</f>
        <v/>
      </c>
      <c r="AO111" s="22"/>
      <c r="AP111" s="22" t="str">
        <f>IF(AO111="","",VLOOKUP(AO111,Verdivurdering!$B$2:$K$100,15,FALSE))</f>
        <v/>
      </c>
      <c r="AQ111" s="22"/>
      <c r="AR111" s="22" t="str">
        <f>IF(AQ111="","",VLOOKUP(AQ111,Verdivurdering!$B$2:$K$100,15,FALSE))</f>
        <v/>
      </c>
      <c r="AS111" s="22"/>
      <c r="AT111" s="22" t="str">
        <f>IF(AS111="","",VLOOKUP(AS111,Verdivurdering!$B$2:$K$100,15,FALSE))</f>
        <v/>
      </c>
      <c r="AU111" s="22"/>
      <c r="AV111" s="22" t="str">
        <f>IF(AU111="","",VLOOKUP(AU111,Verdivurdering!$B$2:$K$100,15,FALSE))</f>
        <v/>
      </c>
      <c r="AW111" s="22"/>
      <c r="AX111" s="21" t="str">
        <f>IF(AW111="","",VLOOKUP(AW111,Verdivurdering!$B$2:$K$100,15,FALSE))</f>
        <v/>
      </c>
      <c r="AY111" s="19" t="e">
        <f t="shared" si="2"/>
        <v>#N/A</v>
      </c>
      <c r="AZ111" s="19" t="str">
        <f>IF(ISNUMBER(AY111),VLOOKUP(AY111,'Datasource 2'!$H$14:$I$18,2,FALSE),"")</f>
        <v/>
      </c>
      <c r="BA111" s="39"/>
      <c r="BB111" s="27" t="e">
        <f>_xlfn.IFNA(VLOOKUP(BA111,'Datasource 2'!I$14:$J$18,2,FALSE),AY111)</f>
        <v>#N/A</v>
      </c>
    </row>
    <row r="112" spans="1:54" x14ac:dyDescent="0.25">
      <c r="A112" s="37">
        <v>111</v>
      </c>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39"/>
      <c r="Z112" s="22" t="e">
        <f>VLOOKUP(Y112,'Datasource 2'!$I$14:$J$18,2,FALSE)</f>
        <v>#N/A</v>
      </c>
      <c r="AA112" s="22"/>
      <c r="AB112" s="22" t="str">
        <f>IF(AA112="","",VLOOKUP(AA112,Verdivurdering!$B$2:$K$100,15,FALSE))</f>
        <v/>
      </c>
      <c r="AC112" s="22"/>
      <c r="AD112" s="22" t="str">
        <f>IF(AC112="","",VLOOKUP(AC112,Verdivurdering!$B$2:$K$100,15,FALSE))</f>
        <v/>
      </c>
      <c r="AE112" s="22"/>
      <c r="AF112" s="22" t="str">
        <f>IF(AE112="","",VLOOKUP(AE112,Verdivurdering!$B$2:$K$100,15,FALSE))</f>
        <v/>
      </c>
      <c r="AG112" s="22"/>
      <c r="AH112" s="22" t="str">
        <f>IF(AG112="","",VLOOKUP(AG112,Verdivurdering!$B$2:$K$100,15,FALSE))</f>
        <v/>
      </c>
      <c r="AI112" s="22"/>
      <c r="AJ112" s="22" t="str">
        <f>IF(AI112="","",VLOOKUP(AI112,Verdivurdering!$B$2:$K$100,15,FALSE))</f>
        <v/>
      </c>
      <c r="AK112" s="22"/>
      <c r="AL112" s="22" t="str">
        <f>IF(AK112="","",VLOOKUP(AK112,Verdivurdering!$B$2:$K$100,15,FALSE))</f>
        <v/>
      </c>
      <c r="AM112" s="22"/>
      <c r="AN112" s="22" t="str">
        <f>IF(AM112="","",VLOOKUP(AM112,Verdivurdering!$B$2:$K$100,15,FALSE))</f>
        <v/>
      </c>
      <c r="AO112" s="22"/>
      <c r="AP112" s="22" t="str">
        <f>IF(AO112="","",VLOOKUP(AO112,Verdivurdering!$B$2:$K$100,15,FALSE))</f>
        <v/>
      </c>
      <c r="AQ112" s="22"/>
      <c r="AR112" s="22" t="str">
        <f>IF(AQ112="","",VLOOKUP(AQ112,Verdivurdering!$B$2:$K$100,15,FALSE))</f>
        <v/>
      </c>
      <c r="AS112" s="22"/>
      <c r="AT112" s="22" t="str">
        <f>IF(AS112="","",VLOOKUP(AS112,Verdivurdering!$B$2:$K$100,15,FALSE))</f>
        <v/>
      </c>
      <c r="AU112" s="22"/>
      <c r="AV112" s="22" t="str">
        <f>IF(AU112="","",VLOOKUP(AU112,Verdivurdering!$B$2:$K$100,15,FALSE))</f>
        <v/>
      </c>
      <c r="AW112" s="22"/>
      <c r="AX112" s="21" t="str">
        <f>IF(AW112="","",VLOOKUP(AW112,Verdivurdering!$B$2:$K$100,15,FALSE))</f>
        <v/>
      </c>
      <c r="AY112" s="19" t="e">
        <f t="shared" si="2"/>
        <v>#N/A</v>
      </c>
      <c r="AZ112" s="19" t="str">
        <f>IF(ISNUMBER(AY112),VLOOKUP(AY112,'Datasource 2'!$H$14:$I$18,2,FALSE),"")</f>
        <v/>
      </c>
      <c r="BA112" s="39"/>
      <c r="BB112" s="27" t="e">
        <f>_xlfn.IFNA(VLOOKUP(BA112,'Datasource 2'!I$14:$J$18,2,FALSE),AY112)</f>
        <v>#N/A</v>
      </c>
    </row>
    <row r="113" spans="1:54" x14ac:dyDescent="0.25">
      <c r="A113" s="37">
        <v>112</v>
      </c>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39"/>
      <c r="Z113" s="22" t="e">
        <f>VLOOKUP(Y113,'Datasource 2'!$I$14:$J$18,2,FALSE)</f>
        <v>#N/A</v>
      </c>
      <c r="AA113" s="22"/>
      <c r="AB113" s="22" t="str">
        <f>IF(AA113="","",VLOOKUP(AA113,Verdivurdering!$B$2:$K$100,15,FALSE))</f>
        <v/>
      </c>
      <c r="AC113" s="22"/>
      <c r="AD113" s="22" t="str">
        <f>IF(AC113="","",VLOOKUP(AC113,Verdivurdering!$B$2:$K$100,15,FALSE))</f>
        <v/>
      </c>
      <c r="AE113" s="22"/>
      <c r="AF113" s="22" t="str">
        <f>IF(AE113="","",VLOOKUP(AE113,Verdivurdering!$B$2:$K$100,15,FALSE))</f>
        <v/>
      </c>
      <c r="AG113" s="22"/>
      <c r="AH113" s="22" t="str">
        <f>IF(AG113="","",VLOOKUP(AG113,Verdivurdering!$B$2:$K$100,15,FALSE))</f>
        <v/>
      </c>
      <c r="AI113" s="22"/>
      <c r="AJ113" s="22" t="str">
        <f>IF(AI113="","",VLOOKUP(AI113,Verdivurdering!$B$2:$K$100,15,FALSE))</f>
        <v/>
      </c>
      <c r="AK113" s="22"/>
      <c r="AL113" s="22" t="str">
        <f>IF(AK113="","",VLOOKUP(AK113,Verdivurdering!$B$2:$K$100,15,FALSE))</f>
        <v/>
      </c>
      <c r="AM113" s="22"/>
      <c r="AN113" s="22" t="str">
        <f>IF(AM113="","",VLOOKUP(AM113,Verdivurdering!$B$2:$K$100,15,FALSE))</f>
        <v/>
      </c>
      <c r="AO113" s="22"/>
      <c r="AP113" s="22" t="str">
        <f>IF(AO113="","",VLOOKUP(AO113,Verdivurdering!$B$2:$K$100,15,FALSE))</f>
        <v/>
      </c>
      <c r="AQ113" s="22"/>
      <c r="AR113" s="22" t="str">
        <f>IF(AQ113="","",VLOOKUP(AQ113,Verdivurdering!$B$2:$K$100,15,FALSE))</f>
        <v/>
      </c>
      <c r="AS113" s="22"/>
      <c r="AT113" s="22" t="str">
        <f>IF(AS113="","",VLOOKUP(AS113,Verdivurdering!$B$2:$K$100,15,FALSE))</f>
        <v/>
      </c>
      <c r="AU113" s="22"/>
      <c r="AV113" s="22" t="str">
        <f>IF(AU113="","",VLOOKUP(AU113,Verdivurdering!$B$2:$K$100,15,FALSE))</f>
        <v/>
      </c>
      <c r="AW113" s="22"/>
      <c r="AX113" s="21" t="str">
        <f>IF(AW113="","",VLOOKUP(AW113,Verdivurdering!$B$2:$K$100,15,FALSE))</f>
        <v/>
      </c>
      <c r="AY113" s="19" t="e">
        <f t="shared" si="2"/>
        <v>#N/A</v>
      </c>
      <c r="AZ113" s="19" t="str">
        <f>IF(ISNUMBER(AY113),VLOOKUP(AY113,'Datasource 2'!$H$14:$I$18,2,FALSE),"")</f>
        <v/>
      </c>
      <c r="BA113" s="39"/>
      <c r="BB113" s="27" t="e">
        <f>_xlfn.IFNA(VLOOKUP(BA113,'Datasource 2'!I$14:$J$18,2,FALSE),AY113)</f>
        <v>#N/A</v>
      </c>
    </row>
    <row r="114" spans="1:54" x14ac:dyDescent="0.25">
      <c r="A114" s="37">
        <v>113</v>
      </c>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39"/>
      <c r="Z114" s="22" t="e">
        <f>VLOOKUP(Y114,'Datasource 2'!$I$14:$J$18,2,FALSE)</f>
        <v>#N/A</v>
      </c>
      <c r="AA114" s="22"/>
      <c r="AB114" s="22" t="str">
        <f>IF(AA114="","",VLOOKUP(AA114,Verdivurdering!$B$2:$K$100,15,FALSE))</f>
        <v/>
      </c>
      <c r="AC114" s="22"/>
      <c r="AD114" s="22" t="str">
        <f>IF(AC114="","",VLOOKUP(AC114,Verdivurdering!$B$2:$K$100,15,FALSE))</f>
        <v/>
      </c>
      <c r="AE114" s="22"/>
      <c r="AF114" s="22" t="str">
        <f>IF(AE114="","",VLOOKUP(AE114,Verdivurdering!$B$2:$K$100,15,FALSE))</f>
        <v/>
      </c>
      <c r="AG114" s="22"/>
      <c r="AH114" s="22" t="str">
        <f>IF(AG114="","",VLOOKUP(AG114,Verdivurdering!$B$2:$K$100,15,FALSE))</f>
        <v/>
      </c>
      <c r="AI114" s="22"/>
      <c r="AJ114" s="22" t="str">
        <f>IF(AI114="","",VLOOKUP(AI114,Verdivurdering!$B$2:$K$100,15,FALSE))</f>
        <v/>
      </c>
      <c r="AK114" s="22"/>
      <c r="AL114" s="22" t="str">
        <f>IF(AK114="","",VLOOKUP(AK114,Verdivurdering!$B$2:$K$100,15,FALSE))</f>
        <v/>
      </c>
      <c r="AM114" s="22"/>
      <c r="AN114" s="22" t="str">
        <f>IF(AM114="","",VLOOKUP(AM114,Verdivurdering!$B$2:$K$100,15,FALSE))</f>
        <v/>
      </c>
      <c r="AO114" s="22"/>
      <c r="AP114" s="22" t="str">
        <f>IF(AO114="","",VLOOKUP(AO114,Verdivurdering!$B$2:$K$100,15,FALSE))</f>
        <v/>
      </c>
      <c r="AQ114" s="22"/>
      <c r="AR114" s="22" t="str">
        <f>IF(AQ114="","",VLOOKUP(AQ114,Verdivurdering!$B$2:$K$100,15,FALSE))</f>
        <v/>
      </c>
      <c r="AS114" s="22"/>
      <c r="AT114" s="22" t="str">
        <f>IF(AS114="","",VLOOKUP(AS114,Verdivurdering!$B$2:$K$100,15,FALSE))</f>
        <v/>
      </c>
      <c r="AU114" s="22"/>
      <c r="AV114" s="22" t="str">
        <f>IF(AU114="","",VLOOKUP(AU114,Verdivurdering!$B$2:$K$100,15,FALSE))</f>
        <v/>
      </c>
      <c r="AW114" s="22"/>
      <c r="AX114" s="21" t="str">
        <f>IF(AW114="","",VLOOKUP(AW114,Verdivurdering!$B$2:$K$100,15,FALSE))</f>
        <v/>
      </c>
      <c r="AY114" s="19" t="e">
        <f t="shared" si="2"/>
        <v>#N/A</v>
      </c>
      <c r="AZ114" s="19" t="str">
        <f>IF(ISNUMBER(AY114),VLOOKUP(AY114,'Datasource 2'!$H$14:$I$18,2,FALSE),"")</f>
        <v/>
      </c>
      <c r="BA114" s="39"/>
      <c r="BB114" s="27" t="e">
        <f>_xlfn.IFNA(VLOOKUP(BA114,'Datasource 2'!I$14:$J$18,2,FALSE),AY114)</f>
        <v>#N/A</v>
      </c>
    </row>
    <row r="115" spans="1:54" x14ac:dyDescent="0.25">
      <c r="A115" s="37">
        <v>114</v>
      </c>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39"/>
      <c r="Z115" s="22" t="e">
        <f>VLOOKUP(Y115,'Datasource 2'!$I$14:$J$18,2,FALSE)</f>
        <v>#N/A</v>
      </c>
      <c r="AA115" s="22"/>
      <c r="AB115" s="22" t="str">
        <f>IF(AA115="","",VLOOKUP(AA115,Verdivurdering!$B$2:$K$100,15,FALSE))</f>
        <v/>
      </c>
      <c r="AC115" s="22"/>
      <c r="AD115" s="22" t="str">
        <f>IF(AC115="","",VLOOKUP(AC115,Verdivurdering!$B$2:$K$100,15,FALSE))</f>
        <v/>
      </c>
      <c r="AE115" s="22"/>
      <c r="AF115" s="22" t="str">
        <f>IF(AE115="","",VLOOKUP(AE115,Verdivurdering!$B$2:$K$100,15,FALSE))</f>
        <v/>
      </c>
      <c r="AG115" s="22"/>
      <c r="AH115" s="22" t="str">
        <f>IF(AG115="","",VLOOKUP(AG115,Verdivurdering!$B$2:$K$100,15,FALSE))</f>
        <v/>
      </c>
      <c r="AI115" s="22"/>
      <c r="AJ115" s="22" t="str">
        <f>IF(AI115="","",VLOOKUP(AI115,Verdivurdering!$B$2:$K$100,15,FALSE))</f>
        <v/>
      </c>
      <c r="AK115" s="22"/>
      <c r="AL115" s="22" t="str">
        <f>IF(AK115="","",VLOOKUP(AK115,Verdivurdering!$B$2:$K$100,15,FALSE))</f>
        <v/>
      </c>
      <c r="AM115" s="22"/>
      <c r="AN115" s="22" t="str">
        <f>IF(AM115="","",VLOOKUP(AM115,Verdivurdering!$B$2:$K$100,15,FALSE))</f>
        <v/>
      </c>
      <c r="AO115" s="22"/>
      <c r="AP115" s="22" t="str">
        <f>IF(AO115="","",VLOOKUP(AO115,Verdivurdering!$B$2:$K$100,15,FALSE))</f>
        <v/>
      </c>
      <c r="AQ115" s="22"/>
      <c r="AR115" s="22" t="str">
        <f>IF(AQ115="","",VLOOKUP(AQ115,Verdivurdering!$B$2:$K$100,15,FALSE))</f>
        <v/>
      </c>
      <c r="AS115" s="22"/>
      <c r="AT115" s="22" t="str">
        <f>IF(AS115="","",VLOOKUP(AS115,Verdivurdering!$B$2:$K$100,15,FALSE))</f>
        <v/>
      </c>
      <c r="AU115" s="22"/>
      <c r="AV115" s="22" t="str">
        <f>IF(AU115="","",VLOOKUP(AU115,Verdivurdering!$B$2:$K$100,15,FALSE))</f>
        <v/>
      </c>
      <c r="AW115" s="22"/>
      <c r="AX115" s="21" t="str">
        <f>IF(AW115="","",VLOOKUP(AW115,Verdivurdering!$B$2:$K$100,15,FALSE))</f>
        <v/>
      </c>
      <c r="AY115" s="19" t="e">
        <f t="shared" si="2"/>
        <v>#N/A</v>
      </c>
      <c r="AZ115" s="19" t="str">
        <f>IF(ISNUMBER(AY115),VLOOKUP(AY115,'Datasource 2'!$H$14:$I$18,2,FALSE),"")</f>
        <v/>
      </c>
      <c r="BA115" s="39"/>
      <c r="BB115" s="27" t="e">
        <f>_xlfn.IFNA(VLOOKUP(BA115,'Datasource 2'!I$14:$J$18,2,FALSE),AY115)</f>
        <v>#N/A</v>
      </c>
    </row>
    <row r="116" spans="1:54" x14ac:dyDescent="0.25">
      <c r="A116" s="37">
        <v>115</v>
      </c>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39"/>
      <c r="Z116" s="22" t="e">
        <f>VLOOKUP(Y116,'Datasource 2'!$I$14:$J$18,2,FALSE)</f>
        <v>#N/A</v>
      </c>
      <c r="AA116" s="22"/>
      <c r="AB116" s="22" t="str">
        <f>IF(AA116="","",VLOOKUP(AA116,Verdivurdering!$B$2:$K$100,15,FALSE))</f>
        <v/>
      </c>
      <c r="AC116" s="22"/>
      <c r="AD116" s="22" t="str">
        <f>IF(AC116="","",VLOOKUP(AC116,Verdivurdering!$B$2:$K$100,15,FALSE))</f>
        <v/>
      </c>
      <c r="AE116" s="22"/>
      <c r="AF116" s="22" t="str">
        <f>IF(AE116="","",VLOOKUP(AE116,Verdivurdering!$B$2:$K$100,15,FALSE))</f>
        <v/>
      </c>
      <c r="AG116" s="22"/>
      <c r="AH116" s="22" t="str">
        <f>IF(AG116="","",VLOOKUP(AG116,Verdivurdering!$B$2:$K$100,15,FALSE))</f>
        <v/>
      </c>
      <c r="AI116" s="22"/>
      <c r="AJ116" s="22" t="str">
        <f>IF(AI116="","",VLOOKUP(AI116,Verdivurdering!$B$2:$K$100,15,FALSE))</f>
        <v/>
      </c>
      <c r="AK116" s="22"/>
      <c r="AL116" s="22" t="str">
        <f>IF(AK116="","",VLOOKUP(AK116,Verdivurdering!$B$2:$K$100,15,FALSE))</f>
        <v/>
      </c>
      <c r="AM116" s="22"/>
      <c r="AN116" s="22" t="str">
        <f>IF(AM116="","",VLOOKUP(AM116,Verdivurdering!$B$2:$K$100,15,FALSE))</f>
        <v/>
      </c>
      <c r="AO116" s="22"/>
      <c r="AP116" s="22" t="str">
        <f>IF(AO116="","",VLOOKUP(AO116,Verdivurdering!$B$2:$K$100,15,FALSE))</f>
        <v/>
      </c>
      <c r="AQ116" s="22"/>
      <c r="AR116" s="22" t="str">
        <f>IF(AQ116="","",VLOOKUP(AQ116,Verdivurdering!$B$2:$K$100,15,FALSE))</f>
        <v/>
      </c>
      <c r="AS116" s="22"/>
      <c r="AT116" s="22" t="str">
        <f>IF(AS116="","",VLOOKUP(AS116,Verdivurdering!$B$2:$K$100,15,FALSE))</f>
        <v/>
      </c>
      <c r="AU116" s="22"/>
      <c r="AV116" s="22" t="str">
        <f>IF(AU116="","",VLOOKUP(AU116,Verdivurdering!$B$2:$K$100,15,FALSE))</f>
        <v/>
      </c>
      <c r="AW116" s="22"/>
      <c r="AX116" s="21" t="str">
        <f>IF(AW116="","",VLOOKUP(AW116,Verdivurdering!$B$2:$K$100,15,FALSE))</f>
        <v/>
      </c>
      <c r="AY116" s="19" t="e">
        <f t="shared" si="2"/>
        <v>#N/A</v>
      </c>
      <c r="AZ116" s="19" t="str">
        <f>IF(ISNUMBER(AY116),VLOOKUP(AY116,'Datasource 2'!$H$14:$I$18,2,FALSE),"")</f>
        <v/>
      </c>
      <c r="BA116" s="39"/>
      <c r="BB116" s="27" t="e">
        <f>_xlfn.IFNA(VLOOKUP(BA116,'Datasource 2'!I$14:$J$18,2,FALSE),AY116)</f>
        <v>#N/A</v>
      </c>
    </row>
    <row r="117" spans="1:54" x14ac:dyDescent="0.25">
      <c r="A117" s="37">
        <v>116</v>
      </c>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39"/>
      <c r="Z117" s="22" t="e">
        <f>VLOOKUP(Y117,'Datasource 2'!$I$14:$J$18,2,FALSE)</f>
        <v>#N/A</v>
      </c>
      <c r="AA117" s="22"/>
      <c r="AB117" s="22" t="str">
        <f>IF(AA117="","",VLOOKUP(AA117,Verdivurdering!$B$2:$K$100,15,FALSE))</f>
        <v/>
      </c>
      <c r="AC117" s="22"/>
      <c r="AD117" s="22" t="str">
        <f>IF(AC117="","",VLOOKUP(AC117,Verdivurdering!$B$2:$K$100,15,FALSE))</f>
        <v/>
      </c>
      <c r="AE117" s="22"/>
      <c r="AF117" s="22" t="str">
        <f>IF(AE117="","",VLOOKUP(AE117,Verdivurdering!$B$2:$K$100,15,FALSE))</f>
        <v/>
      </c>
      <c r="AG117" s="22"/>
      <c r="AH117" s="22" t="str">
        <f>IF(AG117="","",VLOOKUP(AG117,Verdivurdering!$B$2:$K$100,15,FALSE))</f>
        <v/>
      </c>
      <c r="AI117" s="22"/>
      <c r="AJ117" s="22" t="str">
        <f>IF(AI117="","",VLOOKUP(AI117,Verdivurdering!$B$2:$K$100,15,FALSE))</f>
        <v/>
      </c>
      <c r="AK117" s="22"/>
      <c r="AL117" s="22" t="str">
        <f>IF(AK117="","",VLOOKUP(AK117,Verdivurdering!$B$2:$K$100,15,FALSE))</f>
        <v/>
      </c>
      <c r="AM117" s="22"/>
      <c r="AN117" s="22" t="str">
        <f>IF(AM117="","",VLOOKUP(AM117,Verdivurdering!$B$2:$K$100,15,FALSE))</f>
        <v/>
      </c>
      <c r="AO117" s="22"/>
      <c r="AP117" s="22" t="str">
        <f>IF(AO117="","",VLOOKUP(AO117,Verdivurdering!$B$2:$K$100,15,FALSE))</f>
        <v/>
      </c>
      <c r="AQ117" s="22"/>
      <c r="AR117" s="22" t="str">
        <f>IF(AQ117="","",VLOOKUP(AQ117,Verdivurdering!$B$2:$K$100,15,FALSE))</f>
        <v/>
      </c>
      <c r="AS117" s="22"/>
      <c r="AT117" s="22" t="str">
        <f>IF(AS117="","",VLOOKUP(AS117,Verdivurdering!$B$2:$K$100,15,FALSE))</f>
        <v/>
      </c>
      <c r="AU117" s="22"/>
      <c r="AV117" s="22" t="str">
        <f>IF(AU117="","",VLOOKUP(AU117,Verdivurdering!$B$2:$K$100,15,FALSE))</f>
        <v/>
      </c>
      <c r="AW117" s="22"/>
      <c r="AX117" s="21" t="str">
        <f>IF(AW117="","",VLOOKUP(AW117,Verdivurdering!$B$2:$K$100,15,FALSE))</f>
        <v/>
      </c>
      <c r="AY117" s="19" t="e">
        <f t="shared" si="2"/>
        <v>#N/A</v>
      </c>
      <c r="AZ117" s="19" t="str">
        <f>IF(ISNUMBER(AY117),VLOOKUP(AY117,'Datasource 2'!$H$14:$I$18,2,FALSE),"")</f>
        <v/>
      </c>
      <c r="BA117" s="39"/>
      <c r="BB117" s="27" t="e">
        <f>_xlfn.IFNA(VLOOKUP(BA117,'Datasource 2'!I$14:$J$18,2,FALSE),AY117)</f>
        <v>#N/A</v>
      </c>
    </row>
    <row r="118" spans="1:54" x14ac:dyDescent="0.25">
      <c r="A118" s="37">
        <v>117</v>
      </c>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39"/>
      <c r="Z118" s="22" t="e">
        <f>VLOOKUP(Y118,'Datasource 2'!$I$14:$J$18,2,FALSE)</f>
        <v>#N/A</v>
      </c>
      <c r="AA118" s="22"/>
      <c r="AB118" s="22" t="str">
        <f>IF(AA118="","",VLOOKUP(AA118,Verdivurdering!$B$2:$K$100,15,FALSE))</f>
        <v/>
      </c>
      <c r="AC118" s="22"/>
      <c r="AD118" s="22" t="str">
        <f>IF(AC118="","",VLOOKUP(AC118,Verdivurdering!$B$2:$K$100,15,FALSE))</f>
        <v/>
      </c>
      <c r="AE118" s="22"/>
      <c r="AF118" s="22" t="str">
        <f>IF(AE118="","",VLOOKUP(AE118,Verdivurdering!$B$2:$K$100,15,FALSE))</f>
        <v/>
      </c>
      <c r="AG118" s="22"/>
      <c r="AH118" s="22" t="str">
        <f>IF(AG118="","",VLOOKUP(AG118,Verdivurdering!$B$2:$K$100,15,FALSE))</f>
        <v/>
      </c>
      <c r="AI118" s="22"/>
      <c r="AJ118" s="22" t="str">
        <f>IF(AI118="","",VLOOKUP(AI118,Verdivurdering!$B$2:$K$100,15,FALSE))</f>
        <v/>
      </c>
      <c r="AK118" s="22"/>
      <c r="AL118" s="22" t="str">
        <f>IF(AK118="","",VLOOKUP(AK118,Verdivurdering!$B$2:$K$100,15,FALSE))</f>
        <v/>
      </c>
      <c r="AM118" s="22"/>
      <c r="AN118" s="22" t="str">
        <f>IF(AM118="","",VLOOKUP(AM118,Verdivurdering!$B$2:$K$100,15,FALSE))</f>
        <v/>
      </c>
      <c r="AO118" s="22"/>
      <c r="AP118" s="22" t="str">
        <f>IF(AO118="","",VLOOKUP(AO118,Verdivurdering!$B$2:$K$100,15,FALSE))</f>
        <v/>
      </c>
      <c r="AQ118" s="22"/>
      <c r="AR118" s="22" t="str">
        <f>IF(AQ118="","",VLOOKUP(AQ118,Verdivurdering!$B$2:$K$100,15,FALSE))</f>
        <v/>
      </c>
      <c r="AS118" s="22"/>
      <c r="AT118" s="22" t="str">
        <f>IF(AS118="","",VLOOKUP(AS118,Verdivurdering!$B$2:$K$100,15,FALSE))</f>
        <v/>
      </c>
      <c r="AU118" s="22"/>
      <c r="AV118" s="22" t="str">
        <f>IF(AU118="","",VLOOKUP(AU118,Verdivurdering!$B$2:$K$100,15,FALSE))</f>
        <v/>
      </c>
      <c r="AW118" s="22"/>
      <c r="AX118" s="21" t="str">
        <f>IF(AW118="","",VLOOKUP(AW118,Verdivurdering!$B$2:$K$100,15,FALSE))</f>
        <v/>
      </c>
      <c r="AY118" s="19" t="e">
        <f t="shared" si="2"/>
        <v>#N/A</v>
      </c>
      <c r="AZ118" s="19" t="str">
        <f>IF(ISNUMBER(AY118),VLOOKUP(AY118,'Datasource 2'!$H$14:$I$18,2,FALSE),"")</f>
        <v/>
      </c>
      <c r="BA118" s="39"/>
      <c r="BB118" s="27" t="e">
        <f>_xlfn.IFNA(VLOOKUP(BA118,'Datasource 2'!I$14:$J$18,2,FALSE),AY118)</f>
        <v>#N/A</v>
      </c>
    </row>
    <row r="119" spans="1:54" x14ac:dyDescent="0.25">
      <c r="A119" s="37">
        <v>118</v>
      </c>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39"/>
      <c r="Z119" s="22" t="e">
        <f>VLOOKUP(Y119,'Datasource 2'!$I$14:$J$18,2,FALSE)</f>
        <v>#N/A</v>
      </c>
      <c r="AA119" s="22"/>
      <c r="AB119" s="22" t="str">
        <f>IF(AA119="","",VLOOKUP(AA119,Verdivurdering!$B$2:$K$100,15,FALSE))</f>
        <v/>
      </c>
      <c r="AC119" s="22"/>
      <c r="AD119" s="22" t="str">
        <f>IF(AC119="","",VLOOKUP(AC119,Verdivurdering!$B$2:$K$100,15,FALSE))</f>
        <v/>
      </c>
      <c r="AE119" s="22"/>
      <c r="AF119" s="22" t="str">
        <f>IF(AE119="","",VLOOKUP(AE119,Verdivurdering!$B$2:$K$100,15,FALSE))</f>
        <v/>
      </c>
      <c r="AG119" s="22"/>
      <c r="AH119" s="22" t="str">
        <f>IF(AG119="","",VLOOKUP(AG119,Verdivurdering!$B$2:$K$100,15,FALSE))</f>
        <v/>
      </c>
      <c r="AI119" s="22"/>
      <c r="AJ119" s="22" t="str">
        <f>IF(AI119="","",VLOOKUP(AI119,Verdivurdering!$B$2:$K$100,15,FALSE))</f>
        <v/>
      </c>
      <c r="AK119" s="22"/>
      <c r="AL119" s="22" t="str">
        <f>IF(AK119="","",VLOOKUP(AK119,Verdivurdering!$B$2:$K$100,15,FALSE))</f>
        <v/>
      </c>
      <c r="AM119" s="22"/>
      <c r="AN119" s="22" t="str">
        <f>IF(AM119="","",VLOOKUP(AM119,Verdivurdering!$B$2:$K$100,15,FALSE))</f>
        <v/>
      </c>
      <c r="AO119" s="22"/>
      <c r="AP119" s="22" t="str">
        <f>IF(AO119="","",VLOOKUP(AO119,Verdivurdering!$B$2:$K$100,15,FALSE))</f>
        <v/>
      </c>
      <c r="AQ119" s="22"/>
      <c r="AR119" s="22" t="str">
        <f>IF(AQ119="","",VLOOKUP(AQ119,Verdivurdering!$B$2:$K$100,15,FALSE))</f>
        <v/>
      </c>
      <c r="AS119" s="22"/>
      <c r="AT119" s="22" t="str">
        <f>IF(AS119="","",VLOOKUP(AS119,Verdivurdering!$B$2:$K$100,15,FALSE))</f>
        <v/>
      </c>
      <c r="AU119" s="22"/>
      <c r="AV119" s="22" t="str">
        <f>IF(AU119="","",VLOOKUP(AU119,Verdivurdering!$B$2:$K$100,15,FALSE))</f>
        <v/>
      </c>
      <c r="AW119" s="22"/>
      <c r="AX119" s="21" t="str">
        <f>IF(AW119="","",VLOOKUP(AW119,Verdivurdering!$B$2:$K$100,15,FALSE))</f>
        <v/>
      </c>
      <c r="AY119" s="19" t="e">
        <f t="shared" si="2"/>
        <v>#N/A</v>
      </c>
      <c r="AZ119" s="19" t="str">
        <f>IF(ISNUMBER(AY119),VLOOKUP(AY119,'Datasource 2'!$H$14:$I$18,2,FALSE),"")</f>
        <v/>
      </c>
      <c r="BA119" s="39"/>
      <c r="BB119" s="27" t="e">
        <f>_xlfn.IFNA(VLOOKUP(BA119,'Datasource 2'!I$14:$J$18,2,FALSE),AY119)</f>
        <v>#N/A</v>
      </c>
    </row>
    <row r="120" spans="1:54" x14ac:dyDescent="0.25">
      <c r="A120" s="37">
        <v>119</v>
      </c>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39"/>
      <c r="Z120" s="22" t="e">
        <f>VLOOKUP(Y120,'Datasource 2'!$I$14:$J$18,2,FALSE)</f>
        <v>#N/A</v>
      </c>
      <c r="AA120" s="22"/>
      <c r="AB120" s="22" t="str">
        <f>IF(AA120="","",VLOOKUP(AA120,Verdivurdering!$B$2:$K$100,15,FALSE))</f>
        <v/>
      </c>
      <c r="AC120" s="22"/>
      <c r="AD120" s="22" t="str">
        <f>IF(AC120="","",VLOOKUP(AC120,Verdivurdering!$B$2:$K$100,15,FALSE))</f>
        <v/>
      </c>
      <c r="AE120" s="22"/>
      <c r="AF120" s="22" t="str">
        <f>IF(AE120="","",VLOOKUP(AE120,Verdivurdering!$B$2:$K$100,15,FALSE))</f>
        <v/>
      </c>
      <c r="AG120" s="22"/>
      <c r="AH120" s="22" t="str">
        <f>IF(AG120="","",VLOOKUP(AG120,Verdivurdering!$B$2:$K$100,15,FALSE))</f>
        <v/>
      </c>
      <c r="AI120" s="22"/>
      <c r="AJ120" s="22" t="str">
        <f>IF(AI120="","",VLOOKUP(AI120,Verdivurdering!$B$2:$K$100,15,FALSE))</f>
        <v/>
      </c>
      <c r="AK120" s="22"/>
      <c r="AL120" s="22" t="str">
        <f>IF(AK120="","",VLOOKUP(AK120,Verdivurdering!$B$2:$K$100,15,FALSE))</f>
        <v/>
      </c>
      <c r="AM120" s="22"/>
      <c r="AN120" s="22" t="str">
        <f>IF(AM120="","",VLOOKUP(AM120,Verdivurdering!$B$2:$K$100,15,FALSE))</f>
        <v/>
      </c>
      <c r="AO120" s="22"/>
      <c r="AP120" s="22" t="str">
        <f>IF(AO120="","",VLOOKUP(AO120,Verdivurdering!$B$2:$K$100,15,FALSE))</f>
        <v/>
      </c>
      <c r="AQ120" s="22"/>
      <c r="AR120" s="22" t="str">
        <f>IF(AQ120="","",VLOOKUP(AQ120,Verdivurdering!$B$2:$K$100,15,FALSE))</f>
        <v/>
      </c>
      <c r="AS120" s="22"/>
      <c r="AT120" s="22" t="str">
        <f>IF(AS120="","",VLOOKUP(AS120,Verdivurdering!$B$2:$K$100,15,FALSE))</f>
        <v/>
      </c>
      <c r="AU120" s="22"/>
      <c r="AV120" s="22" t="str">
        <f>IF(AU120="","",VLOOKUP(AU120,Verdivurdering!$B$2:$K$100,15,FALSE))</f>
        <v/>
      </c>
      <c r="AW120" s="22"/>
      <c r="AX120" s="21" t="str">
        <f>IF(AW120="","",VLOOKUP(AW120,Verdivurdering!$B$2:$K$100,15,FALSE))</f>
        <v/>
      </c>
      <c r="AY120" s="19" t="e">
        <f t="shared" si="2"/>
        <v>#N/A</v>
      </c>
      <c r="AZ120" s="19" t="str">
        <f>IF(ISNUMBER(AY120),VLOOKUP(AY120,'Datasource 2'!$H$14:$I$18,2,FALSE),"")</f>
        <v/>
      </c>
      <c r="BA120" s="39"/>
      <c r="BB120" s="27" t="e">
        <f>_xlfn.IFNA(VLOOKUP(BA120,'Datasource 2'!I$14:$J$18,2,FALSE),AY120)</f>
        <v>#N/A</v>
      </c>
    </row>
    <row r="121" spans="1:54" x14ac:dyDescent="0.25">
      <c r="A121" s="37">
        <v>120</v>
      </c>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39"/>
      <c r="Z121" s="22" t="e">
        <f>VLOOKUP(Y121,'Datasource 2'!$I$14:$J$18,2,FALSE)</f>
        <v>#N/A</v>
      </c>
      <c r="AA121" s="22"/>
      <c r="AB121" s="22" t="str">
        <f>IF(AA121="","",VLOOKUP(AA121,Verdivurdering!$B$2:$K$100,15,FALSE))</f>
        <v/>
      </c>
      <c r="AC121" s="22"/>
      <c r="AD121" s="22" t="str">
        <f>IF(AC121="","",VLOOKUP(AC121,Verdivurdering!$B$2:$K$100,15,FALSE))</f>
        <v/>
      </c>
      <c r="AE121" s="22"/>
      <c r="AF121" s="22" t="str">
        <f>IF(AE121="","",VLOOKUP(AE121,Verdivurdering!$B$2:$K$100,15,FALSE))</f>
        <v/>
      </c>
      <c r="AG121" s="22"/>
      <c r="AH121" s="22" t="str">
        <f>IF(AG121="","",VLOOKUP(AG121,Verdivurdering!$B$2:$K$100,15,FALSE))</f>
        <v/>
      </c>
      <c r="AI121" s="22"/>
      <c r="AJ121" s="22" t="str">
        <f>IF(AI121="","",VLOOKUP(AI121,Verdivurdering!$B$2:$K$100,15,FALSE))</f>
        <v/>
      </c>
      <c r="AK121" s="22"/>
      <c r="AL121" s="22" t="str">
        <f>IF(AK121="","",VLOOKUP(AK121,Verdivurdering!$B$2:$K$100,15,FALSE))</f>
        <v/>
      </c>
      <c r="AM121" s="22"/>
      <c r="AN121" s="22" t="str">
        <f>IF(AM121="","",VLOOKUP(AM121,Verdivurdering!$B$2:$K$100,15,FALSE))</f>
        <v/>
      </c>
      <c r="AO121" s="22"/>
      <c r="AP121" s="22" t="str">
        <f>IF(AO121="","",VLOOKUP(AO121,Verdivurdering!$B$2:$K$100,15,FALSE))</f>
        <v/>
      </c>
      <c r="AQ121" s="22"/>
      <c r="AR121" s="22" t="str">
        <f>IF(AQ121="","",VLOOKUP(AQ121,Verdivurdering!$B$2:$K$100,15,FALSE))</f>
        <v/>
      </c>
      <c r="AS121" s="22"/>
      <c r="AT121" s="22" t="str">
        <f>IF(AS121="","",VLOOKUP(AS121,Verdivurdering!$B$2:$K$100,15,FALSE))</f>
        <v/>
      </c>
      <c r="AU121" s="22"/>
      <c r="AV121" s="22" t="str">
        <f>IF(AU121="","",VLOOKUP(AU121,Verdivurdering!$B$2:$K$100,15,FALSE))</f>
        <v/>
      </c>
      <c r="AW121" s="22"/>
      <c r="AX121" s="21" t="str">
        <f>IF(AW121="","",VLOOKUP(AW121,Verdivurdering!$B$2:$K$100,15,FALSE))</f>
        <v/>
      </c>
      <c r="AY121" s="19" t="e">
        <f t="shared" si="2"/>
        <v>#N/A</v>
      </c>
      <c r="AZ121" s="19" t="str">
        <f>IF(ISNUMBER(AY121),VLOOKUP(AY121,'Datasource 2'!$H$14:$I$18,2,FALSE),"")</f>
        <v/>
      </c>
      <c r="BA121" s="39"/>
      <c r="BB121" s="27" t="e">
        <f>_xlfn.IFNA(VLOOKUP(BA121,'Datasource 2'!I$14:$J$18,2,FALSE),AY121)</f>
        <v>#N/A</v>
      </c>
    </row>
    <row r="122" spans="1:54" x14ac:dyDescent="0.25">
      <c r="A122" s="37">
        <v>121</v>
      </c>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39"/>
      <c r="Z122" s="22" t="e">
        <f>VLOOKUP(Y122,'Datasource 2'!$I$14:$J$18,2,FALSE)</f>
        <v>#N/A</v>
      </c>
      <c r="AA122" s="22"/>
      <c r="AB122" s="22" t="str">
        <f>IF(AA122="","",VLOOKUP(AA122,Verdivurdering!$B$2:$K$100,15,FALSE))</f>
        <v/>
      </c>
      <c r="AC122" s="22"/>
      <c r="AD122" s="22" t="str">
        <f>IF(AC122="","",VLOOKUP(AC122,Verdivurdering!$B$2:$K$100,15,FALSE))</f>
        <v/>
      </c>
      <c r="AE122" s="22"/>
      <c r="AF122" s="22" t="str">
        <f>IF(AE122="","",VLOOKUP(AE122,Verdivurdering!$B$2:$K$100,15,FALSE))</f>
        <v/>
      </c>
      <c r="AG122" s="22"/>
      <c r="AH122" s="22" t="str">
        <f>IF(AG122="","",VLOOKUP(AG122,Verdivurdering!$B$2:$K$100,15,FALSE))</f>
        <v/>
      </c>
      <c r="AI122" s="22"/>
      <c r="AJ122" s="22" t="str">
        <f>IF(AI122="","",VLOOKUP(AI122,Verdivurdering!$B$2:$K$100,15,FALSE))</f>
        <v/>
      </c>
      <c r="AK122" s="22"/>
      <c r="AL122" s="22" t="str">
        <f>IF(AK122="","",VLOOKUP(AK122,Verdivurdering!$B$2:$K$100,15,FALSE))</f>
        <v/>
      </c>
      <c r="AM122" s="22"/>
      <c r="AN122" s="22" t="str">
        <f>IF(AM122="","",VLOOKUP(AM122,Verdivurdering!$B$2:$K$100,15,FALSE))</f>
        <v/>
      </c>
      <c r="AO122" s="22"/>
      <c r="AP122" s="22" t="str">
        <f>IF(AO122="","",VLOOKUP(AO122,Verdivurdering!$B$2:$K$100,15,FALSE))</f>
        <v/>
      </c>
      <c r="AQ122" s="22"/>
      <c r="AR122" s="22" t="str">
        <f>IF(AQ122="","",VLOOKUP(AQ122,Verdivurdering!$B$2:$K$100,15,FALSE))</f>
        <v/>
      </c>
      <c r="AS122" s="22"/>
      <c r="AT122" s="22" t="str">
        <f>IF(AS122="","",VLOOKUP(AS122,Verdivurdering!$B$2:$K$100,15,FALSE))</f>
        <v/>
      </c>
      <c r="AU122" s="22"/>
      <c r="AV122" s="22" t="str">
        <f>IF(AU122="","",VLOOKUP(AU122,Verdivurdering!$B$2:$K$100,15,FALSE))</f>
        <v/>
      </c>
      <c r="AW122" s="22"/>
      <c r="AX122" s="21" t="str">
        <f>IF(AW122="","",VLOOKUP(AW122,Verdivurdering!$B$2:$K$100,15,FALSE))</f>
        <v/>
      </c>
      <c r="AY122" s="19" t="e">
        <f t="shared" si="2"/>
        <v>#N/A</v>
      </c>
      <c r="AZ122" s="19" t="str">
        <f>IF(ISNUMBER(AY122),VLOOKUP(AY122,'Datasource 2'!$H$14:$I$18,2,FALSE),"")</f>
        <v/>
      </c>
      <c r="BA122" s="39"/>
      <c r="BB122" s="27" t="e">
        <f>_xlfn.IFNA(VLOOKUP(BA122,'Datasource 2'!I$14:$J$18,2,FALSE),AY122)</f>
        <v>#N/A</v>
      </c>
    </row>
    <row r="123" spans="1:54" x14ac:dyDescent="0.25">
      <c r="A123" s="37">
        <v>122</v>
      </c>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39"/>
      <c r="Z123" s="22" t="e">
        <f>VLOOKUP(Y123,'Datasource 2'!$I$14:$J$18,2,FALSE)</f>
        <v>#N/A</v>
      </c>
      <c r="AA123" s="22"/>
      <c r="AB123" s="22" t="str">
        <f>IF(AA123="","",VLOOKUP(AA123,Verdivurdering!$B$2:$K$100,15,FALSE))</f>
        <v/>
      </c>
      <c r="AC123" s="22"/>
      <c r="AD123" s="22" t="str">
        <f>IF(AC123="","",VLOOKUP(AC123,Verdivurdering!$B$2:$K$100,15,FALSE))</f>
        <v/>
      </c>
      <c r="AE123" s="22"/>
      <c r="AF123" s="22" t="str">
        <f>IF(AE123="","",VLOOKUP(AE123,Verdivurdering!$B$2:$K$100,15,FALSE))</f>
        <v/>
      </c>
      <c r="AG123" s="22"/>
      <c r="AH123" s="22" t="str">
        <f>IF(AG123="","",VLOOKUP(AG123,Verdivurdering!$B$2:$K$100,15,FALSE))</f>
        <v/>
      </c>
      <c r="AI123" s="22"/>
      <c r="AJ123" s="22" t="str">
        <f>IF(AI123="","",VLOOKUP(AI123,Verdivurdering!$B$2:$K$100,15,FALSE))</f>
        <v/>
      </c>
      <c r="AK123" s="22"/>
      <c r="AL123" s="22" t="str">
        <f>IF(AK123="","",VLOOKUP(AK123,Verdivurdering!$B$2:$K$100,15,FALSE))</f>
        <v/>
      </c>
      <c r="AM123" s="22"/>
      <c r="AN123" s="22" t="str">
        <f>IF(AM123="","",VLOOKUP(AM123,Verdivurdering!$B$2:$K$100,15,FALSE))</f>
        <v/>
      </c>
      <c r="AO123" s="22"/>
      <c r="AP123" s="22" t="str">
        <f>IF(AO123="","",VLOOKUP(AO123,Verdivurdering!$B$2:$K$100,15,FALSE))</f>
        <v/>
      </c>
      <c r="AQ123" s="22"/>
      <c r="AR123" s="22" t="str">
        <f>IF(AQ123="","",VLOOKUP(AQ123,Verdivurdering!$B$2:$K$100,15,FALSE))</f>
        <v/>
      </c>
      <c r="AS123" s="22"/>
      <c r="AT123" s="22" t="str">
        <f>IF(AS123="","",VLOOKUP(AS123,Verdivurdering!$B$2:$K$100,15,FALSE))</f>
        <v/>
      </c>
      <c r="AU123" s="22"/>
      <c r="AV123" s="22" t="str">
        <f>IF(AU123="","",VLOOKUP(AU123,Verdivurdering!$B$2:$K$100,15,FALSE))</f>
        <v/>
      </c>
      <c r="AW123" s="22"/>
      <c r="AX123" s="21" t="str">
        <f>IF(AW123="","",VLOOKUP(AW123,Verdivurdering!$B$2:$K$100,15,FALSE))</f>
        <v/>
      </c>
      <c r="AY123" s="19" t="e">
        <f t="shared" si="2"/>
        <v>#N/A</v>
      </c>
      <c r="AZ123" s="19" t="str">
        <f>IF(ISNUMBER(AY123),VLOOKUP(AY123,'Datasource 2'!$H$14:$I$18,2,FALSE),"")</f>
        <v/>
      </c>
      <c r="BA123" s="39"/>
      <c r="BB123" s="27" t="e">
        <f>_xlfn.IFNA(VLOOKUP(BA123,'Datasource 2'!I$14:$J$18,2,FALSE),AY123)</f>
        <v>#N/A</v>
      </c>
    </row>
    <row r="124" spans="1:54" x14ac:dyDescent="0.25">
      <c r="A124" s="37">
        <v>123</v>
      </c>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39"/>
      <c r="Z124" s="22" t="e">
        <f>VLOOKUP(Y124,'Datasource 2'!$I$14:$J$18,2,FALSE)</f>
        <v>#N/A</v>
      </c>
      <c r="AA124" s="22"/>
      <c r="AB124" s="22" t="str">
        <f>IF(AA124="","",VLOOKUP(AA124,Verdivurdering!$B$2:$K$100,15,FALSE))</f>
        <v/>
      </c>
      <c r="AC124" s="22"/>
      <c r="AD124" s="22" t="str">
        <f>IF(AC124="","",VLOOKUP(AC124,Verdivurdering!$B$2:$K$100,15,FALSE))</f>
        <v/>
      </c>
      <c r="AE124" s="22"/>
      <c r="AF124" s="22" t="str">
        <f>IF(AE124="","",VLOOKUP(AE124,Verdivurdering!$B$2:$K$100,15,FALSE))</f>
        <v/>
      </c>
      <c r="AG124" s="22"/>
      <c r="AH124" s="22" t="str">
        <f>IF(AG124="","",VLOOKUP(AG124,Verdivurdering!$B$2:$K$100,15,FALSE))</f>
        <v/>
      </c>
      <c r="AI124" s="22"/>
      <c r="AJ124" s="22" t="str">
        <f>IF(AI124="","",VLOOKUP(AI124,Verdivurdering!$B$2:$K$100,15,FALSE))</f>
        <v/>
      </c>
      <c r="AK124" s="22"/>
      <c r="AL124" s="22" t="str">
        <f>IF(AK124="","",VLOOKUP(AK124,Verdivurdering!$B$2:$K$100,15,FALSE))</f>
        <v/>
      </c>
      <c r="AM124" s="22"/>
      <c r="AN124" s="22" t="str">
        <f>IF(AM124="","",VLOOKUP(AM124,Verdivurdering!$B$2:$K$100,15,FALSE))</f>
        <v/>
      </c>
      <c r="AO124" s="22"/>
      <c r="AP124" s="22" t="str">
        <f>IF(AO124="","",VLOOKUP(AO124,Verdivurdering!$B$2:$K$100,15,FALSE))</f>
        <v/>
      </c>
      <c r="AQ124" s="22"/>
      <c r="AR124" s="22" t="str">
        <f>IF(AQ124="","",VLOOKUP(AQ124,Verdivurdering!$B$2:$K$100,15,FALSE))</f>
        <v/>
      </c>
      <c r="AS124" s="22"/>
      <c r="AT124" s="22" t="str">
        <f>IF(AS124="","",VLOOKUP(AS124,Verdivurdering!$B$2:$K$100,15,FALSE))</f>
        <v/>
      </c>
      <c r="AU124" s="22"/>
      <c r="AV124" s="22" t="str">
        <f>IF(AU124="","",VLOOKUP(AU124,Verdivurdering!$B$2:$K$100,15,FALSE))</f>
        <v/>
      </c>
      <c r="AW124" s="22"/>
      <c r="AX124" s="21" t="str">
        <f>IF(AW124="","",VLOOKUP(AW124,Verdivurdering!$B$2:$K$100,15,FALSE))</f>
        <v/>
      </c>
      <c r="AY124" s="19" t="e">
        <f t="shared" si="2"/>
        <v>#N/A</v>
      </c>
      <c r="AZ124" s="19" t="str">
        <f>IF(ISNUMBER(AY124),VLOOKUP(AY124,'Datasource 2'!$H$14:$I$18,2,FALSE),"")</f>
        <v/>
      </c>
      <c r="BA124" s="39"/>
      <c r="BB124" s="27" t="e">
        <f>_xlfn.IFNA(VLOOKUP(BA124,'Datasource 2'!I$14:$J$18,2,FALSE),AY124)</f>
        <v>#N/A</v>
      </c>
    </row>
    <row r="125" spans="1:54" x14ac:dyDescent="0.25">
      <c r="A125" s="37">
        <v>124</v>
      </c>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39"/>
      <c r="Z125" s="22" t="e">
        <f>VLOOKUP(Y125,'Datasource 2'!$I$14:$J$18,2,FALSE)</f>
        <v>#N/A</v>
      </c>
      <c r="AA125" s="22"/>
      <c r="AB125" s="22" t="str">
        <f>IF(AA125="","",VLOOKUP(AA125,Verdivurdering!$B$2:$K$100,15,FALSE))</f>
        <v/>
      </c>
      <c r="AC125" s="22"/>
      <c r="AD125" s="22" t="str">
        <f>IF(AC125="","",VLOOKUP(AC125,Verdivurdering!$B$2:$K$100,15,FALSE))</f>
        <v/>
      </c>
      <c r="AE125" s="22"/>
      <c r="AF125" s="22" t="str">
        <f>IF(AE125="","",VLOOKUP(AE125,Verdivurdering!$B$2:$K$100,15,FALSE))</f>
        <v/>
      </c>
      <c r="AG125" s="22"/>
      <c r="AH125" s="22" t="str">
        <f>IF(AG125="","",VLOOKUP(AG125,Verdivurdering!$B$2:$K$100,15,FALSE))</f>
        <v/>
      </c>
      <c r="AI125" s="22"/>
      <c r="AJ125" s="22" t="str">
        <f>IF(AI125="","",VLOOKUP(AI125,Verdivurdering!$B$2:$K$100,15,FALSE))</f>
        <v/>
      </c>
      <c r="AK125" s="22"/>
      <c r="AL125" s="22" t="str">
        <f>IF(AK125="","",VLOOKUP(AK125,Verdivurdering!$B$2:$K$100,15,FALSE))</f>
        <v/>
      </c>
      <c r="AM125" s="22"/>
      <c r="AN125" s="22" t="str">
        <f>IF(AM125="","",VLOOKUP(AM125,Verdivurdering!$B$2:$K$100,15,FALSE))</f>
        <v/>
      </c>
      <c r="AO125" s="22"/>
      <c r="AP125" s="22" t="str">
        <f>IF(AO125="","",VLOOKUP(AO125,Verdivurdering!$B$2:$K$100,15,FALSE))</f>
        <v/>
      </c>
      <c r="AQ125" s="22"/>
      <c r="AR125" s="22" t="str">
        <f>IF(AQ125="","",VLOOKUP(AQ125,Verdivurdering!$B$2:$K$100,15,FALSE))</f>
        <v/>
      </c>
      <c r="AS125" s="22"/>
      <c r="AT125" s="22" t="str">
        <f>IF(AS125="","",VLOOKUP(AS125,Verdivurdering!$B$2:$K$100,15,FALSE))</f>
        <v/>
      </c>
      <c r="AU125" s="22"/>
      <c r="AV125" s="22" t="str">
        <f>IF(AU125="","",VLOOKUP(AU125,Verdivurdering!$B$2:$K$100,15,FALSE))</f>
        <v/>
      </c>
      <c r="AW125" s="22"/>
      <c r="AX125" s="21" t="str">
        <f>IF(AW125="","",VLOOKUP(AW125,Verdivurdering!$B$2:$K$100,15,FALSE))</f>
        <v/>
      </c>
      <c r="AY125" s="19" t="e">
        <f t="shared" si="2"/>
        <v>#N/A</v>
      </c>
      <c r="AZ125" s="19" t="str">
        <f>IF(ISNUMBER(AY125),VLOOKUP(AY125,'Datasource 2'!$H$14:$I$18,2,FALSE),"")</f>
        <v/>
      </c>
      <c r="BA125" s="39"/>
      <c r="BB125" s="27" t="e">
        <f>_xlfn.IFNA(VLOOKUP(BA125,'Datasource 2'!I$14:$J$18,2,FALSE),AY125)</f>
        <v>#N/A</v>
      </c>
    </row>
    <row r="126" spans="1:54" x14ac:dyDescent="0.25">
      <c r="A126" s="37">
        <v>125</v>
      </c>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39"/>
      <c r="Z126" s="22" t="e">
        <f>VLOOKUP(Y126,'Datasource 2'!$I$14:$J$18,2,FALSE)</f>
        <v>#N/A</v>
      </c>
      <c r="AA126" s="22"/>
      <c r="AB126" s="22" t="str">
        <f>IF(AA126="","",VLOOKUP(AA126,Verdivurdering!$B$2:$K$100,15,FALSE))</f>
        <v/>
      </c>
      <c r="AC126" s="22"/>
      <c r="AD126" s="22" t="str">
        <f>IF(AC126="","",VLOOKUP(AC126,Verdivurdering!$B$2:$K$100,15,FALSE))</f>
        <v/>
      </c>
      <c r="AE126" s="22"/>
      <c r="AF126" s="22" t="str">
        <f>IF(AE126="","",VLOOKUP(AE126,Verdivurdering!$B$2:$K$100,15,FALSE))</f>
        <v/>
      </c>
      <c r="AG126" s="22"/>
      <c r="AH126" s="22" t="str">
        <f>IF(AG126="","",VLOOKUP(AG126,Verdivurdering!$B$2:$K$100,15,FALSE))</f>
        <v/>
      </c>
      <c r="AI126" s="22"/>
      <c r="AJ126" s="22" t="str">
        <f>IF(AI126="","",VLOOKUP(AI126,Verdivurdering!$B$2:$K$100,15,FALSE))</f>
        <v/>
      </c>
      <c r="AK126" s="22"/>
      <c r="AL126" s="22" t="str">
        <f>IF(AK126="","",VLOOKUP(AK126,Verdivurdering!$B$2:$K$100,15,FALSE))</f>
        <v/>
      </c>
      <c r="AM126" s="22"/>
      <c r="AN126" s="22" t="str">
        <f>IF(AM126="","",VLOOKUP(AM126,Verdivurdering!$B$2:$K$100,15,FALSE))</f>
        <v/>
      </c>
      <c r="AO126" s="22"/>
      <c r="AP126" s="22" t="str">
        <f>IF(AO126="","",VLOOKUP(AO126,Verdivurdering!$B$2:$K$100,15,FALSE))</f>
        <v/>
      </c>
      <c r="AQ126" s="22"/>
      <c r="AR126" s="22" t="str">
        <f>IF(AQ126="","",VLOOKUP(AQ126,Verdivurdering!$B$2:$K$100,15,FALSE))</f>
        <v/>
      </c>
      <c r="AS126" s="22"/>
      <c r="AT126" s="22" t="str">
        <f>IF(AS126="","",VLOOKUP(AS126,Verdivurdering!$B$2:$K$100,15,FALSE))</f>
        <v/>
      </c>
      <c r="AU126" s="22"/>
      <c r="AV126" s="22" t="str">
        <f>IF(AU126="","",VLOOKUP(AU126,Verdivurdering!$B$2:$K$100,15,FALSE))</f>
        <v/>
      </c>
      <c r="AW126" s="22"/>
      <c r="AX126" s="21" t="str">
        <f>IF(AW126="","",VLOOKUP(AW126,Verdivurdering!$B$2:$K$100,15,FALSE))</f>
        <v/>
      </c>
      <c r="AY126" s="19" t="e">
        <f t="shared" si="2"/>
        <v>#N/A</v>
      </c>
      <c r="AZ126" s="19" t="str">
        <f>IF(ISNUMBER(AY126),VLOOKUP(AY126,'Datasource 2'!$H$14:$I$18,2,FALSE),"")</f>
        <v/>
      </c>
      <c r="BA126" s="39"/>
      <c r="BB126" s="27" t="e">
        <f>_xlfn.IFNA(VLOOKUP(BA126,'Datasource 2'!I$14:$J$18,2,FALSE),AY126)</f>
        <v>#N/A</v>
      </c>
    </row>
    <row r="127" spans="1:54" x14ac:dyDescent="0.25">
      <c r="A127" s="37">
        <v>126</v>
      </c>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39"/>
      <c r="Z127" s="22" t="e">
        <f>VLOOKUP(Y127,'Datasource 2'!$I$14:$J$18,2,FALSE)</f>
        <v>#N/A</v>
      </c>
      <c r="AA127" s="22"/>
      <c r="AB127" s="22" t="str">
        <f>IF(AA127="","",VLOOKUP(AA127,Verdivurdering!$B$2:$K$100,15,FALSE))</f>
        <v/>
      </c>
      <c r="AC127" s="22"/>
      <c r="AD127" s="22" t="str">
        <f>IF(AC127="","",VLOOKUP(AC127,Verdivurdering!$B$2:$K$100,15,FALSE))</f>
        <v/>
      </c>
      <c r="AE127" s="22"/>
      <c r="AF127" s="22" t="str">
        <f>IF(AE127="","",VLOOKUP(AE127,Verdivurdering!$B$2:$K$100,15,FALSE))</f>
        <v/>
      </c>
      <c r="AG127" s="22"/>
      <c r="AH127" s="22" t="str">
        <f>IF(AG127="","",VLOOKUP(AG127,Verdivurdering!$B$2:$K$100,15,FALSE))</f>
        <v/>
      </c>
      <c r="AI127" s="22"/>
      <c r="AJ127" s="22" t="str">
        <f>IF(AI127="","",VLOOKUP(AI127,Verdivurdering!$B$2:$K$100,15,FALSE))</f>
        <v/>
      </c>
      <c r="AK127" s="22"/>
      <c r="AL127" s="22" t="str">
        <f>IF(AK127="","",VLOOKUP(AK127,Verdivurdering!$B$2:$K$100,15,FALSE))</f>
        <v/>
      </c>
      <c r="AM127" s="22"/>
      <c r="AN127" s="22" t="str">
        <f>IF(AM127="","",VLOOKUP(AM127,Verdivurdering!$B$2:$K$100,15,FALSE))</f>
        <v/>
      </c>
      <c r="AO127" s="22"/>
      <c r="AP127" s="22" t="str">
        <f>IF(AO127="","",VLOOKUP(AO127,Verdivurdering!$B$2:$K$100,15,FALSE))</f>
        <v/>
      </c>
      <c r="AQ127" s="22"/>
      <c r="AR127" s="22" t="str">
        <f>IF(AQ127="","",VLOOKUP(AQ127,Verdivurdering!$B$2:$K$100,15,FALSE))</f>
        <v/>
      </c>
      <c r="AS127" s="22"/>
      <c r="AT127" s="22" t="str">
        <f>IF(AS127="","",VLOOKUP(AS127,Verdivurdering!$B$2:$K$100,15,FALSE))</f>
        <v/>
      </c>
      <c r="AU127" s="22"/>
      <c r="AV127" s="22" t="str">
        <f>IF(AU127="","",VLOOKUP(AU127,Verdivurdering!$B$2:$K$100,15,FALSE))</f>
        <v/>
      </c>
      <c r="AW127" s="22"/>
      <c r="AX127" s="21" t="str">
        <f>IF(AW127="","",VLOOKUP(AW127,Verdivurdering!$B$2:$K$100,15,FALSE))</f>
        <v/>
      </c>
      <c r="AY127" s="19" t="e">
        <f t="shared" si="2"/>
        <v>#N/A</v>
      </c>
      <c r="AZ127" s="19" t="str">
        <f>IF(ISNUMBER(AY127),VLOOKUP(AY127,'Datasource 2'!$H$14:$I$18,2,FALSE),"")</f>
        <v/>
      </c>
      <c r="BA127" s="39"/>
      <c r="BB127" s="27" t="e">
        <f>_xlfn.IFNA(VLOOKUP(BA127,'Datasource 2'!I$14:$J$18,2,FALSE),AY127)</f>
        <v>#N/A</v>
      </c>
    </row>
    <row r="128" spans="1:54" x14ac:dyDescent="0.25">
      <c r="A128" s="37">
        <v>127</v>
      </c>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39"/>
      <c r="Z128" s="22" t="e">
        <f>VLOOKUP(Y128,'Datasource 2'!$I$14:$J$18,2,FALSE)</f>
        <v>#N/A</v>
      </c>
      <c r="AA128" s="22"/>
      <c r="AB128" s="22" t="str">
        <f>IF(AA128="","",VLOOKUP(AA128,Verdivurdering!$B$2:$K$100,15,FALSE))</f>
        <v/>
      </c>
      <c r="AC128" s="22"/>
      <c r="AD128" s="22" t="str">
        <f>IF(AC128="","",VLOOKUP(AC128,Verdivurdering!$B$2:$K$100,15,FALSE))</f>
        <v/>
      </c>
      <c r="AE128" s="22"/>
      <c r="AF128" s="22" t="str">
        <f>IF(AE128="","",VLOOKUP(AE128,Verdivurdering!$B$2:$K$100,15,FALSE))</f>
        <v/>
      </c>
      <c r="AG128" s="22"/>
      <c r="AH128" s="22" t="str">
        <f>IF(AG128="","",VLOOKUP(AG128,Verdivurdering!$B$2:$K$100,15,FALSE))</f>
        <v/>
      </c>
      <c r="AI128" s="22"/>
      <c r="AJ128" s="22" t="str">
        <f>IF(AI128="","",VLOOKUP(AI128,Verdivurdering!$B$2:$K$100,15,FALSE))</f>
        <v/>
      </c>
      <c r="AK128" s="22"/>
      <c r="AL128" s="22" t="str">
        <f>IF(AK128="","",VLOOKUP(AK128,Verdivurdering!$B$2:$K$100,15,FALSE))</f>
        <v/>
      </c>
      <c r="AM128" s="22"/>
      <c r="AN128" s="22" t="str">
        <f>IF(AM128="","",VLOOKUP(AM128,Verdivurdering!$B$2:$K$100,15,FALSE))</f>
        <v/>
      </c>
      <c r="AO128" s="22"/>
      <c r="AP128" s="22" t="str">
        <f>IF(AO128="","",VLOOKUP(AO128,Verdivurdering!$B$2:$K$100,15,FALSE))</f>
        <v/>
      </c>
      <c r="AQ128" s="22"/>
      <c r="AR128" s="22" t="str">
        <f>IF(AQ128="","",VLOOKUP(AQ128,Verdivurdering!$B$2:$K$100,15,FALSE))</f>
        <v/>
      </c>
      <c r="AS128" s="22"/>
      <c r="AT128" s="22" t="str">
        <f>IF(AS128="","",VLOOKUP(AS128,Verdivurdering!$B$2:$K$100,15,FALSE))</f>
        <v/>
      </c>
      <c r="AU128" s="22"/>
      <c r="AV128" s="22" t="str">
        <f>IF(AU128="","",VLOOKUP(AU128,Verdivurdering!$B$2:$K$100,15,FALSE))</f>
        <v/>
      </c>
      <c r="AW128" s="22"/>
      <c r="AX128" s="21" t="str">
        <f>IF(AW128="","",VLOOKUP(AW128,Verdivurdering!$B$2:$K$100,15,FALSE))</f>
        <v/>
      </c>
      <c r="AY128" s="19" t="e">
        <f t="shared" si="2"/>
        <v>#N/A</v>
      </c>
      <c r="AZ128" s="19" t="str">
        <f>IF(ISNUMBER(AY128),VLOOKUP(AY128,'Datasource 2'!$H$14:$I$18,2,FALSE),"")</f>
        <v/>
      </c>
      <c r="BA128" s="39"/>
      <c r="BB128" s="27" t="e">
        <f>_xlfn.IFNA(VLOOKUP(BA128,'Datasource 2'!I$14:$J$18,2,FALSE),AY128)</f>
        <v>#N/A</v>
      </c>
    </row>
    <row r="129" spans="1:54" x14ac:dyDescent="0.25">
      <c r="A129" s="37">
        <v>128</v>
      </c>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39"/>
      <c r="Z129" s="22" t="e">
        <f>VLOOKUP(Y129,'Datasource 2'!$I$14:$J$18,2,FALSE)</f>
        <v>#N/A</v>
      </c>
      <c r="AA129" s="22"/>
      <c r="AB129" s="22" t="str">
        <f>IF(AA129="","",VLOOKUP(AA129,Verdivurdering!$B$2:$K$100,15,FALSE))</f>
        <v/>
      </c>
      <c r="AC129" s="22"/>
      <c r="AD129" s="22" t="str">
        <f>IF(AC129="","",VLOOKUP(AC129,Verdivurdering!$B$2:$K$100,15,FALSE))</f>
        <v/>
      </c>
      <c r="AE129" s="22"/>
      <c r="AF129" s="22" t="str">
        <f>IF(AE129="","",VLOOKUP(AE129,Verdivurdering!$B$2:$K$100,15,FALSE))</f>
        <v/>
      </c>
      <c r="AG129" s="22"/>
      <c r="AH129" s="22" t="str">
        <f>IF(AG129="","",VLOOKUP(AG129,Verdivurdering!$B$2:$K$100,15,FALSE))</f>
        <v/>
      </c>
      <c r="AI129" s="22"/>
      <c r="AJ129" s="22" t="str">
        <f>IF(AI129="","",VLOOKUP(AI129,Verdivurdering!$B$2:$K$100,15,FALSE))</f>
        <v/>
      </c>
      <c r="AK129" s="22"/>
      <c r="AL129" s="22" t="str">
        <f>IF(AK129="","",VLOOKUP(AK129,Verdivurdering!$B$2:$K$100,15,FALSE))</f>
        <v/>
      </c>
      <c r="AM129" s="22"/>
      <c r="AN129" s="22" t="str">
        <f>IF(AM129="","",VLOOKUP(AM129,Verdivurdering!$B$2:$K$100,15,FALSE))</f>
        <v/>
      </c>
      <c r="AO129" s="22"/>
      <c r="AP129" s="22" t="str">
        <f>IF(AO129="","",VLOOKUP(AO129,Verdivurdering!$B$2:$K$100,15,FALSE))</f>
        <v/>
      </c>
      <c r="AQ129" s="22"/>
      <c r="AR129" s="22" t="str">
        <f>IF(AQ129="","",VLOOKUP(AQ129,Verdivurdering!$B$2:$K$100,15,FALSE))</f>
        <v/>
      </c>
      <c r="AS129" s="22"/>
      <c r="AT129" s="22" t="str">
        <f>IF(AS129="","",VLOOKUP(AS129,Verdivurdering!$B$2:$K$100,15,FALSE))</f>
        <v/>
      </c>
      <c r="AU129" s="22"/>
      <c r="AV129" s="22" t="str">
        <f>IF(AU129="","",VLOOKUP(AU129,Verdivurdering!$B$2:$K$100,15,FALSE))</f>
        <v/>
      </c>
      <c r="AW129" s="22"/>
      <c r="AX129" s="21" t="str">
        <f>IF(AW129="","",VLOOKUP(AW129,Verdivurdering!$B$2:$K$100,15,FALSE))</f>
        <v/>
      </c>
      <c r="AY129" s="19" t="e">
        <f t="shared" si="2"/>
        <v>#N/A</v>
      </c>
      <c r="AZ129" s="19" t="str">
        <f>IF(ISNUMBER(AY129),VLOOKUP(AY129,'Datasource 2'!$H$14:$I$18,2,FALSE),"")</f>
        <v/>
      </c>
      <c r="BA129" s="39"/>
      <c r="BB129" s="27" t="e">
        <f>_xlfn.IFNA(VLOOKUP(BA129,'Datasource 2'!I$14:$J$18,2,FALSE),AY129)</f>
        <v>#N/A</v>
      </c>
    </row>
    <row r="130" spans="1:54" x14ac:dyDescent="0.25">
      <c r="A130" s="37">
        <v>129</v>
      </c>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39"/>
      <c r="Z130" s="22" t="e">
        <f>VLOOKUP(Y130,'Datasource 2'!$I$14:$J$18,2,FALSE)</f>
        <v>#N/A</v>
      </c>
      <c r="AA130" s="22"/>
      <c r="AB130" s="22" t="str">
        <f>IF(AA130="","",VLOOKUP(AA130,Verdivurdering!$B$2:$K$100,15,FALSE))</f>
        <v/>
      </c>
      <c r="AC130" s="22"/>
      <c r="AD130" s="22" t="str">
        <f>IF(AC130="","",VLOOKUP(AC130,Verdivurdering!$B$2:$K$100,15,FALSE))</f>
        <v/>
      </c>
      <c r="AE130" s="22"/>
      <c r="AF130" s="22" t="str">
        <f>IF(AE130="","",VLOOKUP(AE130,Verdivurdering!$B$2:$K$100,15,FALSE))</f>
        <v/>
      </c>
      <c r="AG130" s="22"/>
      <c r="AH130" s="22" t="str">
        <f>IF(AG130="","",VLOOKUP(AG130,Verdivurdering!$B$2:$K$100,15,FALSE))</f>
        <v/>
      </c>
      <c r="AI130" s="22"/>
      <c r="AJ130" s="22" t="str">
        <f>IF(AI130="","",VLOOKUP(AI130,Verdivurdering!$B$2:$K$100,15,FALSE))</f>
        <v/>
      </c>
      <c r="AK130" s="22"/>
      <c r="AL130" s="22" t="str">
        <f>IF(AK130="","",VLOOKUP(AK130,Verdivurdering!$B$2:$K$100,15,FALSE))</f>
        <v/>
      </c>
      <c r="AM130" s="22"/>
      <c r="AN130" s="22" t="str">
        <f>IF(AM130="","",VLOOKUP(AM130,Verdivurdering!$B$2:$K$100,15,FALSE))</f>
        <v/>
      </c>
      <c r="AO130" s="22"/>
      <c r="AP130" s="22" t="str">
        <f>IF(AO130="","",VLOOKUP(AO130,Verdivurdering!$B$2:$K$100,15,FALSE))</f>
        <v/>
      </c>
      <c r="AQ130" s="22"/>
      <c r="AR130" s="22" t="str">
        <f>IF(AQ130="","",VLOOKUP(AQ130,Verdivurdering!$B$2:$K$100,15,FALSE))</f>
        <v/>
      </c>
      <c r="AS130" s="22"/>
      <c r="AT130" s="22" t="str">
        <f>IF(AS130="","",VLOOKUP(AS130,Verdivurdering!$B$2:$K$100,15,FALSE))</f>
        <v/>
      </c>
      <c r="AU130" s="22"/>
      <c r="AV130" s="22" t="str">
        <f>IF(AU130="","",VLOOKUP(AU130,Verdivurdering!$B$2:$K$100,15,FALSE))</f>
        <v/>
      </c>
      <c r="AW130" s="22"/>
      <c r="AX130" s="21" t="str">
        <f>IF(AW130="","",VLOOKUP(AW130,Verdivurdering!$B$2:$K$100,15,FALSE))</f>
        <v/>
      </c>
      <c r="AY130" s="19" t="e">
        <f t="shared" si="2"/>
        <v>#N/A</v>
      </c>
      <c r="AZ130" s="19" t="str">
        <f>IF(ISNUMBER(AY130),VLOOKUP(AY130,'Datasource 2'!$H$14:$I$18,2,FALSE),"")</f>
        <v/>
      </c>
      <c r="BA130" s="39"/>
      <c r="BB130" s="27" t="e">
        <f>_xlfn.IFNA(VLOOKUP(BA130,'Datasource 2'!I$14:$J$18,2,FALSE),AY130)</f>
        <v>#N/A</v>
      </c>
    </row>
    <row r="131" spans="1:54" x14ac:dyDescent="0.25">
      <c r="A131" s="37">
        <v>130</v>
      </c>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39"/>
      <c r="Z131" s="22" t="e">
        <f>VLOOKUP(Y131,'Datasource 2'!$I$14:$J$18,2,FALSE)</f>
        <v>#N/A</v>
      </c>
      <c r="AA131" s="22"/>
      <c r="AB131" s="22" t="str">
        <f>IF(AA131="","",VLOOKUP(AA131,Verdivurdering!$B$2:$K$100,15,FALSE))</f>
        <v/>
      </c>
      <c r="AC131" s="22"/>
      <c r="AD131" s="22" t="str">
        <f>IF(AC131="","",VLOOKUP(AC131,Verdivurdering!$B$2:$K$100,15,FALSE))</f>
        <v/>
      </c>
      <c r="AE131" s="22"/>
      <c r="AF131" s="22" t="str">
        <f>IF(AE131="","",VLOOKUP(AE131,Verdivurdering!$B$2:$K$100,15,FALSE))</f>
        <v/>
      </c>
      <c r="AG131" s="22"/>
      <c r="AH131" s="22" t="str">
        <f>IF(AG131="","",VLOOKUP(AG131,Verdivurdering!$B$2:$K$100,15,FALSE))</f>
        <v/>
      </c>
      <c r="AI131" s="22"/>
      <c r="AJ131" s="22" t="str">
        <f>IF(AI131="","",VLOOKUP(AI131,Verdivurdering!$B$2:$K$100,15,FALSE))</f>
        <v/>
      </c>
      <c r="AK131" s="22"/>
      <c r="AL131" s="22" t="str">
        <f>IF(AK131="","",VLOOKUP(AK131,Verdivurdering!$B$2:$K$100,15,FALSE))</f>
        <v/>
      </c>
      <c r="AM131" s="22"/>
      <c r="AN131" s="22" t="str">
        <f>IF(AM131="","",VLOOKUP(AM131,Verdivurdering!$B$2:$K$100,15,FALSE))</f>
        <v/>
      </c>
      <c r="AO131" s="22"/>
      <c r="AP131" s="22" t="str">
        <f>IF(AO131="","",VLOOKUP(AO131,Verdivurdering!$B$2:$K$100,15,FALSE))</f>
        <v/>
      </c>
      <c r="AQ131" s="22"/>
      <c r="AR131" s="22" t="str">
        <f>IF(AQ131="","",VLOOKUP(AQ131,Verdivurdering!$B$2:$K$100,15,FALSE))</f>
        <v/>
      </c>
      <c r="AS131" s="22"/>
      <c r="AT131" s="22" t="str">
        <f>IF(AS131="","",VLOOKUP(AS131,Verdivurdering!$B$2:$K$100,15,FALSE))</f>
        <v/>
      </c>
      <c r="AU131" s="22"/>
      <c r="AV131" s="22" t="str">
        <f>IF(AU131="","",VLOOKUP(AU131,Verdivurdering!$B$2:$K$100,15,FALSE))</f>
        <v/>
      </c>
      <c r="AW131" s="22"/>
      <c r="AX131" s="21" t="str">
        <f>IF(AW131="","",VLOOKUP(AW131,Verdivurdering!$B$2:$K$100,15,FALSE))</f>
        <v/>
      </c>
      <c r="AY131" s="19" t="e">
        <f t="shared" si="2"/>
        <v>#N/A</v>
      </c>
      <c r="AZ131" s="19" t="str">
        <f>IF(ISNUMBER(AY131),VLOOKUP(AY131,'Datasource 2'!$H$14:$I$18,2,FALSE),"")</f>
        <v/>
      </c>
      <c r="BA131" s="39"/>
      <c r="BB131" s="27" t="e">
        <f>_xlfn.IFNA(VLOOKUP(BA131,'Datasource 2'!I$14:$J$18,2,FALSE),AY131)</f>
        <v>#N/A</v>
      </c>
    </row>
    <row r="132" spans="1:54" x14ac:dyDescent="0.25">
      <c r="A132" s="37">
        <v>131</v>
      </c>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39"/>
      <c r="Z132" s="22" t="e">
        <f>VLOOKUP(Y132,'Datasource 2'!$I$14:$J$18,2,FALSE)</f>
        <v>#N/A</v>
      </c>
      <c r="AA132" s="22"/>
      <c r="AB132" s="22" t="str">
        <f>IF(AA132="","",VLOOKUP(AA132,Verdivurdering!$B$2:$K$100,15,FALSE))</f>
        <v/>
      </c>
      <c r="AC132" s="22"/>
      <c r="AD132" s="22" t="str">
        <f>IF(AC132="","",VLOOKUP(AC132,Verdivurdering!$B$2:$K$100,15,FALSE))</f>
        <v/>
      </c>
      <c r="AE132" s="22"/>
      <c r="AF132" s="22" t="str">
        <f>IF(AE132="","",VLOOKUP(AE132,Verdivurdering!$B$2:$K$100,15,FALSE))</f>
        <v/>
      </c>
      <c r="AG132" s="22"/>
      <c r="AH132" s="22" t="str">
        <f>IF(AG132="","",VLOOKUP(AG132,Verdivurdering!$B$2:$K$100,15,FALSE))</f>
        <v/>
      </c>
      <c r="AI132" s="22"/>
      <c r="AJ132" s="22" t="str">
        <f>IF(AI132="","",VLOOKUP(AI132,Verdivurdering!$B$2:$K$100,15,FALSE))</f>
        <v/>
      </c>
      <c r="AK132" s="22"/>
      <c r="AL132" s="22" t="str">
        <f>IF(AK132="","",VLOOKUP(AK132,Verdivurdering!$B$2:$K$100,15,FALSE))</f>
        <v/>
      </c>
      <c r="AM132" s="22"/>
      <c r="AN132" s="22" t="str">
        <f>IF(AM132="","",VLOOKUP(AM132,Verdivurdering!$B$2:$K$100,15,FALSE))</f>
        <v/>
      </c>
      <c r="AO132" s="22"/>
      <c r="AP132" s="22" t="str">
        <f>IF(AO132="","",VLOOKUP(AO132,Verdivurdering!$B$2:$K$100,15,FALSE))</f>
        <v/>
      </c>
      <c r="AQ132" s="22"/>
      <c r="AR132" s="22" t="str">
        <f>IF(AQ132="","",VLOOKUP(AQ132,Verdivurdering!$B$2:$K$100,15,FALSE))</f>
        <v/>
      </c>
      <c r="AS132" s="22"/>
      <c r="AT132" s="22" t="str">
        <f>IF(AS132="","",VLOOKUP(AS132,Verdivurdering!$B$2:$K$100,15,FALSE))</f>
        <v/>
      </c>
      <c r="AU132" s="22"/>
      <c r="AV132" s="22" t="str">
        <f>IF(AU132="","",VLOOKUP(AU132,Verdivurdering!$B$2:$K$100,15,FALSE))</f>
        <v/>
      </c>
      <c r="AW132" s="22"/>
      <c r="AX132" s="21" t="str">
        <f>IF(AW132="","",VLOOKUP(AW132,Verdivurdering!$B$2:$K$100,15,FALSE))</f>
        <v/>
      </c>
      <c r="AY132" s="19" t="e">
        <f t="shared" si="2"/>
        <v>#N/A</v>
      </c>
      <c r="AZ132" s="19" t="str">
        <f>IF(ISNUMBER(AY132),VLOOKUP(AY132,'Datasource 2'!$H$14:$I$18,2,FALSE),"")</f>
        <v/>
      </c>
      <c r="BA132" s="39"/>
      <c r="BB132" s="27" t="e">
        <f>_xlfn.IFNA(VLOOKUP(BA132,'Datasource 2'!I$14:$J$18,2,FALSE),AY132)</f>
        <v>#N/A</v>
      </c>
    </row>
    <row r="133" spans="1:54" x14ac:dyDescent="0.25">
      <c r="A133" s="37">
        <v>132</v>
      </c>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39"/>
      <c r="Z133" s="22" t="e">
        <f>VLOOKUP(Y133,'Datasource 2'!$I$14:$J$18,2,FALSE)</f>
        <v>#N/A</v>
      </c>
      <c r="AA133" s="22"/>
      <c r="AB133" s="22" t="str">
        <f>IF(AA133="","",VLOOKUP(AA133,Verdivurdering!$B$2:$K$100,15,FALSE))</f>
        <v/>
      </c>
      <c r="AC133" s="22"/>
      <c r="AD133" s="22" t="str">
        <f>IF(AC133="","",VLOOKUP(AC133,Verdivurdering!$B$2:$K$100,15,FALSE))</f>
        <v/>
      </c>
      <c r="AE133" s="22"/>
      <c r="AF133" s="22" t="str">
        <f>IF(AE133="","",VLOOKUP(AE133,Verdivurdering!$B$2:$K$100,15,FALSE))</f>
        <v/>
      </c>
      <c r="AG133" s="22"/>
      <c r="AH133" s="22" t="str">
        <f>IF(AG133="","",VLOOKUP(AG133,Verdivurdering!$B$2:$K$100,15,FALSE))</f>
        <v/>
      </c>
      <c r="AI133" s="22"/>
      <c r="AJ133" s="22" t="str">
        <f>IF(AI133="","",VLOOKUP(AI133,Verdivurdering!$B$2:$K$100,15,FALSE))</f>
        <v/>
      </c>
      <c r="AK133" s="22"/>
      <c r="AL133" s="22" t="str">
        <f>IF(AK133="","",VLOOKUP(AK133,Verdivurdering!$B$2:$K$100,15,FALSE))</f>
        <v/>
      </c>
      <c r="AM133" s="22"/>
      <c r="AN133" s="22" t="str">
        <f>IF(AM133="","",VLOOKUP(AM133,Verdivurdering!$B$2:$K$100,15,FALSE))</f>
        <v/>
      </c>
      <c r="AO133" s="22"/>
      <c r="AP133" s="22" t="str">
        <f>IF(AO133="","",VLOOKUP(AO133,Verdivurdering!$B$2:$K$100,15,FALSE))</f>
        <v/>
      </c>
      <c r="AQ133" s="22"/>
      <c r="AR133" s="22" t="str">
        <f>IF(AQ133="","",VLOOKUP(AQ133,Verdivurdering!$B$2:$K$100,15,FALSE))</f>
        <v/>
      </c>
      <c r="AS133" s="22"/>
      <c r="AT133" s="22" t="str">
        <f>IF(AS133="","",VLOOKUP(AS133,Verdivurdering!$B$2:$K$100,15,FALSE))</f>
        <v/>
      </c>
      <c r="AU133" s="22"/>
      <c r="AV133" s="22" t="str">
        <f>IF(AU133="","",VLOOKUP(AU133,Verdivurdering!$B$2:$K$100,15,FALSE))</f>
        <v/>
      </c>
      <c r="AW133" s="22"/>
      <c r="AX133" s="21" t="str">
        <f>IF(AW133="","",VLOOKUP(AW133,Verdivurdering!$B$2:$K$100,15,FALSE))</f>
        <v/>
      </c>
      <c r="AY133" s="19" t="e">
        <f t="shared" si="2"/>
        <v>#N/A</v>
      </c>
      <c r="AZ133" s="19" t="str">
        <f>IF(ISNUMBER(AY133),VLOOKUP(AY133,'Datasource 2'!$H$14:$I$18,2,FALSE),"")</f>
        <v/>
      </c>
      <c r="BA133" s="39"/>
      <c r="BB133" s="27" t="e">
        <f>_xlfn.IFNA(VLOOKUP(BA133,'Datasource 2'!I$14:$J$18,2,FALSE),AY133)</f>
        <v>#N/A</v>
      </c>
    </row>
    <row r="134" spans="1:54" x14ac:dyDescent="0.25">
      <c r="A134" s="37">
        <v>133</v>
      </c>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39"/>
      <c r="Z134" s="22" t="e">
        <f>VLOOKUP(Y134,'Datasource 2'!$I$14:$J$18,2,FALSE)</f>
        <v>#N/A</v>
      </c>
      <c r="AA134" s="22"/>
      <c r="AB134" s="22" t="str">
        <f>IF(AA134="","",VLOOKUP(AA134,Verdivurdering!$B$2:$K$100,15,FALSE))</f>
        <v/>
      </c>
      <c r="AC134" s="22"/>
      <c r="AD134" s="22" t="str">
        <f>IF(AC134="","",VLOOKUP(AC134,Verdivurdering!$B$2:$K$100,15,FALSE))</f>
        <v/>
      </c>
      <c r="AE134" s="22"/>
      <c r="AF134" s="22" t="str">
        <f>IF(AE134="","",VLOOKUP(AE134,Verdivurdering!$B$2:$K$100,15,FALSE))</f>
        <v/>
      </c>
      <c r="AG134" s="22"/>
      <c r="AH134" s="22" t="str">
        <f>IF(AG134="","",VLOOKUP(AG134,Verdivurdering!$B$2:$K$100,15,FALSE))</f>
        <v/>
      </c>
      <c r="AI134" s="22"/>
      <c r="AJ134" s="22" t="str">
        <f>IF(AI134="","",VLOOKUP(AI134,Verdivurdering!$B$2:$K$100,15,FALSE))</f>
        <v/>
      </c>
      <c r="AK134" s="22"/>
      <c r="AL134" s="22" t="str">
        <f>IF(AK134="","",VLOOKUP(AK134,Verdivurdering!$B$2:$K$100,15,FALSE))</f>
        <v/>
      </c>
      <c r="AM134" s="22"/>
      <c r="AN134" s="22" t="str">
        <f>IF(AM134="","",VLOOKUP(AM134,Verdivurdering!$B$2:$K$100,15,FALSE))</f>
        <v/>
      </c>
      <c r="AO134" s="22"/>
      <c r="AP134" s="22" t="str">
        <f>IF(AO134="","",VLOOKUP(AO134,Verdivurdering!$B$2:$K$100,15,FALSE))</f>
        <v/>
      </c>
      <c r="AQ134" s="22"/>
      <c r="AR134" s="22" t="str">
        <f>IF(AQ134="","",VLOOKUP(AQ134,Verdivurdering!$B$2:$K$100,15,FALSE))</f>
        <v/>
      </c>
      <c r="AS134" s="22"/>
      <c r="AT134" s="22" t="str">
        <f>IF(AS134="","",VLOOKUP(AS134,Verdivurdering!$B$2:$K$100,15,FALSE))</f>
        <v/>
      </c>
      <c r="AU134" s="22"/>
      <c r="AV134" s="22" t="str">
        <f>IF(AU134="","",VLOOKUP(AU134,Verdivurdering!$B$2:$K$100,15,FALSE))</f>
        <v/>
      </c>
      <c r="AW134" s="22"/>
      <c r="AX134" s="21" t="str">
        <f>IF(AW134="","",VLOOKUP(AW134,Verdivurdering!$B$2:$K$100,15,FALSE))</f>
        <v/>
      </c>
      <c r="AY134" s="19" t="e">
        <f t="shared" si="2"/>
        <v>#N/A</v>
      </c>
      <c r="AZ134" s="19" t="str">
        <f>IF(ISNUMBER(AY134),VLOOKUP(AY134,'Datasource 2'!$H$14:$I$18,2,FALSE),"")</f>
        <v/>
      </c>
      <c r="BA134" s="39"/>
      <c r="BB134" s="27" t="e">
        <f>_xlfn.IFNA(VLOOKUP(BA134,'Datasource 2'!I$14:$J$18,2,FALSE),AY134)</f>
        <v>#N/A</v>
      </c>
    </row>
    <row r="135" spans="1:54" x14ac:dyDescent="0.25">
      <c r="A135" s="37">
        <v>134</v>
      </c>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39"/>
      <c r="Z135" s="22" t="e">
        <f>VLOOKUP(Y135,'Datasource 2'!$I$14:$J$18,2,FALSE)</f>
        <v>#N/A</v>
      </c>
      <c r="AA135" s="22"/>
      <c r="AB135" s="22" t="str">
        <f>IF(AA135="","",VLOOKUP(AA135,Verdivurdering!$B$2:$K$100,15,FALSE))</f>
        <v/>
      </c>
      <c r="AC135" s="22"/>
      <c r="AD135" s="22" t="str">
        <f>IF(AC135="","",VLOOKUP(AC135,Verdivurdering!$B$2:$K$100,15,FALSE))</f>
        <v/>
      </c>
      <c r="AE135" s="22"/>
      <c r="AF135" s="22" t="str">
        <f>IF(AE135="","",VLOOKUP(AE135,Verdivurdering!$B$2:$K$100,15,FALSE))</f>
        <v/>
      </c>
      <c r="AG135" s="22"/>
      <c r="AH135" s="22" t="str">
        <f>IF(AG135="","",VLOOKUP(AG135,Verdivurdering!$B$2:$K$100,15,FALSE))</f>
        <v/>
      </c>
      <c r="AI135" s="22"/>
      <c r="AJ135" s="22" t="str">
        <f>IF(AI135="","",VLOOKUP(AI135,Verdivurdering!$B$2:$K$100,15,FALSE))</f>
        <v/>
      </c>
      <c r="AK135" s="22"/>
      <c r="AL135" s="22" t="str">
        <f>IF(AK135="","",VLOOKUP(AK135,Verdivurdering!$B$2:$K$100,15,FALSE))</f>
        <v/>
      </c>
      <c r="AM135" s="22"/>
      <c r="AN135" s="22" t="str">
        <f>IF(AM135="","",VLOOKUP(AM135,Verdivurdering!$B$2:$K$100,15,FALSE))</f>
        <v/>
      </c>
      <c r="AO135" s="22"/>
      <c r="AP135" s="22" t="str">
        <f>IF(AO135="","",VLOOKUP(AO135,Verdivurdering!$B$2:$K$100,15,FALSE))</f>
        <v/>
      </c>
      <c r="AQ135" s="22"/>
      <c r="AR135" s="22" t="str">
        <f>IF(AQ135="","",VLOOKUP(AQ135,Verdivurdering!$B$2:$K$100,15,FALSE))</f>
        <v/>
      </c>
      <c r="AS135" s="22"/>
      <c r="AT135" s="22" t="str">
        <f>IF(AS135="","",VLOOKUP(AS135,Verdivurdering!$B$2:$K$100,15,FALSE))</f>
        <v/>
      </c>
      <c r="AU135" s="22"/>
      <c r="AV135" s="22" t="str">
        <f>IF(AU135="","",VLOOKUP(AU135,Verdivurdering!$B$2:$K$100,15,FALSE))</f>
        <v/>
      </c>
      <c r="AW135" s="22"/>
      <c r="AX135" s="21" t="str">
        <f>IF(AW135="","",VLOOKUP(AW135,Verdivurdering!$B$2:$K$100,15,FALSE))</f>
        <v/>
      </c>
      <c r="AY135" s="19" t="e">
        <f t="shared" ref="AY135:AY151" si="3">IF(MAX(Y135:AX135)&gt;0,MAX(Y135:AX135),"")</f>
        <v>#N/A</v>
      </c>
      <c r="AZ135" s="19" t="str">
        <f>IF(ISNUMBER(AY135),VLOOKUP(AY135,'Datasource 2'!$H$14:$I$18,2,FALSE),"")</f>
        <v/>
      </c>
      <c r="BA135" s="39"/>
      <c r="BB135" s="27" t="e">
        <f>_xlfn.IFNA(VLOOKUP(BA135,'Datasource 2'!I$14:$J$18,2,FALSE),AY135)</f>
        <v>#N/A</v>
      </c>
    </row>
    <row r="136" spans="1:54" x14ac:dyDescent="0.25">
      <c r="A136" s="37">
        <v>135</v>
      </c>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39"/>
      <c r="Z136" s="22" t="e">
        <f>VLOOKUP(Y136,'Datasource 2'!$I$14:$J$18,2,FALSE)</f>
        <v>#N/A</v>
      </c>
      <c r="AA136" s="22"/>
      <c r="AB136" s="22" t="str">
        <f>IF(AA136="","",VLOOKUP(AA136,Verdivurdering!$B$2:$K$100,15,FALSE))</f>
        <v/>
      </c>
      <c r="AC136" s="22"/>
      <c r="AD136" s="22" t="str">
        <f>IF(AC136="","",VLOOKUP(AC136,Verdivurdering!$B$2:$K$100,15,FALSE))</f>
        <v/>
      </c>
      <c r="AE136" s="22"/>
      <c r="AF136" s="22" t="str">
        <f>IF(AE136="","",VLOOKUP(AE136,Verdivurdering!$B$2:$K$100,15,FALSE))</f>
        <v/>
      </c>
      <c r="AG136" s="22"/>
      <c r="AH136" s="22" t="str">
        <f>IF(AG136="","",VLOOKUP(AG136,Verdivurdering!$B$2:$K$100,15,FALSE))</f>
        <v/>
      </c>
      <c r="AI136" s="22"/>
      <c r="AJ136" s="22" t="str">
        <f>IF(AI136="","",VLOOKUP(AI136,Verdivurdering!$B$2:$K$100,15,FALSE))</f>
        <v/>
      </c>
      <c r="AK136" s="22"/>
      <c r="AL136" s="22" t="str">
        <f>IF(AK136="","",VLOOKUP(AK136,Verdivurdering!$B$2:$K$100,15,FALSE))</f>
        <v/>
      </c>
      <c r="AM136" s="22"/>
      <c r="AN136" s="22" t="str">
        <f>IF(AM136="","",VLOOKUP(AM136,Verdivurdering!$B$2:$K$100,15,FALSE))</f>
        <v/>
      </c>
      <c r="AO136" s="22"/>
      <c r="AP136" s="22" t="str">
        <f>IF(AO136="","",VLOOKUP(AO136,Verdivurdering!$B$2:$K$100,15,FALSE))</f>
        <v/>
      </c>
      <c r="AQ136" s="22"/>
      <c r="AR136" s="22" t="str">
        <f>IF(AQ136="","",VLOOKUP(AQ136,Verdivurdering!$B$2:$K$100,15,FALSE))</f>
        <v/>
      </c>
      <c r="AS136" s="22"/>
      <c r="AT136" s="22" t="str">
        <f>IF(AS136="","",VLOOKUP(AS136,Verdivurdering!$B$2:$K$100,15,FALSE))</f>
        <v/>
      </c>
      <c r="AU136" s="22"/>
      <c r="AV136" s="22" t="str">
        <f>IF(AU136="","",VLOOKUP(AU136,Verdivurdering!$B$2:$K$100,15,FALSE))</f>
        <v/>
      </c>
      <c r="AW136" s="22"/>
      <c r="AX136" s="21" t="str">
        <f>IF(AW136="","",VLOOKUP(AW136,Verdivurdering!$B$2:$K$100,15,FALSE))</f>
        <v/>
      </c>
      <c r="AY136" s="19" t="e">
        <f t="shared" si="3"/>
        <v>#N/A</v>
      </c>
      <c r="AZ136" s="19" t="str">
        <f>IF(ISNUMBER(AY136),VLOOKUP(AY136,'Datasource 2'!$H$14:$I$18,2,FALSE),"")</f>
        <v/>
      </c>
      <c r="BA136" s="39"/>
      <c r="BB136" s="27" t="e">
        <f>_xlfn.IFNA(VLOOKUP(BA136,'Datasource 2'!I$14:$J$18,2,FALSE),AY136)</f>
        <v>#N/A</v>
      </c>
    </row>
    <row r="137" spans="1:54" x14ac:dyDescent="0.25">
      <c r="A137" s="37">
        <v>136</v>
      </c>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39"/>
      <c r="Z137" s="22" t="e">
        <f>VLOOKUP(Y137,'Datasource 2'!$I$14:$J$18,2,FALSE)</f>
        <v>#N/A</v>
      </c>
      <c r="AA137" s="22"/>
      <c r="AB137" s="22" t="str">
        <f>IF(AA137="","",VLOOKUP(AA137,Verdivurdering!$B$2:$K$100,15,FALSE))</f>
        <v/>
      </c>
      <c r="AC137" s="22"/>
      <c r="AD137" s="22" t="str">
        <f>IF(AC137="","",VLOOKUP(AC137,Verdivurdering!$B$2:$K$100,15,FALSE))</f>
        <v/>
      </c>
      <c r="AE137" s="22"/>
      <c r="AF137" s="22" t="str">
        <f>IF(AE137="","",VLOOKUP(AE137,Verdivurdering!$B$2:$K$100,15,FALSE))</f>
        <v/>
      </c>
      <c r="AG137" s="22"/>
      <c r="AH137" s="22" t="str">
        <f>IF(AG137="","",VLOOKUP(AG137,Verdivurdering!$B$2:$K$100,15,FALSE))</f>
        <v/>
      </c>
      <c r="AI137" s="22"/>
      <c r="AJ137" s="22" t="str">
        <f>IF(AI137="","",VLOOKUP(AI137,Verdivurdering!$B$2:$K$100,15,FALSE))</f>
        <v/>
      </c>
      <c r="AK137" s="22"/>
      <c r="AL137" s="22" t="str">
        <f>IF(AK137="","",VLOOKUP(AK137,Verdivurdering!$B$2:$K$100,15,FALSE))</f>
        <v/>
      </c>
      <c r="AM137" s="22"/>
      <c r="AN137" s="22" t="str">
        <f>IF(AM137="","",VLOOKUP(AM137,Verdivurdering!$B$2:$K$100,15,FALSE))</f>
        <v/>
      </c>
      <c r="AO137" s="22"/>
      <c r="AP137" s="22" t="str">
        <f>IF(AO137="","",VLOOKUP(AO137,Verdivurdering!$B$2:$K$100,15,FALSE))</f>
        <v/>
      </c>
      <c r="AQ137" s="22"/>
      <c r="AR137" s="22" t="str">
        <f>IF(AQ137="","",VLOOKUP(AQ137,Verdivurdering!$B$2:$K$100,15,FALSE))</f>
        <v/>
      </c>
      <c r="AS137" s="22"/>
      <c r="AT137" s="22" t="str">
        <f>IF(AS137="","",VLOOKUP(AS137,Verdivurdering!$B$2:$K$100,15,FALSE))</f>
        <v/>
      </c>
      <c r="AU137" s="22"/>
      <c r="AV137" s="22" t="str">
        <f>IF(AU137="","",VLOOKUP(AU137,Verdivurdering!$B$2:$K$100,15,FALSE))</f>
        <v/>
      </c>
      <c r="AW137" s="22"/>
      <c r="AX137" s="21" t="str">
        <f>IF(AW137="","",VLOOKUP(AW137,Verdivurdering!$B$2:$K$100,15,FALSE))</f>
        <v/>
      </c>
      <c r="AY137" s="19" t="e">
        <f t="shared" si="3"/>
        <v>#N/A</v>
      </c>
      <c r="AZ137" s="19" t="str">
        <f>IF(ISNUMBER(AY137),VLOOKUP(AY137,'Datasource 2'!$H$14:$I$18,2,FALSE),"")</f>
        <v/>
      </c>
      <c r="BA137" s="39"/>
      <c r="BB137" s="27" t="e">
        <f>_xlfn.IFNA(VLOOKUP(BA137,'Datasource 2'!I$14:$J$18,2,FALSE),AY137)</f>
        <v>#N/A</v>
      </c>
    </row>
    <row r="138" spans="1:54" x14ac:dyDescent="0.25">
      <c r="A138" s="37">
        <v>137</v>
      </c>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39"/>
      <c r="Z138" s="22" t="e">
        <f>VLOOKUP(Y138,'Datasource 2'!$I$14:$J$18,2,FALSE)</f>
        <v>#N/A</v>
      </c>
      <c r="AA138" s="22"/>
      <c r="AB138" s="22" t="str">
        <f>IF(AA138="","",VLOOKUP(AA138,Verdivurdering!$B$2:$K$100,15,FALSE))</f>
        <v/>
      </c>
      <c r="AC138" s="22"/>
      <c r="AD138" s="22" t="str">
        <f>IF(AC138="","",VLOOKUP(AC138,Verdivurdering!$B$2:$K$100,15,FALSE))</f>
        <v/>
      </c>
      <c r="AE138" s="22"/>
      <c r="AF138" s="22" t="str">
        <f>IF(AE138="","",VLOOKUP(AE138,Verdivurdering!$B$2:$K$100,15,FALSE))</f>
        <v/>
      </c>
      <c r="AG138" s="22"/>
      <c r="AH138" s="22" t="str">
        <f>IF(AG138="","",VLOOKUP(AG138,Verdivurdering!$B$2:$K$100,15,FALSE))</f>
        <v/>
      </c>
      <c r="AI138" s="22"/>
      <c r="AJ138" s="22" t="str">
        <f>IF(AI138="","",VLOOKUP(AI138,Verdivurdering!$B$2:$K$100,15,FALSE))</f>
        <v/>
      </c>
      <c r="AK138" s="22"/>
      <c r="AL138" s="22" t="str">
        <f>IF(AK138="","",VLOOKUP(AK138,Verdivurdering!$B$2:$K$100,15,FALSE))</f>
        <v/>
      </c>
      <c r="AM138" s="22"/>
      <c r="AN138" s="22" t="str">
        <f>IF(AM138="","",VLOOKUP(AM138,Verdivurdering!$B$2:$K$100,15,FALSE))</f>
        <v/>
      </c>
      <c r="AO138" s="22"/>
      <c r="AP138" s="22" t="str">
        <f>IF(AO138="","",VLOOKUP(AO138,Verdivurdering!$B$2:$K$100,15,FALSE))</f>
        <v/>
      </c>
      <c r="AQ138" s="22"/>
      <c r="AR138" s="22" t="str">
        <f>IF(AQ138="","",VLOOKUP(AQ138,Verdivurdering!$B$2:$K$100,15,FALSE))</f>
        <v/>
      </c>
      <c r="AS138" s="22"/>
      <c r="AT138" s="22" t="str">
        <f>IF(AS138="","",VLOOKUP(AS138,Verdivurdering!$B$2:$K$100,15,FALSE))</f>
        <v/>
      </c>
      <c r="AU138" s="22"/>
      <c r="AV138" s="22" t="str">
        <f>IF(AU138="","",VLOOKUP(AU138,Verdivurdering!$B$2:$K$100,15,FALSE))</f>
        <v/>
      </c>
      <c r="AW138" s="22"/>
      <c r="AX138" s="21" t="str">
        <f>IF(AW138="","",VLOOKUP(AW138,Verdivurdering!$B$2:$K$100,15,FALSE))</f>
        <v/>
      </c>
      <c r="AY138" s="19" t="e">
        <f t="shared" si="3"/>
        <v>#N/A</v>
      </c>
      <c r="AZ138" s="19" t="str">
        <f>IF(ISNUMBER(AY138),VLOOKUP(AY138,'Datasource 2'!$H$14:$I$18,2,FALSE),"")</f>
        <v/>
      </c>
      <c r="BA138" s="39"/>
      <c r="BB138" s="27" t="e">
        <f>_xlfn.IFNA(VLOOKUP(BA138,'Datasource 2'!I$14:$J$18,2,FALSE),AY138)</f>
        <v>#N/A</v>
      </c>
    </row>
    <row r="139" spans="1:54" x14ac:dyDescent="0.25">
      <c r="A139" s="37">
        <v>138</v>
      </c>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39"/>
      <c r="Z139" s="22" t="e">
        <f>VLOOKUP(Y139,'Datasource 2'!$I$14:$J$18,2,FALSE)</f>
        <v>#N/A</v>
      </c>
      <c r="AA139" s="22"/>
      <c r="AB139" s="22" t="str">
        <f>IF(AA139="","",VLOOKUP(AA139,Verdivurdering!$B$2:$K$100,15,FALSE))</f>
        <v/>
      </c>
      <c r="AC139" s="22"/>
      <c r="AD139" s="22" t="str">
        <f>IF(AC139="","",VLOOKUP(AC139,Verdivurdering!$B$2:$K$100,15,FALSE))</f>
        <v/>
      </c>
      <c r="AE139" s="22"/>
      <c r="AF139" s="22" t="str">
        <f>IF(AE139="","",VLOOKUP(AE139,Verdivurdering!$B$2:$K$100,15,FALSE))</f>
        <v/>
      </c>
      <c r="AG139" s="22"/>
      <c r="AH139" s="22" t="str">
        <f>IF(AG139="","",VLOOKUP(AG139,Verdivurdering!$B$2:$K$100,15,FALSE))</f>
        <v/>
      </c>
      <c r="AI139" s="22"/>
      <c r="AJ139" s="22" t="str">
        <f>IF(AI139="","",VLOOKUP(AI139,Verdivurdering!$B$2:$K$100,15,FALSE))</f>
        <v/>
      </c>
      <c r="AK139" s="22"/>
      <c r="AL139" s="22" t="str">
        <f>IF(AK139="","",VLOOKUP(AK139,Verdivurdering!$B$2:$K$100,15,FALSE))</f>
        <v/>
      </c>
      <c r="AM139" s="22"/>
      <c r="AN139" s="22" t="str">
        <f>IF(AM139="","",VLOOKUP(AM139,Verdivurdering!$B$2:$K$100,15,FALSE))</f>
        <v/>
      </c>
      <c r="AO139" s="22"/>
      <c r="AP139" s="22" t="str">
        <f>IF(AO139="","",VLOOKUP(AO139,Verdivurdering!$B$2:$K$100,15,FALSE))</f>
        <v/>
      </c>
      <c r="AQ139" s="22"/>
      <c r="AR139" s="22" t="str">
        <f>IF(AQ139="","",VLOOKUP(AQ139,Verdivurdering!$B$2:$K$100,15,FALSE))</f>
        <v/>
      </c>
      <c r="AS139" s="22"/>
      <c r="AT139" s="22" t="str">
        <f>IF(AS139="","",VLOOKUP(AS139,Verdivurdering!$B$2:$K$100,15,FALSE))</f>
        <v/>
      </c>
      <c r="AU139" s="22"/>
      <c r="AV139" s="22" t="str">
        <f>IF(AU139="","",VLOOKUP(AU139,Verdivurdering!$B$2:$K$100,15,FALSE))</f>
        <v/>
      </c>
      <c r="AW139" s="22"/>
      <c r="AX139" s="21" t="str">
        <f>IF(AW139="","",VLOOKUP(AW139,Verdivurdering!$B$2:$K$100,15,FALSE))</f>
        <v/>
      </c>
      <c r="AY139" s="19" t="e">
        <f t="shared" si="3"/>
        <v>#N/A</v>
      </c>
      <c r="AZ139" s="19" t="str">
        <f>IF(ISNUMBER(AY139),VLOOKUP(AY139,'Datasource 2'!$H$14:$I$18,2,FALSE),"")</f>
        <v/>
      </c>
      <c r="BA139" s="39"/>
      <c r="BB139" s="27" t="e">
        <f>_xlfn.IFNA(VLOOKUP(BA139,'Datasource 2'!I$14:$J$18,2,FALSE),AY139)</f>
        <v>#N/A</v>
      </c>
    </row>
    <row r="140" spans="1:54" x14ac:dyDescent="0.25">
      <c r="A140" s="37">
        <v>139</v>
      </c>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39"/>
      <c r="Z140" s="22" t="e">
        <f>VLOOKUP(Y140,'Datasource 2'!$I$14:$J$18,2,FALSE)</f>
        <v>#N/A</v>
      </c>
      <c r="AA140" s="22"/>
      <c r="AB140" s="22" t="str">
        <f>IF(AA140="","",VLOOKUP(AA140,Verdivurdering!$B$2:$K$100,15,FALSE))</f>
        <v/>
      </c>
      <c r="AC140" s="22"/>
      <c r="AD140" s="22" t="str">
        <f>IF(AC140="","",VLOOKUP(AC140,Verdivurdering!$B$2:$K$100,15,FALSE))</f>
        <v/>
      </c>
      <c r="AE140" s="22"/>
      <c r="AF140" s="22" t="str">
        <f>IF(AE140="","",VLOOKUP(AE140,Verdivurdering!$B$2:$K$100,15,FALSE))</f>
        <v/>
      </c>
      <c r="AG140" s="22"/>
      <c r="AH140" s="22" t="str">
        <f>IF(AG140="","",VLOOKUP(AG140,Verdivurdering!$B$2:$K$100,15,FALSE))</f>
        <v/>
      </c>
      <c r="AI140" s="22"/>
      <c r="AJ140" s="22" t="str">
        <f>IF(AI140="","",VLOOKUP(AI140,Verdivurdering!$B$2:$K$100,15,FALSE))</f>
        <v/>
      </c>
      <c r="AK140" s="22"/>
      <c r="AL140" s="22" t="str">
        <f>IF(AK140="","",VLOOKUP(AK140,Verdivurdering!$B$2:$K$100,15,FALSE))</f>
        <v/>
      </c>
      <c r="AM140" s="22"/>
      <c r="AN140" s="22" t="str">
        <f>IF(AM140="","",VLOOKUP(AM140,Verdivurdering!$B$2:$K$100,15,FALSE))</f>
        <v/>
      </c>
      <c r="AO140" s="22"/>
      <c r="AP140" s="22" t="str">
        <f>IF(AO140="","",VLOOKUP(AO140,Verdivurdering!$B$2:$K$100,15,FALSE))</f>
        <v/>
      </c>
      <c r="AQ140" s="22"/>
      <c r="AR140" s="22" t="str">
        <f>IF(AQ140="","",VLOOKUP(AQ140,Verdivurdering!$B$2:$K$100,15,FALSE))</f>
        <v/>
      </c>
      <c r="AS140" s="22"/>
      <c r="AT140" s="22" t="str">
        <f>IF(AS140="","",VLOOKUP(AS140,Verdivurdering!$B$2:$K$100,15,FALSE))</f>
        <v/>
      </c>
      <c r="AU140" s="22"/>
      <c r="AV140" s="22" t="str">
        <f>IF(AU140="","",VLOOKUP(AU140,Verdivurdering!$B$2:$K$100,15,FALSE))</f>
        <v/>
      </c>
      <c r="AW140" s="22"/>
      <c r="AX140" s="21" t="str">
        <f>IF(AW140="","",VLOOKUP(AW140,Verdivurdering!$B$2:$K$100,15,FALSE))</f>
        <v/>
      </c>
      <c r="AY140" s="19" t="e">
        <f t="shared" si="3"/>
        <v>#N/A</v>
      </c>
      <c r="AZ140" s="19" t="str">
        <f>IF(ISNUMBER(AY140),VLOOKUP(AY140,'Datasource 2'!$H$14:$I$18,2,FALSE),"")</f>
        <v/>
      </c>
      <c r="BA140" s="39"/>
      <c r="BB140" s="27" t="e">
        <f>_xlfn.IFNA(VLOOKUP(BA140,'Datasource 2'!I$14:$J$18,2,FALSE),AY140)</f>
        <v>#N/A</v>
      </c>
    </row>
    <row r="141" spans="1:54" x14ac:dyDescent="0.25">
      <c r="A141" s="37">
        <v>140</v>
      </c>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39"/>
      <c r="Z141" s="22" t="e">
        <f>VLOOKUP(Y141,'Datasource 2'!$I$14:$J$18,2,FALSE)</f>
        <v>#N/A</v>
      </c>
      <c r="AA141" s="22"/>
      <c r="AB141" s="22" t="str">
        <f>IF(AA141="","",VLOOKUP(AA141,Verdivurdering!$B$2:$K$100,15,FALSE))</f>
        <v/>
      </c>
      <c r="AC141" s="22"/>
      <c r="AD141" s="22" t="str">
        <f>IF(AC141="","",VLOOKUP(AC141,Verdivurdering!$B$2:$K$100,15,FALSE))</f>
        <v/>
      </c>
      <c r="AE141" s="22"/>
      <c r="AF141" s="22" t="str">
        <f>IF(AE141="","",VLOOKUP(AE141,Verdivurdering!$B$2:$K$100,15,FALSE))</f>
        <v/>
      </c>
      <c r="AG141" s="22"/>
      <c r="AH141" s="22" t="str">
        <f>IF(AG141="","",VLOOKUP(AG141,Verdivurdering!$B$2:$K$100,15,FALSE))</f>
        <v/>
      </c>
      <c r="AI141" s="22"/>
      <c r="AJ141" s="22" t="str">
        <f>IF(AI141="","",VLOOKUP(AI141,Verdivurdering!$B$2:$K$100,15,FALSE))</f>
        <v/>
      </c>
      <c r="AK141" s="22"/>
      <c r="AL141" s="22" t="str">
        <f>IF(AK141="","",VLOOKUP(AK141,Verdivurdering!$B$2:$K$100,15,FALSE))</f>
        <v/>
      </c>
      <c r="AM141" s="22"/>
      <c r="AN141" s="22" t="str">
        <f>IF(AM141="","",VLOOKUP(AM141,Verdivurdering!$B$2:$K$100,15,FALSE))</f>
        <v/>
      </c>
      <c r="AO141" s="22"/>
      <c r="AP141" s="22" t="str">
        <f>IF(AO141="","",VLOOKUP(AO141,Verdivurdering!$B$2:$K$100,15,FALSE))</f>
        <v/>
      </c>
      <c r="AQ141" s="22"/>
      <c r="AR141" s="22" t="str">
        <f>IF(AQ141="","",VLOOKUP(AQ141,Verdivurdering!$B$2:$K$100,15,FALSE))</f>
        <v/>
      </c>
      <c r="AS141" s="22"/>
      <c r="AT141" s="22" t="str">
        <f>IF(AS141="","",VLOOKUP(AS141,Verdivurdering!$B$2:$K$100,15,FALSE))</f>
        <v/>
      </c>
      <c r="AU141" s="22"/>
      <c r="AV141" s="22" t="str">
        <f>IF(AU141="","",VLOOKUP(AU141,Verdivurdering!$B$2:$K$100,15,FALSE))</f>
        <v/>
      </c>
      <c r="AW141" s="22"/>
      <c r="AX141" s="21" t="str">
        <f>IF(AW141="","",VLOOKUP(AW141,Verdivurdering!$B$2:$K$100,15,FALSE))</f>
        <v/>
      </c>
      <c r="AY141" s="19" t="e">
        <f t="shared" si="3"/>
        <v>#N/A</v>
      </c>
      <c r="AZ141" s="19" t="str">
        <f>IF(ISNUMBER(AY141),VLOOKUP(AY141,'Datasource 2'!$H$14:$I$18,2,FALSE),"")</f>
        <v/>
      </c>
      <c r="BA141" s="39"/>
      <c r="BB141" s="27" t="e">
        <f>_xlfn.IFNA(VLOOKUP(BA141,'Datasource 2'!I$14:$J$18,2,FALSE),AY141)</f>
        <v>#N/A</v>
      </c>
    </row>
    <row r="142" spans="1:54" x14ac:dyDescent="0.25">
      <c r="A142" s="37">
        <v>141</v>
      </c>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39"/>
      <c r="Z142" s="22" t="e">
        <f>VLOOKUP(Y142,'Datasource 2'!$I$14:$J$18,2,FALSE)</f>
        <v>#N/A</v>
      </c>
      <c r="AA142" s="22"/>
      <c r="AB142" s="22" t="str">
        <f>IF(AA142="","",VLOOKUP(AA142,Verdivurdering!$B$2:$K$100,15,FALSE))</f>
        <v/>
      </c>
      <c r="AC142" s="22"/>
      <c r="AD142" s="22" t="str">
        <f>IF(AC142="","",VLOOKUP(AC142,Verdivurdering!$B$2:$K$100,15,FALSE))</f>
        <v/>
      </c>
      <c r="AE142" s="22"/>
      <c r="AF142" s="22" t="str">
        <f>IF(AE142="","",VLOOKUP(AE142,Verdivurdering!$B$2:$K$100,15,FALSE))</f>
        <v/>
      </c>
      <c r="AG142" s="22"/>
      <c r="AH142" s="22" t="str">
        <f>IF(AG142="","",VLOOKUP(AG142,Verdivurdering!$B$2:$K$100,15,FALSE))</f>
        <v/>
      </c>
      <c r="AI142" s="22"/>
      <c r="AJ142" s="22" t="str">
        <f>IF(AI142="","",VLOOKUP(AI142,Verdivurdering!$B$2:$K$100,15,FALSE))</f>
        <v/>
      </c>
      <c r="AK142" s="22"/>
      <c r="AL142" s="22" t="str">
        <f>IF(AK142="","",VLOOKUP(AK142,Verdivurdering!$B$2:$K$100,15,FALSE))</f>
        <v/>
      </c>
      <c r="AM142" s="22"/>
      <c r="AN142" s="22" t="str">
        <f>IF(AM142="","",VLOOKUP(AM142,Verdivurdering!$B$2:$K$100,15,FALSE))</f>
        <v/>
      </c>
      <c r="AO142" s="22"/>
      <c r="AP142" s="22" t="str">
        <f>IF(AO142="","",VLOOKUP(AO142,Verdivurdering!$B$2:$K$100,15,FALSE))</f>
        <v/>
      </c>
      <c r="AQ142" s="22"/>
      <c r="AR142" s="22" t="str">
        <f>IF(AQ142="","",VLOOKUP(AQ142,Verdivurdering!$B$2:$K$100,15,FALSE))</f>
        <v/>
      </c>
      <c r="AS142" s="22"/>
      <c r="AT142" s="22" t="str">
        <f>IF(AS142="","",VLOOKUP(AS142,Verdivurdering!$B$2:$K$100,15,FALSE))</f>
        <v/>
      </c>
      <c r="AU142" s="22"/>
      <c r="AV142" s="22" t="str">
        <f>IF(AU142="","",VLOOKUP(AU142,Verdivurdering!$B$2:$K$100,15,FALSE))</f>
        <v/>
      </c>
      <c r="AW142" s="22"/>
      <c r="AX142" s="21" t="str">
        <f>IF(AW142="","",VLOOKUP(AW142,Verdivurdering!$B$2:$K$100,15,FALSE))</f>
        <v/>
      </c>
      <c r="AY142" s="19" t="e">
        <f t="shared" si="3"/>
        <v>#N/A</v>
      </c>
      <c r="AZ142" s="19" t="str">
        <f>IF(ISNUMBER(AY142),VLOOKUP(AY142,'Datasource 2'!$H$14:$I$18,2,FALSE),"")</f>
        <v/>
      </c>
      <c r="BA142" s="39"/>
      <c r="BB142" s="27" t="e">
        <f>_xlfn.IFNA(VLOOKUP(BA142,'Datasource 2'!I$14:$J$18,2,FALSE),AY142)</f>
        <v>#N/A</v>
      </c>
    </row>
    <row r="143" spans="1:54" x14ac:dyDescent="0.25">
      <c r="A143" s="37">
        <v>142</v>
      </c>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39"/>
      <c r="Z143" s="22" t="e">
        <f>VLOOKUP(Y143,'Datasource 2'!$I$14:$J$18,2,FALSE)</f>
        <v>#N/A</v>
      </c>
      <c r="AA143" s="22"/>
      <c r="AB143" s="22" t="str">
        <f>IF(AA143="","",VLOOKUP(AA143,Verdivurdering!$B$2:$K$100,15,FALSE))</f>
        <v/>
      </c>
      <c r="AC143" s="22"/>
      <c r="AD143" s="22" t="str">
        <f>IF(AC143="","",VLOOKUP(AC143,Verdivurdering!$B$2:$K$100,15,FALSE))</f>
        <v/>
      </c>
      <c r="AE143" s="22"/>
      <c r="AF143" s="22" t="str">
        <f>IF(AE143="","",VLOOKUP(AE143,Verdivurdering!$B$2:$K$100,15,FALSE))</f>
        <v/>
      </c>
      <c r="AG143" s="22"/>
      <c r="AH143" s="22" t="str">
        <f>IF(AG143="","",VLOOKUP(AG143,Verdivurdering!$B$2:$K$100,15,FALSE))</f>
        <v/>
      </c>
      <c r="AI143" s="22"/>
      <c r="AJ143" s="22" t="str">
        <f>IF(AI143="","",VLOOKUP(AI143,Verdivurdering!$B$2:$K$100,15,FALSE))</f>
        <v/>
      </c>
      <c r="AK143" s="22"/>
      <c r="AL143" s="22" t="str">
        <f>IF(AK143="","",VLOOKUP(AK143,Verdivurdering!$B$2:$K$100,15,FALSE))</f>
        <v/>
      </c>
      <c r="AM143" s="22"/>
      <c r="AN143" s="22" t="str">
        <f>IF(AM143="","",VLOOKUP(AM143,Verdivurdering!$B$2:$K$100,15,FALSE))</f>
        <v/>
      </c>
      <c r="AO143" s="22"/>
      <c r="AP143" s="22" t="str">
        <f>IF(AO143="","",VLOOKUP(AO143,Verdivurdering!$B$2:$K$100,15,FALSE))</f>
        <v/>
      </c>
      <c r="AQ143" s="22"/>
      <c r="AR143" s="22" t="str">
        <f>IF(AQ143="","",VLOOKUP(AQ143,Verdivurdering!$B$2:$K$100,15,FALSE))</f>
        <v/>
      </c>
      <c r="AS143" s="22"/>
      <c r="AT143" s="22" t="str">
        <f>IF(AS143="","",VLOOKUP(AS143,Verdivurdering!$B$2:$K$100,15,FALSE))</f>
        <v/>
      </c>
      <c r="AU143" s="22"/>
      <c r="AV143" s="22" t="str">
        <f>IF(AU143="","",VLOOKUP(AU143,Verdivurdering!$B$2:$K$100,15,FALSE))</f>
        <v/>
      </c>
      <c r="AW143" s="22"/>
      <c r="AX143" s="21" t="str">
        <f>IF(AW143="","",VLOOKUP(AW143,Verdivurdering!$B$2:$K$100,15,FALSE))</f>
        <v/>
      </c>
      <c r="AY143" s="19" t="e">
        <f t="shared" si="3"/>
        <v>#N/A</v>
      </c>
      <c r="AZ143" s="19" t="str">
        <f>IF(ISNUMBER(AY143),VLOOKUP(AY143,'Datasource 2'!$H$14:$I$18,2,FALSE),"")</f>
        <v/>
      </c>
      <c r="BA143" s="39"/>
      <c r="BB143" s="27" t="e">
        <f>_xlfn.IFNA(VLOOKUP(BA143,'Datasource 2'!I$14:$J$18,2,FALSE),AY143)</f>
        <v>#N/A</v>
      </c>
    </row>
    <row r="144" spans="1:54" x14ac:dyDescent="0.25">
      <c r="A144" s="37">
        <v>143</v>
      </c>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39"/>
      <c r="Z144" s="22" t="e">
        <f>VLOOKUP(Y144,'Datasource 2'!$I$14:$J$18,2,FALSE)</f>
        <v>#N/A</v>
      </c>
      <c r="AA144" s="22"/>
      <c r="AB144" s="22" t="str">
        <f>IF(AA144="","",VLOOKUP(AA144,Verdivurdering!$B$2:$K$100,15,FALSE))</f>
        <v/>
      </c>
      <c r="AC144" s="22"/>
      <c r="AD144" s="22" t="str">
        <f>IF(AC144="","",VLOOKUP(AC144,Verdivurdering!$B$2:$K$100,15,FALSE))</f>
        <v/>
      </c>
      <c r="AE144" s="22"/>
      <c r="AF144" s="22" t="str">
        <f>IF(AE144="","",VLOOKUP(AE144,Verdivurdering!$B$2:$K$100,15,FALSE))</f>
        <v/>
      </c>
      <c r="AG144" s="22"/>
      <c r="AH144" s="22" t="str">
        <f>IF(AG144="","",VLOOKUP(AG144,Verdivurdering!$B$2:$K$100,15,FALSE))</f>
        <v/>
      </c>
      <c r="AI144" s="22"/>
      <c r="AJ144" s="22" t="str">
        <f>IF(AI144="","",VLOOKUP(AI144,Verdivurdering!$B$2:$K$100,15,FALSE))</f>
        <v/>
      </c>
      <c r="AK144" s="22"/>
      <c r="AL144" s="22" t="str">
        <f>IF(AK144="","",VLOOKUP(AK144,Verdivurdering!$B$2:$K$100,15,FALSE))</f>
        <v/>
      </c>
      <c r="AM144" s="22"/>
      <c r="AN144" s="22" t="str">
        <f>IF(AM144="","",VLOOKUP(AM144,Verdivurdering!$B$2:$K$100,15,FALSE))</f>
        <v/>
      </c>
      <c r="AO144" s="22"/>
      <c r="AP144" s="22" t="str">
        <f>IF(AO144="","",VLOOKUP(AO144,Verdivurdering!$B$2:$K$100,15,FALSE))</f>
        <v/>
      </c>
      <c r="AQ144" s="22"/>
      <c r="AR144" s="22" t="str">
        <f>IF(AQ144="","",VLOOKUP(AQ144,Verdivurdering!$B$2:$K$100,15,FALSE))</f>
        <v/>
      </c>
      <c r="AS144" s="22"/>
      <c r="AT144" s="22" t="str">
        <f>IF(AS144="","",VLOOKUP(AS144,Verdivurdering!$B$2:$K$100,15,FALSE))</f>
        <v/>
      </c>
      <c r="AU144" s="22"/>
      <c r="AV144" s="22" t="str">
        <f>IF(AU144="","",VLOOKUP(AU144,Verdivurdering!$B$2:$K$100,15,FALSE))</f>
        <v/>
      </c>
      <c r="AW144" s="22"/>
      <c r="AX144" s="21" t="str">
        <f>IF(AW144="","",VLOOKUP(AW144,Verdivurdering!$B$2:$K$100,15,FALSE))</f>
        <v/>
      </c>
      <c r="AY144" s="19" t="e">
        <f t="shared" si="3"/>
        <v>#N/A</v>
      </c>
      <c r="AZ144" s="19" t="str">
        <f>IF(ISNUMBER(AY144),VLOOKUP(AY144,'Datasource 2'!$H$14:$I$18,2,FALSE),"")</f>
        <v/>
      </c>
      <c r="BA144" s="39"/>
      <c r="BB144" s="27" t="e">
        <f>_xlfn.IFNA(VLOOKUP(BA144,'Datasource 2'!I$14:$J$18,2,FALSE),AY144)</f>
        <v>#N/A</v>
      </c>
    </row>
    <row r="145" spans="1:54" x14ac:dyDescent="0.25">
      <c r="A145" s="37">
        <v>144</v>
      </c>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39"/>
      <c r="Z145" s="22" t="e">
        <f>VLOOKUP(Y145,'Datasource 2'!$I$14:$J$18,2,FALSE)</f>
        <v>#N/A</v>
      </c>
      <c r="AA145" s="22"/>
      <c r="AB145" s="22" t="str">
        <f>IF(AA145="","",VLOOKUP(AA145,Verdivurdering!$B$2:$K$100,15,FALSE))</f>
        <v/>
      </c>
      <c r="AC145" s="22"/>
      <c r="AD145" s="22" t="str">
        <f>IF(AC145="","",VLOOKUP(AC145,Verdivurdering!$B$2:$K$100,15,FALSE))</f>
        <v/>
      </c>
      <c r="AE145" s="22"/>
      <c r="AF145" s="22" t="str">
        <f>IF(AE145="","",VLOOKUP(AE145,Verdivurdering!$B$2:$K$100,15,FALSE))</f>
        <v/>
      </c>
      <c r="AG145" s="22"/>
      <c r="AH145" s="22" t="str">
        <f>IF(AG145="","",VLOOKUP(AG145,Verdivurdering!$B$2:$K$100,15,FALSE))</f>
        <v/>
      </c>
      <c r="AI145" s="22"/>
      <c r="AJ145" s="22" t="str">
        <f>IF(AI145="","",VLOOKUP(AI145,Verdivurdering!$B$2:$K$100,15,FALSE))</f>
        <v/>
      </c>
      <c r="AK145" s="22"/>
      <c r="AL145" s="22" t="str">
        <f>IF(AK145="","",VLOOKUP(AK145,Verdivurdering!$B$2:$K$100,15,FALSE))</f>
        <v/>
      </c>
      <c r="AM145" s="22"/>
      <c r="AN145" s="22" t="str">
        <f>IF(AM145="","",VLOOKUP(AM145,Verdivurdering!$B$2:$K$100,15,FALSE))</f>
        <v/>
      </c>
      <c r="AO145" s="22"/>
      <c r="AP145" s="22" t="str">
        <f>IF(AO145="","",VLOOKUP(AO145,Verdivurdering!$B$2:$K$100,15,FALSE))</f>
        <v/>
      </c>
      <c r="AQ145" s="22"/>
      <c r="AR145" s="22" t="str">
        <f>IF(AQ145="","",VLOOKUP(AQ145,Verdivurdering!$B$2:$K$100,15,FALSE))</f>
        <v/>
      </c>
      <c r="AS145" s="22"/>
      <c r="AT145" s="22" t="str">
        <f>IF(AS145="","",VLOOKUP(AS145,Verdivurdering!$B$2:$K$100,15,FALSE))</f>
        <v/>
      </c>
      <c r="AU145" s="22"/>
      <c r="AV145" s="22" t="str">
        <f>IF(AU145="","",VLOOKUP(AU145,Verdivurdering!$B$2:$K$100,15,FALSE))</f>
        <v/>
      </c>
      <c r="AW145" s="22"/>
      <c r="AX145" s="21" t="str">
        <f>IF(AW145="","",VLOOKUP(AW145,Verdivurdering!$B$2:$K$100,15,FALSE))</f>
        <v/>
      </c>
      <c r="AY145" s="19" t="e">
        <f t="shared" si="3"/>
        <v>#N/A</v>
      </c>
      <c r="AZ145" s="19" t="str">
        <f>IF(ISNUMBER(AY145),VLOOKUP(AY145,'Datasource 2'!$H$14:$I$18,2,FALSE),"")</f>
        <v/>
      </c>
      <c r="BA145" s="39"/>
      <c r="BB145" s="27" t="e">
        <f>_xlfn.IFNA(VLOOKUP(BA145,'Datasource 2'!I$14:$J$18,2,FALSE),AY145)</f>
        <v>#N/A</v>
      </c>
    </row>
    <row r="146" spans="1:54" x14ac:dyDescent="0.25">
      <c r="A146" s="37">
        <v>145</v>
      </c>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39"/>
      <c r="Z146" s="22" t="e">
        <f>VLOOKUP(Y146,'Datasource 2'!$I$14:$J$18,2,FALSE)</f>
        <v>#N/A</v>
      </c>
      <c r="AA146" s="22"/>
      <c r="AB146" s="22" t="str">
        <f>IF(AA146="","",VLOOKUP(AA146,Verdivurdering!$B$2:$K$100,15,FALSE))</f>
        <v/>
      </c>
      <c r="AC146" s="22"/>
      <c r="AD146" s="22" t="str">
        <f>IF(AC146="","",VLOOKUP(AC146,Verdivurdering!$B$2:$K$100,15,FALSE))</f>
        <v/>
      </c>
      <c r="AE146" s="22"/>
      <c r="AF146" s="22" t="str">
        <f>IF(AE146="","",VLOOKUP(AE146,Verdivurdering!$B$2:$K$100,15,FALSE))</f>
        <v/>
      </c>
      <c r="AG146" s="22"/>
      <c r="AH146" s="22" t="str">
        <f>IF(AG146="","",VLOOKUP(AG146,Verdivurdering!$B$2:$K$100,15,FALSE))</f>
        <v/>
      </c>
      <c r="AI146" s="22"/>
      <c r="AJ146" s="22" t="str">
        <f>IF(AI146="","",VLOOKUP(AI146,Verdivurdering!$B$2:$K$100,15,FALSE))</f>
        <v/>
      </c>
      <c r="AK146" s="22"/>
      <c r="AL146" s="22" t="str">
        <f>IF(AK146="","",VLOOKUP(AK146,Verdivurdering!$B$2:$K$100,15,FALSE))</f>
        <v/>
      </c>
      <c r="AM146" s="22"/>
      <c r="AN146" s="22" t="str">
        <f>IF(AM146="","",VLOOKUP(AM146,Verdivurdering!$B$2:$K$100,15,FALSE))</f>
        <v/>
      </c>
      <c r="AO146" s="22"/>
      <c r="AP146" s="22" t="str">
        <f>IF(AO146="","",VLOOKUP(AO146,Verdivurdering!$B$2:$K$100,15,FALSE))</f>
        <v/>
      </c>
      <c r="AQ146" s="22"/>
      <c r="AR146" s="22" t="str">
        <f>IF(AQ146="","",VLOOKUP(AQ146,Verdivurdering!$B$2:$K$100,15,FALSE))</f>
        <v/>
      </c>
      <c r="AS146" s="22"/>
      <c r="AT146" s="22" t="str">
        <f>IF(AS146="","",VLOOKUP(AS146,Verdivurdering!$B$2:$K$100,15,FALSE))</f>
        <v/>
      </c>
      <c r="AU146" s="22"/>
      <c r="AV146" s="22" t="str">
        <f>IF(AU146="","",VLOOKUP(AU146,Verdivurdering!$B$2:$K$100,15,FALSE))</f>
        <v/>
      </c>
      <c r="AW146" s="22"/>
      <c r="AX146" s="21" t="str">
        <f>IF(AW146="","",VLOOKUP(AW146,Verdivurdering!$B$2:$K$100,15,FALSE))</f>
        <v/>
      </c>
      <c r="AY146" s="19" t="e">
        <f t="shared" si="3"/>
        <v>#N/A</v>
      </c>
      <c r="AZ146" s="19" t="str">
        <f>IF(ISNUMBER(AY146),VLOOKUP(AY146,'Datasource 2'!$H$14:$I$18,2,FALSE),"")</f>
        <v/>
      </c>
      <c r="BA146" s="39"/>
      <c r="BB146" s="27" t="e">
        <f>_xlfn.IFNA(VLOOKUP(BA146,'Datasource 2'!I$14:$J$18,2,FALSE),AY146)</f>
        <v>#N/A</v>
      </c>
    </row>
    <row r="147" spans="1:54" x14ac:dyDescent="0.25">
      <c r="A147" s="37">
        <v>146</v>
      </c>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39"/>
      <c r="Z147" s="22" t="e">
        <f>VLOOKUP(Y147,'Datasource 2'!$I$14:$J$18,2,FALSE)</f>
        <v>#N/A</v>
      </c>
      <c r="AA147" s="22"/>
      <c r="AB147" s="22" t="str">
        <f>IF(AA147="","",VLOOKUP(AA147,Verdivurdering!$B$2:$K$100,15,FALSE))</f>
        <v/>
      </c>
      <c r="AC147" s="22"/>
      <c r="AD147" s="22" t="str">
        <f>IF(AC147="","",VLOOKUP(AC147,Verdivurdering!$B$2:$K$100,15,FALSE))</f>
        <v/>
      </c>
      <c r="AE147" s="22"/>
      <c r="AF147" s="22" t="str">
        <f>IF(AE147="","",VLOOKUP(AE147,Verdivurdering!$B$2:$K$100,15,FALSE))</f>
        <v/>
      </c>
      <c r="AG147" s="22"/>
      <c r="AH147" s="22" t="str">
        <f>IF(AG147="","",VLOOKUP(AG147,Verdivurdering!$B$2:$K$100,15,FALSE))</f>
        <v/>
      </c>
      <c r="AI147" s="22"/>
      <c r="AJ147" s="22" t="str">
        <f>IF(AI147="","",VLOOKUP(AI147,Verdivurdering!$B$2:$K$100,15,FALSE))</f>
        <v/>
      </c>
      <c r="AK147" s="22"/>
      <c r="AL147" s="22" t="str">
        <f>IF(AK147="","",VLOOKUP(AK147,Verdivurdering!$B$2:$K$100,15,FALSE))</f>
        <v/>
      </c>
      <c r="AM147" s="22"/>
      <c r="AN147" s="22" t="str">
        <f>IF(AM147="","",VLOOKUP(AM147,Verdivurdering!$B$2:$K$100,15,FALSE))</f>
        <v/>
      </c>
      <c r="AO147" s="22"/>
      <c r="AP147" s="22" t="str">
        <f>IF(AO147="","",VLOOKUP(AO147,Verdivurdering!$B$2:$K$100,15,FALSE))</f>
        <v/>
      </c>
      <c r="AQ147" s="22"/>
      <c r="AR147" s="22" t="str">
        <f>IF(AQ147="","",VLOOKUP(AQ147,Verdivurdering!$B$2:$K$100,15,FALSE))</f>
        <v/>
      </c>
      <c r="AS147" s="22"/>
      <c r="AT147" s="22" t="str">
        <f>IF(AS147="","",VLOOKUP(AS147,Verdivurdering!$B$2:$K$100,15,FALSE))</f>
        <v/>
      </c>
      <c r="AU147" s="22"/>
      <c r="AV147" s="22" t="str">
        <f>IF(AU147="","",VLOOKUP(AU147,Verdivurdering!$B$2:$K$100,15,FALSE))</f>
        <v/>
      </c>
      <c r="AW147" s="22"/>
      <c r="AX147" s="21" t="str">
        <f>IF(AW147="","",VLOOKUP(AW147,Verdivurdering!$B$2:$K$100,15,FALSE))</f>
        <v/>
      </c>
      <c r="AY147" s="19" t="e">
        <f t="shared" si="3"/>
        <v>#N/A</v>
      </c>
      <c r="AZ147" s="19" t="str">
        <f>IF(ISNUMBER(AY147),VLOOKUP(AY147,'Datasource 2'!$H$14:$I$18,2,FALSE),"")</f>
        <v/>
      </c>
      <c r="BA147" s="39"/>
      <c r="BB147" s="27" t="e">
        <f>_xlfn.IFNA(VLOOKUP(BA147,'Datasource 2'!I$14:$J$18,2,FALSE),AY147)</f>
        <v>#N/A</v>
      </c>
    </row>
    <row r="148" spans="1:54" x14ac:dyDescent="0.25">
      <c r="A148" s="37">
        <v>147</v>
      </c>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39"/>
      <c r="Z148" s="22" t="e">
        <f>VLOOKUP(Y148,'Datasource 2'!$I$14:$J$18,2,FALSE)</f>
        <v>#N/A</v>
      </c>
      <c r="AA148" s="22"/>
      <c r="AB148" s="22" t="str">
        <f>IF(AA148="","",VLOOKUP(AA148,Verdivurdering!$B$2:$K$100,15,FALSE))</f>
        <v/>
      </c>
      <c r="AC148" s="22"/>
      <c r="AD148" s="22" t="str">
        <f>IF(AC148="","",VLOOKUP(AC148,Verdivurdering!$B$2:$K$100,15,FALSE))</f>
        <v/>
      </c>
      <c r="AE148" s="22"/>
      <c r="AF148" s="22" t="str">
        <f>IF(AE148="","",VLOOKUP(AE148,Verdivurdering!$B$2:$K$100,15,FALSE))</f>
        <v/>
      </c>
      <c r="AG148" s="22"/>
      <c r="AH148" s="22" t="str">
        <f>IF(AG148="","",VLOOKUP(AG148,Verdivurdering!$B$2:$K$100,15,FALSE))</f>
        <v/>
      </c>
      <c r="AI148" s="22"/>
      <c r="AJ148" s="22" t="str">
        <f>IF(AI148="","",VLOOKUP(AI148,Verdivurdering!$B$2:$K$100,15,FALSE))</f>
        <v/>
      </c>
      <c r="AK148" s="22"/>
      <c r="AL148" s="22" t="str">
        <f>IF(AK148="","",VLOOKUP(AK148,Verdivurdering!$B$2:$K$100,15,FALSE))</f>
        <v/>
      </c>
      <c r="AM148" s="22"/>
      <c r="AN148" s="22" t="str">
        <f>IF(AM148="","",VLOOKUP(AM148,Verdivurdering!$B$2:$K$100,15,FALSE))</f>
        <v/>
      </c>
      <c r="AO148" s="22"/>
      <c r="AP148" s="22" t="str">
        <f>IF(AO148="","",VLOOKUP(AO148,Verdivurdering!$B$2:$K$100,15,FALSE))</f>
        <v/>
      </c>
      <c r="AQ148" s="22"/>
      <c r="AR148" s="22" t="str">
        <f>IF(AQ148="","",VLOOKUP(AQ148,Verdivurdering!$B$2:$K$100,15,FALSE))</f>
        <v/>
      </c>
      <c r="AS148" s="22"/>
      <c r="AT148" s="22" t="str">
        <f>IF(AS148="","",VLOOKUP(AS148,Verdivurdering!$B$2:$K$100,15,FALSE))</f>
        <v/>
      </c>
      <c r="AU148" s="22"/>
      <c r="AV148" s="22" t="str">
        <f>IF(AU148="","",VLOOKUP(AU148,Verdivurdering!$B$2:$K$100,15,FALSE))</f>
        <v/>
      </c>
      <c r="AW148" s="22"/>
      <c r="AX148" s="21" t="str">
        <f>IF(AW148="","",VLOOKUP(AW148,Verdivurdering!$B$2:$K$100,15,FALSE))</f>
        <v/>
      </c>
      <c r="AY148" s="19" t="e">
        <f t="shared" si="3"/>
        <v>#N/A</v>
      </c>
      <c r="AZ148" s="19" t="str">
        <f>IF(ISNUMBER(AY148),VLOOKUP(AY148,'Datasource 2'!$H$14:$I$18,2,FALSE),"")</f>
        <v/>
      </c>
      <c r="BA148" s="39"/>
      <c r="BB148" s="27" t="e">
        <f>_xlfn.IFNA(VLOOKUP(BA148,'Datasource 2'!I$14:$J$18,2,FALSE),AY148)</f>
        <v>#N/A</v>
      </c>
    </row>
    <row r="149" spans="1:54" x14ac:dyDescent="0.25">
      <c r="A149" s="37">
        <v>148</v>
      </c>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39"/>
      <c r="Z149" s="22" t="e">
        <f>VLOOKUP(Y149,'Datasource 2'!$I$14:$J$18,2,FALSE)</f>
        <v>#N/A</v>
      </c>
      <c r="AA149" s="22"/>
      <c r="AB149" s="22" t="str">
        <f>IF(AA149="","",VLOOKUP(AA149,Verdivurdering!$B$2:$K$100,15,FALSE))</f>
        <v/>
      </c>
      <c r="AC149" s="22"/>
      <c r="AD149" s="22" t="str">
        <f>IF(AC149="","",VLOOKUP(AC149,Verdivurdering!$B$2:$K$100,15,FALSE))</f>
        <v/>
      </c>
      <c r="AE149" s="22"/>
      <c r="AF149" s="22" t="str">
        <f>IF(AE149="","",VLOOKUP(AE149,Verdivurdering!$B$2:$K$100,15,FALSE))</f>
        <v/>
      </c>
      <c r="AG149" s="22"/>
      <c r="AH149" s="22" t="str">
        <f>IF(AG149="","",VLOOKUP(AG149,Verdivurdering!$B$2:$K$100,15,FALSE))</f>
        <v/>
      </c>
      <c r="AI149" s="22"/>
      <c r="AJ149" s="22" t="str">
        <f>IF(AI149="","",VLOOKUP(AI149,Verdivurdering!$B$2:$K$100,15,FALSE))</f>
        <v/>
      </c>
      <c r="AK149" s="22"/>
      <c r="AL149" s="22" t="str">
        <f>IF(AK149="","",VLOOKUP(AK149,Verdivurdering!$B$2:$K$100,15,FALSE))</f>
        <v/>
      </c>
      <c r="AM149" s="22"/>
      <c r="AN149" s="22" t="str">
        <f>IF(AM149="","",VLOOKUP(AM149,Verdivurdering!$B$2:$K$100,15,FALSE))</f>
        <v/>
      </c>
      <c r="AO149" s="22"/>
      <c r="AP149" s="22" t="str">
        <f>IF(AO149="","",VLOOKUP(AO149,Verdivurdering!$B$2:$K$100,15,FALSE))</f>
        <v/>
      </c>
      <c r="AQ149" s="22"/>
      <c r="AR149" s="22" t="str">
        <f>IF(AQ149="","",VLOOKUP(AQ149,Verdivurdering!$B$2:$K$100,15,FALSE))</f>
        <v/>
      </c>
      <c r="AS149" s="22"/>
      <c r="AT149" s="22" t="str">
        <f>IF(AS149="","",VLOOKUP(AS149,Verdivurdering!$B$2:$K$100,15,FALSE))</f>
        <v/>
      </c>
      <c r="AU149" s="22"/>
      <c r="AV149" s="22" t="str">
        <f>IF(AU149="","",VLOOKUP(AU149,Verdivurdering!$B$2:$K$100,15,FALSE))</f>
        <v/>
      </c>
      <c r="AW149" s="22"/>
      <c r="AX149" s="21" t="str">
        <f>IF(AW149="","",VLOOKUP(AW149,Verdivurdering!$B$2:$K$100,15,FALSE))</f>
        <v/>
      </c>
      <c r="AY149" s="19" t="e">
        <f t="shared" si="3"/>
        <v>#N/A</v>
      </c>
      <c r="AZ149" s="19" t="str">
        <f>IF(ISNUMBER(AY149),VLOOKUP(AY149,'Datasource 2'!$H$14:$I$18,2,FALSE),"")</f>
        <v/>
      </c>
      <c r="BA149" s="39"/>
      <c r="BB149" s="27" t="e">
        <f>_xlfn.IFNA(VLOOKUP(BA149,'Datasource 2'!I$14:$J$18,2,FALSE),AY149)</f>
        <v>#N/A</v>
      </c>
    </row>
    <row r="150" spans="1:54" x14ac:dyDescent="0.25">
      <c r="A150" s="37">
        <v>149</v>
      </c>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39"/>
      <c r="Z150" s="22" t="e">
        <f>VLOOKUP(Y150,'Datasource 2'!$I$14:$J$18,2,FALSE)</f>
        <v>#N/A</v>
      </c>
      <c r="AA150" s="22"/>
      <c r="AB150" s="22" t="str">
        <f>IF(AA150="","",VLOOKUP(AA150,Verdivurdering!$B$2:$K$100,15,FALSE))</f>
        <v/>
      </c>
      <c r="AC150" s="22"/>
      <c r="AD150" s="22" t="str">
        <f>IF(AC150="","",VLOOKUP(AC150,Verdivurdering!$B$2:$K$100,15,FALSE))</f>
        <v/>
      </c>
      <c r="AE150" s="22"/>
      <c r="AF150" s="22" t="str">
        <f>IF(AE150="","",VLOOKUP(AE150,Verdivurdering!$B$2:$K$100,15,FALSE))</f>
        <v/>
      </c>
      <c r="AG150" s="22"/>
      <c r="AH150" s="22" t="str">
        <f>IF(AG150="","",VLOOKUP(AG150,Verdivurdering!$B$2:$K$100,15,FALSE))</f>
        <v/>
      </c>
      <c r="AI150" s="22"/>
      <c r="AJ150" s="22" t="str">
        <f>IF(AI150="","",VLOOKUP(AI150,Verdivurdering!$B$2:$K$100,15,FALSE))</f>
        <v/>
      </c>
      <c r="AK150" s="22"/>
      <c r="AL150" s="22" t="str">
        <f>IF(AK150="","",VLOOKUP(AK150,Verdivurdering!$B$2:$K$100,15,FALSE))</f>
        <v/>
      </c>
      <c r="AM150" s="22"/>
      <c r="AN150" s="22" t="str">
        <f>IF(AM150="","",VLOOKUP(AM150,Verdivurdering!$B$2:$K$100,15,FALSE))</f>
        <v/>
      </c>
      <c r="AO150" s="22"/>
      <c r="AP150" s="22" t="str">
        <f>IF(AO150="","",VLOOKUP(AO150,Verdivurdering!$B$2:$K$100,15,FALSE))</f>
        <v/>
      </c>
      <c r="AQ150" s="22"/>
      <c r="AR150" s="22" t="str">
        <f>IF(AQ150="","",VLOOKUP(AQ150,Verdivurdering!$B$2:$K$100,15,FALSE))</f>
        <v/>
      </c>
      <c r="AS150" s="22"/>
      <c r="AT150" s="22" t="str">
        <f>IF(AS150="","",VLOOKUP(AS150,Verdivurdering!$B$2:$K$100,15,FALSE))</f>
        <v/>
      </c>
      <c r="AU150" s="22"/>
      <c r="AV150" s="22" t="str">
        <f>IF(AU150="","",VLOOKUP(AU150,Verdivurdering!$B$2:$K$100,15,FALSE))</f>
        <v/>
      </c>
      <c r="AW150" s="22"/>
      <c r="AX150" s="21" t="str">
        <f>IF(AW150="","",VLOOKUP(AW150,Verdivurdering!$B$2:$K$100,15,FALSE))</f>
        <v/>
      </c>
      <c r="AY150" s="19" t="e">
        <f t="shared" si="3"/>
        <v>#N/A</v>
      </c>
      <c r="AZ150" s="19" t="str">
        <f>IF(ISNUMBER(AY150),VLOOKUP(AY150,'Datasource 2'!$H$14:$I$18,2,FALSE),"")</f>
        <v/>
      </c>
      <c r="BA150" s="39"/>
      <c r="BB150" s="27" t="e">
        <f>_xlfn.IFNA(VLOOKUP(BA150,'Datasource 2'!I$14:$J$18,2,FALSE),AY150)</f>
        <v>#N/A</v>
      </c>
    </row>
    <row r="151" spans="1:54" x14ac:dyDescent="0.25">
      <c r="A151" s="37">
        <v>150</v>
      </c>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39"/>
      <c r="Z151" s="22" t="e">
        <f>VLOOKUP(Y151,'Datasource 2'!$I$14:$J$18,2,FALSE)</f>
        <v>#N/A</v>
      </c>
      <c r="AA151" s="22"/>
      <c r="AB151" s="22" t="str">
        <f>IF(AA151="","",VLOOKUP(AA151,Verdivurdering!$B$2:$K$100,15,FALSE))</f>
        <v/>
      </c>
      <c r="AC151" s="22"/>
      <c r="AD151" s="22" t="str">
        <f>IF(AC151="","",VLOOKUP(AC151,Verdivurdering!$B$2:$K$100,15,FALSE))</f>
        <v/>
      </c>
      <c r="AE151" s="22"/>
      <c r="AF151" s="22" t="str">
        <f>IF(AE151="","",VLOOKUP(AE151,Verdivurdering!$B$2:$K$100,15,FALSE))</f>
        <v/>
      </c>
      <c r="AG151" s="22"/>
      <c r="AH151" s="22" t="str">
        <f>IF(AG151="","",VLOOKUP(AG151,Verdivurdering!$B$2:$K$100,15,FALSE))</f>
        <v/>
      </c>
      <c r="AI151" s="22"/>
      <c r="AJ151" s="22" t="str">
        <f>IF(AI151="","",VLOOKUP(AI151,Verdivurdering!$B$2:$K$100,15,FALSE))</f>
        <v/>
      </c>
      <c r="AK151" s="22"/>
      <c r="AL151" s="22" t="str">
        <f>IF(AK151="","",VLOOKUP(AK151,Verdivurdering!$B$2:$K$100,15,FALSE))</f>
        <v/>
      </c>
      <c r="AM151" s="22"/>
      <c r="AN151" s="22" t="str">
        <f>IF(AM151="","",VLOOKUP(AM151,Verdivurdering!$B$2:$K$100,15,FALSE))</f>
        <v/>
      </c>
      <c r="AO151" s="22"/>
      <c r="AP151" s="22" t="str">
        <f>IF(AO151="","",VLOOKUP(AO151,Verdivurdering!$B$2:$K$100,15,FALSE))</f>
        <v/>
      </c>
      <c r="AQ151" s="22"/>
      <c r="AR151" s="22" t="str">
        <f>IF(AQ151="","",VLOOKUP(AQ151,Verdivurdering!$B$2:$K$100,15,FALSE))</f>
        <v/>
      </c>
      <c r="AS151" s="22"/>
      <c r="AT151" s="22" t="str">
        <f>IF(AS151="","",VLOOKUP(AS151,Verdivurdering!$B$2:$K$100,15,FALSE))</f>
        <v/>
      </c>
      <c r="AU151" s="22"/>
      <c r="AV151" s="22" t="str">
        <f>IF(AU151="","",VLOOKUP(AU151,Verdivurdering!$B$2:$K$100,15,FALSE))</f>
        <v/>
      </c>
      <c r="AW151" s="22"/>
      <c r="AX151" s="21" t="str">
        <f>IF(AW151="","",VLOOKUP(AW151,Verdivurdering!$B$2:$K$100,15,FALSE))</f>
        <v/>
      </c>
      <c r="AY151" s="19" t="e">
        <f t="shared" si="3"/>
        <v>#N/A</v>
      </c>
      <c r="AZ151" s="19" t="str">
        <f>IF(ISNUMBER(AY151),VLOOKUP(AY151,'Datasource 2'!$H$14:$I$18,2,FALSE),"")</f>
        <v/>
      </c>
      <c r="BA151" s="39"/>
      <c r="BB151" s="27" t="e">
        <f>_xlfn.IFNA(VLOOKUP(BA151,'Datasource 2'!I$14:$J$18,2,FALSE),AY151)</f>
        <v>#N/A</v>
      </c>
    </row>
  </sheetData>
  <sheetProtection selectLockedCells="1"/>
  <mergeCells count="1">
    <mergeCell ref="Y1:AW1"/>
  </mergeCells>
  <phoneticPr fontId="10" type="noConversion"/>
  <conditionalFormatting sqref="AA2:AA151 AC2:AC151 AE2:AE151 AG2:AG151 AI2:AI151 AK2:AK151 AM2:AM151 AO2:AO151 AQ2:AQ151 AS2:AS151 AU2:AU151 AW2:AW151">
    <cfRule type="expression" dxfId="210" priority="6">
      <formula>AB2=5</formula>
    </cfRule>
    <cfRule type="expression" dxfId="209" priority="7">
      <formula>AB2=4</formula>
    </cfRule>
    <cfRule type="expression" dxfId="208" priority="8">
      <formula>AB2=3</formula>
    </cfRule>
    <cfRule type="expression" dxfId="207" priority="9">
      <formula>AB2=2</formula>
    </cfRule>
    <cfRule type="expression" dxfId="206" priority="10">
      <formula>AB2=1</formula>
    </cfRule>
  </conditionalFormatting>
  <conditionalFormatting sqref="X2:X151">
    <cfRule type="expression" dxfId="205" priority="1">
      <formula>AA2=1</formula>
    </cfRule>
    <cfRule type="expression" dxfId="204" priority="2">
      <formula>AA2=2</formula>
    </cfRule>
    <cfRule type="expression" dxfId="203" priority="3">
      <formula>AA2=3</formula>
    </cfRule>
    <cfRule type="expression" dxfId="202" priority="4">
      <formula>AA2=4</formula>
    </cfRule>
    <cfRule type="expression" dxfId="201" priority="5">
      <formula>AA2=5</formula>
    </cfRule>
  </conditionalFormatting>
  <conditionalFormatting sqref="V2:W151">
    <cfRule type="expression" dxfId="200" priority="2655">
      <formula>AA2=1</formula>
    </cfRule>
    <cfRule type="expression" dxfId="199" priority="2656">
      <formula>AA2=2</formula>
    </cfRule>
    <cfRule type="expression" dxfId="198" priority="2657">
      <formula>AA2=3</formula>
    </cfRule>
    <cfRule type="expression" dxfId="197" priority="2658">
      <formula>AA2=4</formula>
    </cfRule>
    <cfRule type="expression" dxfId="196" priority="2659">
      <formula>AA2=5</formula>
    </cfRule>
  </conditionalFormatting>
  <conditionalFormatting sqref="T2:U151">
    <cfRule type="expression" dxfId="195" priority="2660">
      <formula>AA2=1</formula>
    </cfRule>
    <cfRule type="expression" dxfId="194" priority="2661">
      <formula>AA2=2</formula>
    </cfRule>
    <cfRule type="expression" dxfId="193" priority="2662">
      <formula>AA2=3</formula>
    </cfRule>
    <cfRule type="expression" dxfId="192" priority="2663">
      <formula>AA2=4</formula>
    </cfRule>
    <cfRule type="expression" dxfId="191" priority="2664">
      <formula>AA2=5</formula>
    </cfRule>
  </conditionalFormatting>
  <conditionalFormatting sqref="P2:S151">
    <cfRule type="expression" dxfId="190" priority="2665">
      <formula>AA2=1</formula>
    </cfRule>
    <cfRule type="expression" dxfId="189" priority="2666">
      <formula>AA2=2</formula>
    </cfRule>
    <cfRule type="expression" dxfId="188" priority="2667">
      <formula>AA2=3</formula>
    </cfRule>
    <cfRule type="expression" dxfId="187" priority="2668">
      <formula>AA2=4</formula>
    </cfRule>
    <cfRule type="expression" dxfId="186" priority="2669">
      <formula>AA2=5</formula>
    </cfRule>
  </conditionalFormatting>
  <conditionalFormatting sqref="H2:O151">
    <cfRule type="expression" dxfId="185" priority="2670">
      <formula>AA2=1</formula>
    </cfRule>
    <cfRule type="expression" dxfId="184" priority="2671">
      <formula>AA2=2</formula>
    </cfRule>
    <cfRule type="expression" dxfId="183" priority="2672">
      <formula>AA2=3</formula>
    </cfRule>
    <cfRule type="expression" dxfId="182" priority="2673">
      <formula>AA2=4</formula>
    </cfRule>
    <cfRule type="expression" dxfId="181" priority="2674">
      <formula>AA2=5</formula>
    </cfRule>
  </conditionalFormatting>
  <conditionalFormatting sqref="B2:G151">
    <cfRule type="expression" dxfId="180" priority="2675">
      <formula>Z2=1</formula>
    </cfRule>
    <cfRule type="expression" dxfId="179" priority="2676">
      <formula>Z2=2</formula>
    </cfRule>
    <cfRule type="expression" dxfId="178" priority="2677">
      <formula>Z2=3</formula>
    </cfRule>
    <cfRule type="expression" dxfId="177" priority="2678">
      <formula>Z2=4</formula>
    </cfRule>
    <cfRule type="expression" dxfId="176" priority="2679">
      <formula>Z2=5</formula>
    </cfRule>
  </conditionalFormatting>
  <dataValidations count="1">
    <dataValidation type="list" allowBlank="1" showInputMessage="1" showErrorMessage="1" sqref="AW2:AW151 AA2:AA151 AC2:AC151 AE2:AE151 AG2:AG151 AI2:AI151 AK2:AK151 AM2:AM151 AO2:AO151 AQ2:AQ151 AS2:AS151 AU2:AU151" xr:uid="{692CABE0-3217-48B4-8560-F5AD370EF1CB}">
      <formula1>Verdiliste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EC3C96-FE01-4491-B5EC-B09ED0C3F597}">
          <x14:formula1>
            <xm:f>'Datasource 2'!$I$14:$I$18</xm:f>
          </x14:formula1>
          <xm:sqref>BA2:BA151 Y2:Y151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9">
    <tabColor rgb="FF00B050"/>
  </sheetPr>
  <dimension ref="A1:D1143"/>
  <sheetViews>
    <sheetView showGridLines="0" showRowColHeaders="0" zoomScale="70" zoomScaleNormal="70" workbookViewId="0">
      <pane ySplit="1" topLeftCell="A2" activePane="bottomLeft" state="frozen"/>
      <selection pane="bottomLeft" activeCell="D19" sqref="D19"/>
    </sheetView>
  </sheetViews>
  <sheetFormatPr baseColWidth="10" defaultColWidth="11.5703125" defaultRowHeight="15" x14ac:dyDescent="0.25"/>
  <cols>
    <col min="1" max="2" width="5" style="38" customWidth="1"/>
    <col min="3" max="3" width="40.85546875" style="22" customWidth="1"/>
    <col min="4" max="4" width="21.42578125" style="24" customWidth="1"/>
  </cols>
  <sheetData>
    <row r="1" spans="1:4" ht="31.7" customHeight="1" x14ac:dyDescent="0.25">
      <c r="A1" s="32" t="s">
        <v>78</v>
      </c>
      <c r="B1" s="32"/>
      <c r="C1" s="33" t="s">
        <v>159</v>
      </c>
      <c r="D1" s="34" t="s">
        <v>160</v>
      </c>
    </row>
    <row r="2" spans="1:4" x14ac:dyDescent="0.25">
      <c r="A2" s="32">
        <f>IF(ISTEXT(C2),1,"")</f>
        <v>1</v>
      </c>
      <c r="B2" s="32">
        <f>A2</f>
        <v>1</v>
      </c>
      <c r="C2" s="22" t="s">
        <v>161</v>
      </c>
      <c r="D2" s="24" t="s">
        <v>142</v>
      </c>
    </row>
    <row r="3" spans="1:4" x14ac:dyDescent="0.25">
      <c r="A3" s="32">
        <f>IF(ISTEXT(C3),A2+1,"")</f>
        <v>2</v>
      </c>
      <c r="B3" s="32">
        <f t="shared" ref="B3:B66" si="0">A3</f>
        <v>2</v>
      </c>
      <c r="C3" s="22" t="s">
        <v>162</v>
      </c>
      <c r="D3" s="24" t="s">
        <v>142</v>
      </c>
    </row>
    <row r="4" spans="1:4" ht="30" x14ac:dyDescent="0.25">
      <c r="A4" s="32">
        <f t="shared" ref="A4:A67" si="1">IF(ISTEXT(C4),A3+1,"")</f>
        <v>3</v>
      </c>
      <c r="B4" s="32">
        <f t="shared" si="0"/>
        <v>3</v>
      </c>
      <c r="C4" s="22" t="s">
        <v>163</v>
      </c>
      <c r="D4" s="24" t="s">
        <v>139</v>
      </c>
    </row>
    <row r="5" spans="1:4" ht="45" x14ac:dyDescent="0.25">
      <c r="A5" s="32">
        <f t="shared" si="1"/>
        <v>4</v>
      </c>
      <c r="B5" s="32">
        <f t="shared" si="0"/>
        <v>4</v>
      </c>
      <c r="C5" s="22" t="s">
        <v>164</v>
      </c>
      <c r="D5" s="24" t="s">
        <v>139</v>
      </c>
    </row>
    <row r="6" spans="1:4" ht="30" x14ac:dyDescent="0.25">
      <c r="A6" s="32">
        <f t="shared" si="1"/>
        <v>5</v>
      </c>
      <c r="B6" s="32">
        <f t="shared" si="0"/>
        <v>5</v>
      </c>
      <c r="C6" s="22" t="s">
        <v>165</v>
      </c>
      <c r="D6" s="24" t="s">
        <v>147</v>
      </c>
    </row>
    <row r="7" spans="1:4" ht="30" x14ac:dyDescent="0.25">
      <c r="A7" s="32">
        <f t="shared" si="1"/>
        <v>6</v>
      </c>
      <c r="B7" s="32">
        <f t="shared" si="0"/>
        <v>6</v>
      </c>
      <c r="C7" s="22" t="s">
        <v>166</v>
      </c>
      <c r="D7" s="24" t="s">
        <v>139</v>
      </c>
    </row>
    <row r="8" spans="1:4" ht="45" x14ac:dyDescent="0.25">
      <c r="A8" s="32">
        <f t="shared" si="1"/>
        <v>7</v>
      </c>
      <c r="B8" s="32">
        <f t="shared" si="0"/>
        <v>7</v>
      </c>
      <c r="C8" s="22" t="s">
        <v>167</v>
      </c>
      <c r="D8" s="24" t="s">
        <v>147</v>
      </c>
    </row>
    <row r="9" spans="1:4" ht="30" x14ac:dyDescent="0.25">
      <c r="A9" s="32">
        <f t="shared" si="1"/>
        <v>8</v>
      </c>
      <c r="B9" s="32">
        <f t="shared" si="0"/>
        <v>8</v>
      </c>
      <c r="C9" s="22" t="s">
        <v>168</v>
      </c>
      <c r="D9" s="24" t="s">
        <v>139</v>
      </c>
    </row>
    <row r="10" spans="1:4" ht="30" x14ac:dyDescent="0.25">
      <c r="A10" s="32">
        <f t="shared" si="1"/>
        <v>9</v>
      </c>
      <c r="B10" s="32">
        <f t="shared" si="0"/>
        <v>9</v>
      </c>
      <c r="C10" s="22" t="s">
        <v>169</v>
      </c>
      <c r="D10" s="24" t="s">
        <v>139</v>
      </c>
    </row>
    <row r="11" spans="1:4" ht="45" x14ac:dyDescent="0.25">
      <c r="A11" s="32">
        <f t="shared" si="1"/>
        <v>10</v>
      </c>
      <c r="B11" s="32">
        <f t="shared" si="0"/>
        <v>10</v>
      </c>
      <c r="C11" s="22" t="s">
        <v>170</v>
      </c>
      <c r="D11" s="24" t="s">
        <v>147</v>
      </c>
    </row>
    <row r="12" spans="1:4" ht="30" x14ac:dyDescent="0.25">
      <c r="A12" s="32">
        <f t="shared" si="1"/>
        <v>11</v>
      </c>
      <c r="B12" s="32">
        <f t="shared" si="0"/>
        <v>11</v>
      </c>
      <c r="C12" s="22" t="s">
        <v>171</v>
      </c>
      <c r="D12" s="24" t="s">
        <v>147</v>
      </c>
    </row>
    <row r="13" spans="1:4" ht="30" x14ac:dyDescent="0.25">
      <c r="A13" s="32">
        <f t="shared" si="1"/>
        <v>12</v>
      </c>
      <c r="B13" s="32">
        <f t="shared" si="0"/>
        <v>12</v>
      </c>
      <c r="C13" s="22" t="s">
        <v>172</v>
      </c>
      <c r="D13" s="24" t="s">
        <v>147</v>
      </c>
    </row>
    <row r="14" spans="1:4" ht="30" x14ac:dyDescent="0.25">
      <c r="A14" s="32">
        <f t="shared" si="1"/>
        <v>13</v>
      </c>
      <c r="B14" s="32">
        <f t="shared" si="0"/>
        <v>13</v>
      </c>
      <c r="C14" s="22" t="s">
        <v>173</v>
      </c>
      <c r="D14" s="24" t="s">
        <v>139</v>
      </c>
    </row>
    <row r="15" spans="1:4" x14ac:dyDescent="0.25">
      <c r="A15" s="32">
        <f t="shared" si="1"/>
        <v>14</v>
      </c>
      <c r="B15" s="32">
        <f t="shared" si="0"/>
        <v>14</v>
      </c>
      <c r="C15" s="22" t="s">
        <v>174</v>
      </c>
      <c r="D15" s="24" t="s">
        <v>139</v>
      </c>
    </row>
    <row r="16" spans="1:4" ht="45" x14ac:dyDescent="0.25">
      <c r="A16" s="32">
        <f t="shared" si="1"/>
        <v>15</v>
      </c>
      <c r="B16" s="32">
        <f t="shared" si="0"/>
        <v>15</v>
      </c>
      <c r="C16" s="22" t="s">
        <v>175</v>
      </c>
      <c r="D16" s="24" t="s">
        <v>142</v>
      </c>
    </row>
    <row r="17" spans="1:4" ht="30" x14ac:dyDescent="0.25">
      <c r="A17" s="32">
        <f t="shared" si="1"/>
        <v>16</v>
      </c>
      <c r="B17" s="32">
        <f t="shared" si="0"/>
        <v>16</v>
      </c>
      <c r="C17" s="22" t="s">
        <v>176</v>
      </c>
      <c r="D17" s="24" t="s">
        <v>147</v>
      </c>
    </row>
    <row r="18" spans="1:4" ht="45" x14ac:dyDescent="0.25">
      <c r="A18" s="32">
        <f t="shared" si="1"/>
        <v>17</v>
      </c>
      <c r="B18" s="32">
        <f t="shared" si="0"/>
        <v>17</v>
      </c>
      <c r="C18" s="22" t="s">
        <v>177</v>
      </c>
      <c r="D18" s="24" t="s">
        <v>147</v>
      </c>
    </row>
    <row r="19" spans="1:4" ht="30" x14ac:dyDescent="0.25">
      <c r="A19" s="32">
        <f t="shared" si="1"/>
        <v>18</v>
      </c>
      <c r="B19" s="32">
        <f t="shared" si="0"/>
        <v>18</v>
      </c>
      <c r="C19" s="22" t="s">
        <v>178</v>
      </c>
      <c r="D19" s="24" t="s">
        <v>147</v>
      </c>
    </row>
    <row r="20" spans="1:4" ht="30" x14ac:dyDescent="0.25">
      <c r="A20" s="32">
        <f t="shared" si="1"/>
        <v>19</v>
      </c>
      <c r="B20" s="32">
        <f t="shared" si="0"/>
        <v>19</v>
      </c>
      <c r="C20" s="22" t="s">
        <v>179</v>
      </c>
      <c r="D20" s="24" t="s">
        <v>180</v>
      </c>
    </row>
    <row r="21" spans="1:4" ht="30" x14ac:dyDescent="0.25">
      <c r="A21" s="32">
        <f t="shared" si="1"/>
        <v>20</v>
      </c>
      <c r="B21" s="32">
        <f t="shared" si="0"/>
        <v>20</v>
      </c>
      <c r="C21" s="22" t="s">
        <v>181</v>
      </c>
      <c r="D21" s="24" t="s">
        <v>180</v>
      </c>
    </row>
    <row r="22" spans="1:4" x14ac:dyDescent="0.25">
      <c r="A22" s="32">
        <f t="shared" si="1"/>
        <v>21</v>
      </c>
      <c r="B22" s="32">
        <f t="shared" si="0"/>
        <v>21</v>
      </c>
      <c r="C22" s="22" t="s">
        <v>182</v>
      </c>
      <c r="D22" s="24" t="s">
        <v>180</v>
      </c>
    </row>
    <row r="23" spans="1:4" x14ac:dyDescent="0.25">
      <c r="A23" s="32">
        <f t="shared" si="1"/>
        <v>22</v>
      </c>
      <c r="B23" s="32">
        <f t="shared" si="0"/>
        <v>22</v>
      </c>
      <c r="C23" s="22" t="s">
        <v>183</v>
      </c>
      <c r="D23" s="24" t="s">
        <v>180</v>
      </c>
    </row>
    <row r="24" spans="1:4" x14ac:dyDescent="0.25">
      <c r="A24" s="32">
        <f t="shared" si="1"/>
        <v>23</v>
      </c>
      <c r="B24" s="32">
        <f t="shared" si="0"/>
        <v>23</v>
      </c>
      <c r="C24" s="22" t="s">
        <v>184</v>
      </c>
      <c r="D24" s="24" t="s">
        <v>180</v>
      </c>
    </row>
    <row r="25" spans="1:4" x14ac:dyDescent="0.25">
      <c r="A25" s="32">
        <f t="shared" si="1"/>
        <v>24</v>
      </c>
      <c r="B25" s="32">
        <f t="shared" si="0"/>
        <v>24</v>
      </c>
      <c r="C25" s="22" t="s">
        <v>185</v>
      </c>
      <c r="D25" s="24" t="s">
        <v>186</v>
      </c>
    </row>
    <row r="26" spans="1:4" ht="30" x14ac:dyDescent="0.25">
      <c r="A26" s="32">
        <f t="shared" si="1"/>
        <v>25</v>
      </c>
      <c r="B26" s="32">
        <f t="shared" si="0"/>
        <v>25</v>
      </c>
      <c r="C26" s="22" t="s">
        <v>187</v>
      </c>
      <c r="D26" s="24" t="s">
        <v>186</v>
      </c>
    </row>
    <row r="27" spans="1:4" ht="45" x14ac:dyDescent="0.25">
      <c r="A27" s="32">
        <f t="shared" si="1"/>
        <v>26</v>
      </c>
      <c r="B27" s="32">
        <f t="shared" si="0"/>
        <v>26</v>
      </c>
      <c r="C27" s="22" t="s">
        <v>188</v>
      </c>
      <c r="D27" s="24" t="s">
        <v>186</v>
      </c>
    </row>
    <row r="28" spans="1:4" ht="45" x14ac:dyDescent="0.25">
      <c r="A28" s="32">
        <f t="shared" si="1"/>
        <v>27</v>
      </c>
      <c r="B28" s="32">
        <f t="shared" si="0"/>
        <v>27</v>
      </c>
      <c r="C28" s="22" t="s">
        <v>189</v>
      </c>
      <c r="D28" s="24" t="s">
        <v>186</v>
      </c>
    </row>
    <row r="29" spans="1:4" ht="30" x14ac:dyDescent="0.25">
      <c r="A29" s="32">
        <f t="shared" si="1"/>
        <v>28</v>
      </c>
      <c r="B29" s="32">
        <f t="shared" si="0"/>
        <v>28</v>
      </c>
      <c r="C29" s="22" t="s">
        <v>190</v>
      </c>
      <c r="D29" s="24" t="s">
        <v>186</v>
      </c>
    </row>
    <row r="30" spans="1:4" ht="45" x14ac:dyDescent="0.25">
      <c r="A30" s="32">
        <f t="shared" si="1"/>
        <v>29</v>
      </c>
      <c r="B30" s="32">
        <f t="shared" si="0"/>
        <v>29</v>
      </c>
      <c r="C30" s="22" t="s">
        <v>191</v>
      </c>
      <c r="D30" s="24" t="s">
        <v>186</v>
      </c>
    </row>
    <row r="31" spans="1:4" ht="30" x14ac:dyDescent="0.25">
      <c r="A31" s="32">
        <f t="shared" si="1"/>
        <v>30</v>
      </c>
      <c r="B31" s="32">
        <f t="shared" si="0"/>
        <v>30</v>
      </c>
      <c r="C31" s="22" t="s">
        <v>192</v>
      </c>
      <c r="D31" s="24" t="s">
        <v>180</v>
      </c>
    </row>
    <row r="32" spans="1:4" ht="30" x14ac:dyDescent="0.25">
      <c r="A32" s="32">
        <f t="shared" si="1"/>
        <v>31</v>
      </c>
      <c r="B32" s="32">
        <f t="shared" si="0"/>
        <v>31</v>
      </c>
      <c r="C32" s="22" t="s">
        <v>193</v>
      </c>
      <c r="D32" s="24" t="s">
        <v>180</v>
      </c>
    </row>
    <row r="33" spans="1:4" ht="30" x14ac:dyDescent="0.25">
      <c r="A33" s="32">
        <f t="shared" si="1"/>
        <v>32</v>
      </c>
      <c r="B33" s="32">
        <f t="shared" si="0"/>
        <v>32</v>
      </c>
      <c r="C33" s="22" t="s">
        <v>194</v>
      </c>
      <c r="D33" s="24" t="s">
        <v>180</v>
      </c>
    </row>
    <row r="34" spans="1:4" x14ac:dyDescent="0.25">
      <c r="A34" s="32">
        <f t="shared" si="1"/>
        <v>33</v>
      </c>
      <c r="B34" s="32">
        <f t="shared" si="0"/>
        <v>33</v>
      </c>
      <c r="C34" s="22" t="s">
        <v>195</v>
      </c>
      <c r="D34" s="24" t="s">
        <v>186</v>
      </c>
    </row>
    <row r="35" spans="1:4" ht="45" x14ac:dyDescent="0.25">
      <c r="A35" s="32">
        <f t="shared" si="1"/>
        <v>34</v>
      </c>
      <c r="B35" s="32">
        <f t="shared" si="0"/>
        <v>34</v>
      </c>
      <c r="C35" s="22" t="s">
        <v>196</v>
      </c>
      <c r="D35" s="24" t="s">
        <v>180</v>
      </c>
    </row>
    <row r="36" spans="1:4" ht="45" x14ac:dyDescent="0.25">
      <c r="A36" s="32">
        <f t="shared" si="1"/>
        <v>35</v>
      </c>
      <c r="B36" s="32">
        <f t="shared" si="0"/>
        <v>35</v>
      </c>
      <c r="C36" s="22" t="s">
        <v>197</v>
      </c>
      <c r="D36" s="24" t="s">
        <v>186</v>
      </c>
    </row>
    <row r="37" spans="1:4" ht="30" x14ac:dyDescent="0.25">
      <c r="A37" s="32">
        <f t="shared" si="1"/>
        <v>36</v>
      </c>
      <c r="B37" s="32">
        <f t="shared" si="0"/>
        <v>36</v>
      </c>
      <c r="C37" s="22" t="s">
        <v>198</v>
      </c>
      <c r="D37" s="24" t="s">
        <v>186</v>
      </c>
    </row>
    <row r="38" spans="1:4" ht="45" x14ac:dyDescent="0.25">
      <c r="A38" s="32">
        <f t="shared" si="1"/>
        <v>37</v>
      </c>
      <c r="B38" s="32">
        <f t="shared" si="0"/>
        <v>37</v>
      </c>
      <c r="C38" s="22" t="s">
        <v>199</v>
      </c>
      <c r="D38" s="24" t="s">
        <v>186</v>
      </c>
    </row>
    <row r="39" spans="1:4" ht="30" x14ac:dyDescent="0.25">
      <c r="A39" s="32">
        <f t="shared" si="1"/>
        <v>38</v>
      </c>
      <c r="B39" s="32">
        <f t="shared" si="0"/>
        <v>38</v>
      </c>
      <c r="C39" s="22" t="s">
        <v>200</v>
      </c>
      <c r="D39" s="24" t="s">
        <v>180</v>
      </c>
    </row>
    <row r="40" spans="1:4" ht="30" x14ac:dyDescent="0.25">
      <c r="A40" s="32">
        <f t="shared" si="1"/>
        <v>39</v>
      </c>
      <c r="B40" s="32">
        <f t="shared" si="0"/>
        <v>39</v>
      </c>
      <c r="C40" s="22" t="s">
        <v>201</v>
      </c>
      <c r="D40" s="24" t="s">
        <v>180</v>
      </c>
    </row>
    <row r="41" spans="1:4" ht="30" x14ac:dyDescent="0.25">
      <c r="A41" s="32">
        <f t="shared" si="1"/>
        <v>40</v>
      </c>
      <c r="B41" s="32">
        <f t="shared" si="0"/>
        <v>40</v>
      </c>
      <c r="C41" s="22" t="s">
        <v>202</v>
      </c>
      <c r="D41" s="24" t="s">
        <v>180</v>
      </c>
    </row>
    <row r="42" spans="1:4" ht="30" x14ac:dyDescent="0.25">
      <c r="A42" s="32">
        <f t="shared" si="1"/>
        <v>41</v>
      </c>
      <c r="B42" s="32">
        <f t="shared" si="0"/>
        <v>41</v>
      </c>
      <c r="C42" s="22" t="s">
        <v>203</v>
      </c>
      <c r="D42" s="24" t="s">
        <v>180</v>
      </c>
    </row>
    <row r="43" spans="1:4" ht="45" x14ac:dyDescent="0.25">
      <c r="A43" s="32">
        <f t="shared" si="1"/>
        <v>42</v>
      </c>
      <c r="B43" s="32">
        <f t="shared" si="0"/>
        <v>42</v>
      </c>
      <c r="C43" s="22" t="s">
        <v>204</v>
      </c>
      <c r="D43" s="24" t="s">
        <v>186</v>
      </c>
    </row>
    <row r="44" spans="1:4" ht="45" x14ac:dyDescent="0.25">
      <c r="A44" s="32">
        <f t="shared" si="1"/>
        <v>43</v>
      </c>
      <c r="B44" s="32">
        <f t="shared" si="0"/>
        <v>43</v>
      </c>
      <c r="C44" s="22" t="s">
        <v>205</v>
      </c>
      <c r="D44" s="24" t="s">
        <v>186</v>
      </c>
    </row>
    <row r="45" spans="1:4" ht="30" x14ac:dyDescent="0.25">
      <c r="A45" s="32">
        <f t="shared" si="1"/>
        <v>44</v>
      </c>
      <c r="B45" s="32">
        <f t="shared" si="0"/>
        <v>44</v>
      </c>
      <c r="C45" s="22" t="s">
        <v>206</v>
      </c>
      <c r="D45" s="24" t="s">
        <v>186</v>
      </c>
    </row>
    <row r="46" spans="1:4" x14ac:dyDescent="0.25">
      <c r="A46" s="32">
        <f t="shared" si="1"/>
        <v>45</v>
      </c>
      <c r="B46" s="32">
        <f t="shared" si="0"/>
        <v>45</v>
      </c>
      <c r="C46" s="22" t="s">
        <v>207</v>
      </c>
      <c r="D46" s="24" t="s">
        <v>186</v>
      </c>
    </row>
    <row r="47" spans="1:4" ht="30" x14ac:dyDescent="0.25">
      <c r="A47" s="32">
        <f t="shared" si="1"/>
        <v>46</v>
      </c>
      <c r="B47" s="32">
        <f t="shared" si="0"/>
        <v>46</v>
      </c>
      <c r="C47" s="22" t="s">
        <v>208</v>
      </c>
      <c r="D47" s="24" t="s">
        <v>180</v>
      </c>
    </row>
    <row r="48" spans="1:4" ht="30" x14ac:dyDescent="0.25">
      <c r="A48" s="32">
        <f t="shared" si="1"/>
        <v>47</v>
      </c>
      <c r="B48" s="32">
        <f t="shared" si="0"/>
        <v>47</v>
      </c>
      <c r="C48" s="22" t="s">
        <v>209</v>
      </c>
      <c r="D48" s="24" t="s">
        <v>180</v>
      </c>
    </row>
    <row r="49" spans="1:4" ht="30" x14ac:dyDescent="0.25">
      <c r="A49" s="32">
        <f t="shared" si="1"/>
        <v>48</v>
      </c>
      <c r="B49" s="32">
        <f t="shared" si="0"/>
        <v>48</v>
      </c>
      <c r="C49" s="22" t="s">
        <v>210</v>
      </c>
      <c r="D49" s="24" t="s">
        <v>186</v>
      </c>
    </row>
    <row r="50" spans="1:4" ht="30" x14ac:dyDescent="0.25">
      <c r="A50" s="32">
        <f t="shared" si="1"/>
        <v>49</v>
      </c>
      <c r="B50" s="32">
        <f t="shared" si="0"/>
        <v>49</v>
      </c>
      <c r="C50" s="22" t="s">
        <v>211</v>
      </c>
      <c r="D50" s="24" t="s">
        <v>186</v>
      </c>
    </row>
    <row r="51" spans="1:4" ht="45" x14ac:dyDescent="0.25">
      <c r="A51" s="32">
        <f t="shared" si="1"/>
        <v>50</v>
      </c>
      <c r="B51" s="32">
        <f t="shared" si="0"/>
        <v>50</v>
      </c>
      <c r="C51" s="22" t="s">
        <v>212</v>
      </c>
      <c r="D51" s="24" t="s">
        <v>180</v>
      </c>
    </row>
    <row r="52" spans="1:4" ht="45" x14ac:dyDescent="0.25">
      <c r="A52" s="32">
        <f t="shared" si="1"/>
        <v>51</v>
      </c>
      <c r="B52" s="32">
        <f t="shared" si="0"/>
        <v>51</v>
      </c>
      <c r="C52" s="22" t="s">
        <v>213</v>
      </c>
      <c r="D52" s="24" t="s">
        <v>180</v>
      </c>
    </row>
    <row r="53" spans="1:4" ht="30" x14ac:dyDescent="0.25">
      <c r="A53" s="32">
        <f t="shared" si="1"/>
        <v>52</v>
      </c>
      <c r="B53" s="32">
        <f t="shared" si="0"/>
        <v>52</v>
      </c>
      <c r="C53" s="22" t="s">
        <v>214</v>
      </c>
      <c r="D53" s="24" t="s">
        <v>186</v>
      </c>
    </row>
    <row r="54" spans="1:4" ht="30" x14ac:dyDescent="0.25">
      <c r="A54" s="32">
        <f t="shared" si="1"/>
        <v>53</v>
      </c>
      <c r="B54" s="32">
        <f t="shared" si="0"/>
        <v>53</v>
      </c>
      <c r="C54" s="22" t="s">
        <v>215</v>
      </c>
      <c r="D54" s="24" t="s">
        <v>180</v>
      </c>
    </row>
    <row r="55" spans="1:4" ht="30" x14ac:dyDescent="0.25">
      <c r="A55" s="32">
        <f t="shared" si="1"/>
        <v>54</v>
      </c>
      <c r="B55" s="32">
        <f t="shared" si="0"/>
        <v>54</v>
      </c>
      <c r="C55" s="22" t="s">
        <v>216</v>
      </c>
      <c r="D55" s="24" t="s">
        <v>180</v>
      </c>
    </row>
    <row r="56" spans="1:4" ht="45" x14ac:dyDescent="0.25">
      <c r="A56" s="32">
        <f t="shared" si="1"/>
        <v>55</v>
      </c>
      <c r="B56" s="32">
        <f t="shared" si="0"/>
        <v>55</v>
      </c>
      <c r="C56" s="22" t="s">
        <v>217</v>
      </c>
      <c r="D56" s="24" t="s">
        <v>218</v>
      </c>
    </row>
    <row r="57" spans="1:4" ht="45" x14ac:dyDescent="0.25">
      <c r="A57" s="32">
        <f t="shared" si="1"/>
        <v>56</v>
      </c>
      <c r="B57" s="32">
        <f t="shared" si="0"/>
        <v>56</v>
      </c>
      <c r="C57" s="22" t="s">
        <v>219</v>
      </c>
      <c r="D57" s="24" t="s">
        <v>180</v>
      </c>
    </row>
    <row r="58" spans="1:4" ht="30" x14ac:dyDescent="0.25">
      <c r="A58" s="32">
        <f t="shared" si="1"/>
        <v>57</v>
      </c>
      <c r="B58" s="32">
        <f t="shared" si="0"/>
        <v>57</v>
      </c>
      <c r="C58" s="22" t="s">
        <v>220</v>
      </c>
      <c r="D58" s="24" t="s">
        <v>180</v>
      </c>
    </row>
    <row r="59" spans="1:4" ht="60" x14ac:dyDescent="0.25">
      <c r="A59" s="32">
        <f t="shared" si="1"/>
        <v>58</v>
      </c>
      <c r="B59" s="32">
        <f t="shared" si="0"/>
        <v>58</v>
      </c>
      <c r="C59" s="22" t="s">
        <v>221</v>
      </c>
      <c r="D59" s="24" t="s">
        <v>180</v>
      </c>
    </row>
    <row r="60" spans="1:4" ht="45" x14ac:dyDescent="0.25">
      <c r="A60" s="32">
        <f t="shared" si="1"/>
        <v>59</v>
      </c>
      <c r="B60" s="32">
        <f t="shared" si="0"/>
        <v>59</v>
      </c>
      <c r="C60" s="22" t="s">
        <v>222</v>
      </c>
      <c r="D60" s="24" t="s">
        <v>180</v>
      </c>
    </row>
    <row r="61" spans="1:4" x14ac:dyDescent="0.25">
      <c r="A61" s="32">
        <f t="shared" si="1"/>
        <v>60</v>
      </c>
      <c r="B61" s="32">
        <f t="shared" si="0"/>
        <v>60</v>
      </c>
      <c r="C61" s="22" t="s">
        <v>223</v>
      </c>
      <c r="D61" s="24" t="s">
        <v>224</v>
      </c>
    </row>
    <row r="62" spans="1:4" x14ac:dyDescent="0.25">
      <c r="A62" s="32" t="str">
        <f t="shared" si="1"/>
        <v/>
      </c>
      <c r="B62" s="32" t="str">
        <f t="shared" si="0"/>
        <v/>
      </c>
    </row>
    <row r="63" spans="1:4" x14ac:dyDescent="0.25">
      <c r="A63" s="32" t="str">
        <f t="shared" si="1"/>
        <v/>
      </c>
      <c r="B63" s="32" t="str">
        <f t="shared" si="0"/>
        <v/>
      </c>
    </row>
    <row r="64" spans="1:4" x14ac:dyDescent="0.25">
      <c r="A64" s="32" t="str">
        <f t="shared" si="1"/>
        <v/>
      </c>
      <c r="B64" s="32" t="str">
        <f t="shared" si="0"/>
        <v/>
      </c>
    </row>
    <row r="65" spans="1:2" x14ac:dyDescent="0.25">
      <c r="A65" s="32" t="str">
        <f t="shared" si="1"/>
        <v/>
      </c>
      <c r="B65" s="32" t="str">
        <f t="shared" si="0"/>
        <v/>
      </c>
    </row>
    <row r="66" spans="1:2" x14ac:dyDescent="0.25">
      <c r="A66" s="32" t="str">
        <f t="shared" si="1"/>
        <v/>
      </c>
      <c r="B66" s="32" t="str">
        <f t="shared" si="0"/>
        <v/>
      </c>
    </row>
    <row r="67" spans="1:2" x14ac:dyDescent="0.25">
      <c r="A67" s="32" t="str">
        <f t="shared" si="1"/>
        <v/>
      </c>
      <c r="B67" s="32" t="str">
        <f t="shared" ref="B67:B130" si="2">A67</f>
        <v/>
      </c>
    </row>
    <row r="68" spans="1:2" x14ac:dyDescent="0.25">
      <c r="A68" s="32" t="str">
        <f t="shared" ref="A68:A131" si="3">IF(ISTEXT(C68),A67+1,"")</f>
        <v/>
      </c>
      <c r="B68" s="32" t="str">
        <f t="shared" si="2"/>
        <v/>
      </c>
    </row>
    <row r="69" spans="1:2" x14ac:dyDescent="0.25">
      <c r="A69" s="32" t="str">
        <f t="shared" si="3"/>
        <v/>
      </c>
      <c r="B69" s="32" t="str">
        <f t="shared" si="2"/>
        <v/>
      </c>
    </row>
    <row r="70" spans="1:2" x14ac:dyDescent="0.25">
      <c r="A70" s="32" t="str">
        <f t="shared" si="3"/>
        <v/>
      </c>
      <c r="B70" s="32" t="str">
        <f t="shared" si="2"/>
        <v/>
      </c>
    </row>
    <row r="71" spans="1:2" x14ac:dyDescent="0.25">
      <c r="A71" s="32" t="str">
        <f t="shared" si="3"/>
        <v/>
      </c>
      <c r="B71" s="32" t="str">
        <f t="shared" si="2"/>
        <v/>
      </c>
    </row>
    <row r="72" spans="1:2" x14ac:dyDescent="0.25">
      <c r="A72" s="32" t="str">
        <f t="shared" si="3"/>
        <v/>
      </c>
      <c r="B72" s="32" t="str">
        <f t="shared" si="2"/>
        <v/>
      </c>
    </row>
    <row r="73" spans="1:2" x14ac:dyDescent="0.25">
      <c r="A73" s="32" t="str">
        <f t="shared" si="3"/>
        <v/>
      </c>
      <c r="B73" s="32" t="str">
        <f t="shared" si="2"/>
        <v/>
      </c>
    </row>
    <row r="74" spans="1:2" x14ac:dyDescent="0.25">
      <c r="A74" s="32" t="str">
        <f t="shared" si="3"/>
        <v/>
      </c>
      <c r="B74" s="32" t="str">
        <f t="shared" si="2"/>
        <v/>
      </c>
    </row>
    <row r="75" spans="1:2" x14ac:dyDescent="0.25">
      <c r="A75" s="32" t="str">
        <f t="shared" si="3"/>
        <v/>
      </c>
      <c r="B75" s="32" t="str">
        <f t="shared" si="2"/>
        <v/>
      </c>
    </row>
    <row r="76" spans="1:2" x14ac:dyDescent="0.25">
      <c r="A76" s="32" t="str">
        <f t="shared" si="3"/>
        <v/>
      </c>
      <c r="B76" s="32" t="str">
        <f t="shared" si="2"/>
        <v/>
      </c>
    </row>
    <row r="77" spans="1:2" x14ac:dyDescent="0.25">
      <c r="A77" s="32" t="str">
        <f t="shared" si="3"/>
        <v/>
      </c>
      <c r="B77" s="32" t="str">
        <f t="shared" si="2"/>
        <v/>
      </c>
    </row>
    <row r="78" spans="1:2" x14ac:dyDescent="0.25">
      <c r="A78" s="32" t="str">
        <f t="shared" si="3"/>
        <v/>
      </c>
      <c r="B78" s="32" t="str">
        <f t="shared" si="2"/>
        <v/>
      </c>
    </row>
    <row r="79" spans="1:2" x14ac:dyDescent="0.25">
      <c r="A79" s="32" t="str">
        <f t="shared" si="3"/>
        <v/>
      </c>
      <c r="B79" s="32" t="str">
        <f t="shared" si="2"/>
        <v/>
      </c>
    </row>
    <row r="80" spans="1:2" x14ac:dyDescent="0.25">
      <c r="A80" s="32" t="str">
        <f t="shared" si="3"/>
        <v/>
      </c>
      <c r="B80" s="32" t="str">
        <f t="shared" si="2"/>
        <v/>
      </c>
    </row>
    <row r="81" spans="1:2" x14ac:dyDescent="0.25">
      <c r="A81" s="32" t="str">
        <f t="shared" si="3"/>
        <v/>
      </c>
      <c r="B81" s="32" t="str">
        <f t="shared" si="2"/>
        <v/>
      </c>
    </row>
    <row r="82" spans="1:2" x14ac:dyDescent="0.25">
      <c r="A82" s="32" t="str">
        <f t="shared" si="3"/>
        <v/>
      </c>
      <c r="B82" s="32" t="str">
        <f t="shared" si="2"/>
        <v/>
      </c>
    </row>
    <row r="83" spans="1:2" x14ac:dyDescent="0.25">
      <c r="A83" s="32" t="str">
        <f t="shared" si="3"/>
        <v/>
      </c>
      <c r="B83" s="32" t="str">
        <f t="shared" si="2"/>
        <v/>
      </c>
    </row>
    <row r="84" spans="1:2" x14ac:dyDescent="0.25">
      <c r="A84" s="32" t="str">
        <f t="shared" si="3"/>
        <v/>
      </c>
      <c r="B84" s="32" t="str">
        <f t="shared" si="2"/>
        <v/>
      </c>
    </row>
    <row r="85" spans="1:2" x14ac:dyDescent="0.25">
      <c r="A85" s="32" t="str">
        <f t="shared" si="3"/>
        <v/>
      </c>
      <c r="B85" s="32" t="str">
        <f t="shared" si="2"/>
        <v/>
      </c>
    </row>
    <row r="86" spans="1:2" x14ac:dyDescent="0.25">
      <c r="A86" s="32" t="str">
        <f t="shared" si="3"/>
        <v/>
      </c>
      <c r="B86" s="32" t="str">
        <f t="shared" si="2"/>
        <v/>
      </c>
    </row>
    <row r="87" spans="1:2" x14ac:dyDescent="0.25">
      <c r="A87" s="32" t="str">
        <f t="shared" si="3"/>
        <v/>
      </c>
      <c r="B87" s="32" t="str">
        <f t="shared" si="2"/>
        <v/>
      </c>
    </row>
    <row r="88" spans="1:2" x14ac:dyDescent="0.25">
      <c r="A88" s="32" t="str">
        <f t="shared" si="3"/>
        <v/>
      </c>
      <c r="B88" s="32" t="str">
        <f t="shared" si="2"/>
        <v/>
      </c>
    </row>
    <row r="89" spans="1:2" x14ac:dyDescent="0.25">
      <c r="A89" s="32" t="str">
        <f t="shared" si="3"/>
        <v/>
      </c>
      <c r="B89" s="32" t="str">
        <f t="shared" si="2"/>
        <v/>
      </c>
    </row>
    <row r="90" spans="1:2" x14ac:dyDescent="0.25">
      <c r="A90" s="32" t="str">
        <f t="shared" si="3"/>
        <v/>
      </c>
      <c r="B90" s="32" t="str">
        <f t="shared" si="2"/>
        <v/>
      </c>
    </row>
    <row r="91" spans="1:2" x14ac:dyDescent="0.25">
      <c r="A91" s="32" t="str">
        <f t="shared" si="3"/>
        <v/>
      </c>
      <c r="B91" s="32" t="str">
        <f t="shared" si="2"/>
        <v/>
      </c>
    </row>
    <row r="92" spans="1:2" x14ac:dyDescent="0.25">
      <c r="A92" s="32" t="str">
        <f t="shared" si="3"/>
        <v/>
      </c>
      <c r="B92" s="32" t="str">
        <f t="shared" si="2"/>
        <v/>
      </c>
    </row>
    <row r="93" spans="1:2" x14ac:dyDescent="0.25">
      <c r="A93" s="32" t="str">
        <f t="shared" si="3"/>
        <v/>
      </c>
      <c r="B93" s="32" t="str">
        <f t="shared" si="2"/>
        <v/>
      </c>
    </row>
    <row r="94" spans="1:2" x14ac:dyDescent="0.25">
      <c r="A94" s="32" t="str">
        <f t="shared" si="3"/>
        <v/>
      </c>
      <c r="B94" s="32" t="str">
        <f t="shared" si="2"/>
        <v/>
      </c>
    </row>
    <row r="95" spans="1:2" x14ac:dyDescent="0.25">
      <c r="A95" s="32" t="str">
        <f t="shared" si="3"/>
        <v/>
      </c>
      <c r="B95" s="32" t="str">
        <f t="shared" si="2"/>
        <v/>
      </c>
    </row>
    <row r="96" spans="1:2" x14ac:dyDescent="0.25">
      <c r="A96" s="32" t="str">
        <f t="shared" si="3"/>
        <v/>
      </c>
      <c r="B96" s="32" t="str">
        <f t="shared" si="2"/>
        <v/>
      </c>
    </row>
    <row r="97" spans="1:2" x14ac:dyDescent="0.25">
      <c r="A97" s="32" t="str">
        <f t="shared" si="3"/>
        <v/>
      </c>
      <c r="B97" s="32" t="str">
        <f t="shared" si="2"/>
        <v/>
      </c>
    </row>
    <row r="98" spans="1:2" x14ac:dyDescent="0.25">
      <c r="A98" s="32" t="str">
        <f t="shared" si="3"/>
        <v/>
      </c>
      <c r="B98" s="32" t="str">
        <f t="shared" si="2"/>
        <v/>
      </c>
    </row>
    <row r="99" spans="1:2" x14ac:dyDescent="0.25">
      <c r="A99" s="32" t="str">
        <f t="shared" si="3"/>
        <v/>
      </c>
      <c r="B99" s="32" t="str">
        <f t="shared" si="2"/>
        <v/>
      </c>
    </row>
    <row r="100" spans="1:2" x14ac:dyDescent="0.25">
      <c r="A100" s="32" t="str">
        <f t="shared" si="3"/>
        <v/>
      </c>
      <c r="B100" s="32" t="str">
        <f t="shared" si="2"/>
        <v/>
      </c>
    </row>
    <row r="101" spans="1:2" x14ac:dyDescent="0.25">
      <c r="A101" s="32" t="str">
        <f t="shared" si="3"/>
        <v/>
      </c>
      <c r="B101" s="32" t="str">
        <f t="shared" si="2"/>
        <v/>
      </c>
    </row>
    <row r="102" spans="1:2" x14ac:dyDescent="0.25">
      <c r="A102" s="32" t="str">
        <f t="shared" si="3"/>
        <v/>
      </c>
      <c r="B102" s="32" t="str">
        <f t="shared" si="2"/>
        <v/>
      </c>
    </row>
    <row r="103" spans="1:2" x14ac:dyDescent="0.25">
      <c r="A103" s="32" t="str">
        <f t="shared" si="3"/>
        <v/>
      </c>
      <c r="B103" s="32" t="str">
        <f t="shared" si="2"/>
        <v/>
      </c>
    </row>
    <row r="104" spans="1:2" x14ac:dyDescent="0.25">
      <c r="A104" s="32" t="str">
        <f t="shared" si="3"/>
        <v/>
      </c>
      <c r="B104" s="32" t="str">
        <f t="shared" si="2"/>
        <v/>
      </c>
    </row>
    <row r="105" spans="1:2" x14ac:dyDescent="0.25">
      <c r="A105" s="32" t="str">
        <f t="shared" si="3"/>
        <v/>
      </c>
      <c r="B105" s="32" t="str">
        <f t="shared" si="2"/>
        <v/>
      </c>
    </row>
    <row r="106" spans="1:2" x14ac:dyDescent="0.25">
      <c r="A106" s="32" t="str">
        <f t="shared" si="3"/>
        <v/>
      </c>
      <c r="B106" s="32" t="str">
        <f t="shared" si="2"/>
        <v/>
      </c>
    </row>
    <row r="107" spans="1:2" x14ac:dyDescent="0.25">
      <c r="A107" s="32" t="str">
        <f t="shared" si="3"/>
        <v/>
      </c>
      <c r="B107" s="32" t="str">
        <f t="shared" si="2"/>
        <v/>
      </c>
    </row>
    <row r="108" spans="1:2" x14ac:dyDescent="0.25">
      <c r="A108" s="32" t="str">
        <f t="shared" si="3"/>
        <v/>
      </c>
      <c r="B108" s="32" t="str">
        <f t="shared" si="2"/>
        <v/>
      </c>
    </row>
    <row r="109" spans="1:2" x14ac:dyDescent="0.25">
      <c r="A109" s="32" t="str">
        <f t="shared" si="3"/>
        <v/>
      </c>
      <c r="B109" s="32" t="str">
        <f t="shared" si="2"/>
        <v/>
      </c>
    </row>
    <row r="110" spans="1:2" x14ac:dyDescent="0.25">
      <c r="A110" s="32" t="str">
        <f t="shared" si="3"/>
        <v/>
      </c>
      <c r="B110" s="32" t="str">
        <f t="shared" si="2"/>
        <v/>
      </c>
    </row>
    <row r="111" spans="1:2" x14ac:dyDescent="0.25">
      <c r="A111" s="32" t="str">
        <f t="shared" si="3"/>
        <v/>
      </c>
      <c r="B111" s="32" t="str">
        <f t="shared" si="2"/>
        <v/>
      </c>
    </row>
    <row r="112" spans="1:2" x14ac:dyDescent="0.25">
      <c r="A112" s="32" t="str">
        <f t="shared" si="3"/>
        <v/>
      </c>
      <c r="B112" s="32" t="str">
        <f t="shared" si="2"/>
        <v/>
      </c>
    </row>
    <row r="113" spans="1:2" x14ac:dyDescent="0.25">
      <c r="A113" s="32" t="str">
        <f t="shared" si="3"/>
        <v/>
      </c>
      <c r="B113" s="32" t="str">
        <f t="shared" si="2"/>
        <v/>
      </c>
    </row>
    <row r="114" spans="1:2" x14ac:dyDescent="0.25">
      <c r="A114" s="32" t="str">
        <f t="shared" si="3"/>
        <v/>
      </c>
      <c r="B114" s="32" t="str">
        <f t="shared" si="2"/>
        <v/>
      </c>
    </row>
    <row r="115" spans="1:2" x14ac:dyDescent="0.25">
      <c r="A115" s="32" t="str">
        <f t="shared" si="3"/>
        <v/>
      </c>
      <c r="B115" s="32" t="str">
        <f t="shared" si="2"/>
        <v/>
      </c>
    </row>
    <row r="116" spans="1:2" x14ac:dyDescent="0.25">
      <c r="A116" s="32" t="str">
        <f t="shared" si="3"/>
        <v/>
      </c>
      <c r="B116" s="32" t="str">
        <f t="shared" si="2"/>
        <v/>
      </c>
    </row>
    <row r="117" spans="1:2" x14ac:dyDescent="0.25">
      <c r="A117" s="32" t="str">
        <f t="shared" si="3"/>
        <v/>
      </c>
      <c r="B117" s="32" t="str">
        <f t="shared" si="2"/>
        <v/>
      </c>
    </row>
    <row r="118" spans="1:2" x14ac:dyDescent="0.25">
      <c r="A118" s="32" t="str">
        <f t="shared" si="3"/>
        <v/>
      </c>
      <c r="B118" s="32" t="str">
        <f t="shared" si="2"/>
        <v/>
      </c>
    </row>
    <row r="119" spans="1:2" x14ac:dyDescent="0.25">
      <c r="A119" s="32" t="str">
        <f t="shared" si="3"/>
        <v/>
      </c>
      <c r="B119" s="32" t="str">
        <f t="shared" si="2"/>
        <v/>
      </c>
    </row>
    <row r="120" spans="1:2" x14ac:dyDescent="0.25">
      <c r="A120" s="32" t="str">
        <f t="shared" si="3"/>
        <v/>
      </c>
      <c r="B120" s="32" t="str">
        <f t="shared" si="2"/>
        <v/>
      </c>
    </row>
    <row r="121" spans="1:2" x14ac:dyDescent="0.25">
      <c r="A121" s="32" t="str">
        <f t="shared" si="3"/>
        <v/>
      </c>
      <c r="B121" s="32" t="str">
        <f t="shared" si="2"/>
        <v/>
      </c>
    </row>
    <row r="122" spans="1:2" x14ac:dyDescent="0.25">
      <c r="A122" s="32" t="str">
        <f t="shared" si="3"/>
        <v/>
      </c>
      <c r="B122" s="32" t="str">
        <f t="shared" si="2"/>
        <v/>
      </c>
    </row>
    <row r="123" spans="1:2" x14ac:dyDescent="0.25">
      <c r="A123" s="32" t="str">
        <f t="shared" si="3"/>
        <v/>
      </c>
      <c r="B123" s="32" t="str">
        <f t="shared" si="2"/>
        <v/>
      </c>
    </row>
    <row r="124" spans="1:2" x14ac:dyDescent="0.25">
      <c r="A124" s="32" t="str">
        <f t="shared" si="3"/>
        <v/>
      </c>
      <c r="B124" s="32" t="str">
        <f t="shared" si="2"/>
        <v/>
      </c>
    </row>
    <row r="125" spans="1:2" x14ac:dyDescent="0.25">
      <c r="A125" s="32" t="str">
        <f t="shared" si="3"/>
        <v/>
      </c>
      <c r="B125" s="32" t="str">
        <f t="shared" si="2"/>
        <v/>
      </c>
    </row>
    <row r="126" spans="1:2" x14ac:dyDescent="0.25">
      <c r="A126" s="32" t="str">
        <f t="shared" si="3"/>
        <v/>
      </c>
      <c r="B126" s="32" t="str">
        <f t="shared" si="2"/>
        <v/>
      </c>
    </row>
    <row r="127" spans="1:2" x14ac:dyDescent="0.25">
      <c r="A127" s="32" t="str">
        <f t="shared" si="3"/>
        <v/>
      </c>
      <c r="B127" s="32" t="str">
        <f t="shared" si="2"/>
        <v/>
      </c>
    </row>
    <row r="128" spans="1:2" x14ac:dyDescent="0.25">
      <c r="A128" s="32" t="str">
        <f t="shared" si="3"/>
        <v/>
      </c>
      <c r="B128" s="32" t="str">
        <f t="shared" si="2"/>
        <v/>
      </c>
    </row>
    <row r="129" spans="1:2" x14ac:dyDescent="0.25">
      <c r="A129" s="32" t="str">
        <f t="shared" si="3"/>
        <v/>
      </c>
      <c r="B129" s="32" t="str">
        <f t="shared" si="2"/>
        <v/>
      </c>
    </row>
    <row r="130" spans="1:2" x14ac:dyDescent="0.25">
      <c r="A130" s="32" t="str">
        <f t="shared" si="3"/>
        <v/>
      </c>
      <c r="B130" s="32" t="str">
        <f t="shared" si="2"/>
        <v/>
      </c>
    </row>
    <row r="131" spans="1:2" x14ac:dyDescent="0.25">
      <c r="A131" s="32" t="str">
        <f t="shared" si="3"/>
        <v/>
      </c>
      <c r="B131" s="32" t="str">
        <f t="shared" ref="B131:B194" si="4">A131</f>
        <v/>
      </c>
    </row>
    <row r="132" spans="1:2" x14ac:dyDescent="0.25">
      <c r="A132" s="32" t="str">
        <f t="shared" ref="A132:A195" si="5">IF(ISTEXT(C132),A131+1,"")</f>
        <v/>
      </c>
      <c r="B132" s="32" t="str">
        <f t="shared" si="4"/>
        <v/>
      </c>
    </row>
    <row r="133" spans="1:2" x14ac:dyDescent="0.25">
      <c r="A133" s="32" t="str">
        <f t="shared" si="5"/>
        <v/>
      </c>
      <c r="B133" s="32" t="str">
        <f t="shared" si="4"/>
        <v/>
      </c>
    </row>
    <row r="134" spans="1:2" x14ac:dyDescent="0.25">
      <c r="A134" s="32" t="str">
        <f t="shared" si="5"/>
        <v/>
      </c>
      <c r="B134" s="32" t="str">
        <f t="shared" si="4"/>
        <v/>
      </c>
    </row>
    <row r="135" spans="1:2" x14ac:dyDescent="0.25">
      <c r="A135" s="32" t="str">
        <f t="shared" si="5"/>
        <v/>
      </c>
      <c r="B135" s="32" t="str">
        <f t="shared" si="4"/>
        <v/>
      </c>
    </row>
    <row r="136" spans="1:2" x14ac:dyDescent="0.25">
      <c r="A136" s="32" t="str">
        <f t="shared" si="5"/>
        <v/>
      </c>
      <c r="B136" s="32" t="str">
        <f t="shared" si="4"/>
        <v/>
      </c>
    </row>
    <row r="137" spans="1:2" x14ac:dyDescent="0.25">
      <c r="A137" s="32" t="str">
        <f t="shared" si="5"/>
        <v/>
      </c>
      <c r="B137" s="32" t="str">
        <f t="shared" si="4"/>
        <v/>
      </c>
    </row>
    <row r="138" spans="1:2" x14ac:dyDescent="0.25">
      <c r="A138" s="32" t="str">
        <f t="shared" si="5"/>
        <v/>
      </c>
      <c r="B138" s="32" t="str">
        <f t="shared" si="4"/>
        <v/>
      </c>
    </row>
    <row r="139" spans="1:2" x14ac:dyDescent="0.25">
      <c r="A139" s="32" t="str">
        <f t="shared" si="5"/>
        <v/>
      </c>
      <c r="B139" s="32" t="str">
        <f t="shared" si="4"/>
        <v/>
      </c>
    </row>
    <row r="140" spans="1:2" x14ac:dyDescent="0.25">
      <c r="A140" s="32" t="str">
        <f t="shared" si="5"/>
        <v/>
      </c>
      <c r="B140" s="32" t="str">
        <f t="shared" si="4"/>
        <v/>
      </c>
    </row>
    <row r="141" spans="1:2" x14ac:dyDescent="0.25">
      <c r="A141" s="32" t="str">
        <f t="shared" si="5"/>
        <v/>
      </c>
      <c r="B141" s="32" t="str">
        <f t="shared" si="4"/>
        <v/>
      </c>
    </row>
    <row r="142" spans="1:2" x14ac:dyDescent="0.25">
      <c r="A142" s="32" t="str">
        <f t="shared" si="5"/>
        <v/>
      </c>
      <c r="B142" s="32" t="str">
        <f t="shared" si="4"/>
        <v/>
      </c>
    </row>
    <row r="143" spans="1:2" x14ac:dyDescent="0.25">
      <c r="A143" s="32" t="str">
        <f t="shared" si="5"/>
        <v/>
      </c>
      <c r="B143" s="32" t="str">
        <f t="shared" si="4"/>
        <v/>
      </c>
    </row>
    <row r="144" spans="1:2" x14ac:dyDescent="0.25">
      <c r="A144" s="32" t="str">
        <f t="shared" si="5"/>
        <v/>
      </c>
      <c r="B144" s="32" t="str">
        <f t="shared" si="4"/>
        <v/>
      </c>
    </row>
    <row r="145" spans="1:2" x14ac:dyDescent="0.25">
      <c r="A145" s="32" t="str">
        <f t="shared" si="5"/>
        <v/>
      </c>
      <c r="B145" s="32" t="str">
        <f t="shared" si="4"/>
        <v/>
      </c>
    </row>
    <row r="146" spans="1:2" x14ac:dyDescent="0.25">
      <c r="A146" s="32" t="str">
        <f t="shared" si="5"/>
        <v/>
      </c>
      <c r="B146" s="32" t="str">
        <f t="shared" si="4"/>
        <v/>
      </c>
    </row>
    <row r="147" spans="1:2" x14ac:dyDescent="0.25">
      <c r="A147" s="32" t="str">
        <f t="shared" si="5"/>
        <v/>
      </c>
      <c r="B147" s="32" t="str">
        <f t="shared" si="4"/>
        <v/>
      </c>
    </row>
    <row r="148" spans="1:2" x14ac:dyDescent="0.25">
      <c r="A148" s="32" t="str">
        <f t="shared" si="5"/>
        <v/>
      </c>
      <c r="B148" s="32" t="str">
        <f t="shared" si="4"/>
        <v/>
      </c>
    </row>
    <row r="149" spans="1:2" x14ac:dyDescent="0.25">
      <c r="A149" s="32" t="str">
        <f t="shared" si="5"/>
        <v/>
      </c>
      <c r="B149" s="32" t="str">
        <f t="shared" si="4"/>
        <v/>
      </c>
    </row>
    <row r="150" spans="1:2" x14ac:dyDescent="0.25">
      <c r="A150" s="32" t="str">
        <f t="shared" si="5"/>
        <v/>
      </c>
      <c r="B150" s="32" t="str">
        <f t="shared" si="4"/>
        <v/>
      </c>
    </row>
    <row r="151" spans="1:2" x14ac:dyDescent="0.25">
      <c r="A151" s="32" t="str">
        <f t="shared" si="5"/>
        <v/>
      </c>
      <c r="B151" s="32" t="str">
        <f t="shared" si="4"/>
        <v/>
      </c>
    </row>
    <row r="152" spans="1:2" x14ac:dyDescent="0.25">
      <c r="A152" s="32" t="str">
        <f t="shared" si="5"/>
        <v/>
      </c>
      <c r="B152" s="32" t="str">
        <f t="shared" si="4"/>
        <v/>
      </c>
    </row>
    <row r="153" spans="1:2" x14ac:dyDescent="0.25">
      <c r="A153" s="32" t="str">
        <f t="shared" si="5"/>
        <v/>
      </c>
      <c r="B153" s="32" t="str">
        <f t="shared" si="4"/>
        <v/>
      </c>
    </row>
    <row r="154" spans="1:2" x14ac:dyDescent="0.25">
      <c r="A154" s="32" t="str">
        <f t="shared" si="5"/>
        <v/>
      </c>
      <c r="B154" s="32" t="str">
        <f t="shared" si="4"/>
        <v/>
      </c>
    </row>
    <row r="155" spans="1:2" x14ac:dyDescent="0.25">
      <c r="A155" s="32" t="str">
        <f t="shared" si="5"/>
        <v/>
      </c>
      <c r="B155" s="32" t="str">
        <f t="shared" si="4"/>
        <v/>
      </c>
    </row>
    <row r="156" spans="1:2" x14ac:dyDescent="0.25">
      <c r="A156" s="32" t="str">
        <f t="shared" si="5"/>
        <v/>
      </c>
      <c r="B156" s="32" t="str">
        <f t="shared" si="4"/>
        <v/>
      </c>
    </row>
    <row r="157" spans="1:2" x14ac:dyDescent="0.25">
      <c r="A157" s="32" t="str">
        <f t="shared" si="5"/>
        <v/>
      </c>
      <c r="B157" s="32" t="str">
        <f t="shared" si="4"/>
        <v/>
      </c>
    </row>
    <row r="158" spans="1:2" x14ac:dyDescent="0.25">
      <c r="A158" s="32" t="str">
        <f t="shared" si="5"/>
        <v/>
      </c>
      <c r="B158" s="32" t="str">
        <f t="shared" si="4"/>
        <v/>
      </c>
    </row>
    <row r="159" spans="1:2" x14ac:dyDescent="0.25">
      <c r="A159" s="32" t="str">
        <f t="shared" si="5"/>
        <v/>
      </c>
      <c r="B159" s="32" t="str">
        <f t="shared" si="4"/>
        <v/>
      </c>
    </row>
    <row r="160" spans="1:2" x14ac:dyDescent="0.25">
      <c r="A160" s="32" t="str">
        <f t="shared" si="5"/>
        <v/>
      </c>
      <c r="B160" s="32" t="str">
        <f t="shared" si="4"/>
        <v/>
      </c>
    </row>
    <row r="161" spans="1:2" x14ac:dyDescent="0.25">
      <c r="A161" s="32" t="str">
        <f t="shared" si="5"/>
        <v/>
      </c>
      <c r="B161" s="32" t="str">
        <f t="shared" si="4"/>
        <v/>
      </c>
    </row>
    <row r="162" spans="1:2" x14ac:dyDescent="0.25">
      <c r="A162" s="32" t="str">
        <f t="shared" si="5"/>
        <v/>
      </c>
      <c r="B162" s="32" t="str">
        <f t="shared" si="4"/>
        <v/>
      </c>
    </row>
    <row r="163" spans="1:2" x14ac:dyDescent="0.25">
      <c r="A163" s="32" t="str">
        <f t="shared" si="5"/>
        <v/>
      </c>
      <c r="B163" s="32" t="str">
        <f t="shared" si="4"/>
        <v/>
      </c>
    </row>
    <row r="164" spans="1:2" x14ac:dyDescent="0.25">
      <c r="A164" s="32" t="str">
        <f t="shared" si="5"/>
        <v/>
      </c>
      <c r="B164" s="32" t="str">
        <f t="shared" si="4"/>
        <v/>
      </c>
    </row>
    <row r="165" spans="1:2" x14ac:dyDescent="0.25">
      <c r="A165" s="32" t="str">
        <f t="shared" si="5"/>
        <v/>
      </c>
      <c r="B165" s="32" t="str">
        <f t="shared" si="4"/>
        <v/>
      </c>
    </row>
    <row r="166" spans="1:2" x14ac:dyDescent="0.25">
      <c r="A166" s="32" t="str">
        <f t="shared" si="5"/>
        <v/>
      </c>
      <c r="B166" s="32" t="str">
        <f t="shared" si="4"/>
        <v/>
      </c>
    </row>
    <row r="167" spans="1:2" x14ac:dyDescent="0.25">
      <c r="A167" s="32" t="str">
        <f t="shared" si="5"/>
        <v/>
      </c>
      <c r="B167" s="32" t="str">
        <f t="shared" si="4"/>
        <v/>
      </c>
    </row>
    <row r="168" spans="1:2" x14ac:dyDescent="0.25">
      <c r="A168" s="32" t="str">
        <f t="shared" si="5"/>
        <v/>
      </c>
      <c r="B168" s="32" t="str">
        <f t="shared" si="4"/>
        <v/>
      </c>
    </row>
    <row r="169" spans="1:2" x14ac:dyDescent="0.25">
      <c r="A169" s="32" t="str">
        <f t="shared" si="5"/>
        <v/>
      </c>
      <c r="B169" s="32" t="str">
        <f t="shared" si="4"/>
        <v/>
      </c>
    </row>
    <row r="170" spans="1:2" x14ac:dyDescent="0.25">
      <c r="A170" s="32" t="str">
        <f t="shared" si="5"/>
        <v/>
      </c>
      <c r="B170" s="32" t="str">
        <f t="shared" si="4"/>
        <v/>
      </c>
    </row>
    <row r="171" spans="1:2" x14ac:dyDescent="0.25">
      <c r="A171" s="32" t="str">
        <f t="shared" si="5"/>
        <v/>
      </c>
      <c r="B171" s="32" t="str">
        <f t="shared" si="4"/>
        <v/>
      </c>
    </row>
    <row r="172" spans="1:2" x14ac:dyDescent="0.25">
      <c r="A172" s="32" t="str">
        <f t="shared" si="5"/>
        <v/>
      </c>
      <c r="B172" s="32" t="str">
        <f t="shared" si="4"/>
        <v/>
      </c>
    </row>
    <row r="173" spans="1:2" x14ac:dyDescent="0.25">
      <c r="A173" s="32" t="str">
        <f t="shared" si="5"/>
        <v/>
      </c>
      <c r="B173" s="32" t="str">
        <f t="shared" si="4"/>
        <v/>
      </c>
    </row>
    <row r="174" spans="1:2" x14ac:dyDescent="0.25">
      <c r="A174" s="32" t="str">
        <f t="shared" si="5"/>
        <v/>
      </c>
      <c r="B174" s="32" t="str">
        <f t="shared" si="4"/>
        <v/>
      </c>
    </row>
    <row r="175" spans="1:2" x14ac:dyDescent="0.25">
      <c r="A175" s="32" t="str">
        <f t="shared" si="5"/>
        <v/>
      </c>
      <c r="B175" s="32" t="str">
        <f t="shared" si="4"/>
        <v/>
      </c>
    </row>
    <row r="176" spans="1:2" x14ac:dyDescent="0.25">
      <c r="A176" s="32" t="str">
        <f t="shared" si="5"/>
        <v/>
      </c>
      <c r="B176" s="32" t="str">
        <f t="shared" si="4"/>
        <v/>
      </c>
    </row>
    <row r="177" spans="1:2" x14ac:dyDescent="0.25">
      <c r="A177" s="32" t="str">
        <f t="shared" si="5"/>
        <v/>
      </c>
      <c r="B177" s="32" t="str">
        <f t="shared" si="4"/>
        <v/>
      </c>
    </row>
    <row r="178" spans="1:2" x14ac:dyDescent="0.25">
      <c r="A178" s="32" t="str">
        <f t="shared" si="5"/>
        <v/>
      </c>
      <c r="B178" s="32" t="str">
        <f t="shared" si="4"/>
        <v/>
      </c>
    </row>
    <row r="179" spans="1:2" x14ac:dyDescent="0.25">
      <c r="A179" s="32" t="str">
        <f t="shared" si="5"/>
        <v/>
      </c>
      <c r="B179" s="32" t="str">
        <f t="shared" si="4"/>
        <v/>
      </c>
    </row>
    <row r="180" spans="1:2" x14ac:dyDescent="0.25">
      <c r="A180" s="32" t="str">
        <f t="shared" si="5"/>
        <v/>
      </c>
      <c r="B180" s="32" t="str">
        <f t="shared" si="4"/>
        <v/>
      </c>
    </row>
    <row r="181" spans="1:2" x14ac:dyDescent="0.25">
      <c r="A181" s="32" t="str">
        <f t="shared" si="5"/>
        <v/>
      </c>
      <c r="B181" s="32" t="str">
        <f t="shared" si="4"/>
        <v/>
      </c>
    </row>
    <row r="182" spans="1:2" x14ac:dyDescent="0.25">
      <c r="A182" s="32" t="str">
        <f t="shared" si="5"/>
        <v/>
      </c>
      <c r="B182" s="32" t="str">
        <f t="shared" si="4"/>
        <v/>
      </c>
    </row>
    <row r="183" spans="1:2" x14ac:dyDescent="0.25">
      <c r="A183" s="32" t="str">
        <f t="shared" si="5"/>
        <v/>
      </c>
      <c r="B183" s="32" t="str">
        <f t="shared" si="4"/>
        <v/>
      </c>
    </row>
    <row r="184" spans="1:2" x14ac:dyDescent="0.25">
      <c r="A184" s="32" t="str">
        <f t="shared" si="5"/>
        <v/>
      </c>
      <c r="B184" s="32" t="str">
        <f t="shared" si="4"/>
        <v/>
      </c>
    </row>
    <row r="185" spans="1:2" x14ac:dyDescent="0.25">
      <c r="A185" s="32" t="str">
        <f t="shared" si="5"/>
        <v/>
      </c>
      <c r="B185" s="32" t="str">
        <f t="shared" si="4"/>
        <v/>
      </c>
    </row>
    <row r="186" spans="1:2" x14ac:dyDescent="0.25">
      <c r="A186" s="32" t="str">
        <f t="shared" si="5"/>
        <v/>
      </c>
      <c r="B186" s="32" t="str">
        <f t="shared" si="4"/>
        <v/>
      </c>
    </row>
    <row r="187" spans="1:2" x14ac:dyDescent="0.25">
      <c r="A187" s="32" t="str">
        <f t="shared" si="5"/>
        <v/>
      </c>
      <c r="B187" s="32" t="str">
        <f t="shared" si="4"/>
        <v/>
      </c>
    </row>
    <row r="188" spans="1:2" x14ac:dyDescent="0.25">
      <c r="A188" s="32" t="str">
        <f t="shared" si="5"/>
        <v/>
      </c>
      <c r="B188" s="32" t="str">
        <f t="shared" si="4"/>
        <v/>
      </c>
    </row>
    <row r="189" spans="1:2" x14ac:dyDescent="0.25">
      <c r="A189" s="32" t="str">
        <f t="shared" si="5"/>
        <v/>
      </c>
      <c r="B189" s="32" t="str">
        <f t="shared" si="4"/>
        <v/>
      </c>
    </row>
    <row r="190" spans="1:2" x14ac:dyDescent="0.25">
      <c r="A190" s="32" t="str">
        <f t="shared" si="5"/>
        <v/>
      </c>
      <c r="B190" s="32" t="str">
        <f t="shared" si="4"/>
        <v/>
      </c>
    </row>
    <row r="191" spans="1:2" x14ac:dyDescent="0.25">
      <c r="A191" s="32" t="str">
        <f t="shared" si="5"/>
        <v/>
      </c>
      <c r="B191" s="32" t="str">
        <f t="shared" si="4"/>
        <v/>
      </c>
    </row>
    <row r="192" spans="1:2" x14ac:dyDescent="0.25">
      <c r="A192" s="32" t="str">
        <f t="shared" si="5"/>
        <v/>
      </c>
      <c r="B192" s="32" t="str">
        <f t="shared" si="4"/>
        <v/>
      </c>
    </row>
    <row r="193" spans="1:2" x14ac:dyDescent="0.25">
      <c r="A193" s="32" t="str">
        <f t="shared" si="5"/>
        <v/>
      </c>
      <c r="B193" s="32" t="str">
        <f t="shared" si="4"/>
        <v/>
      </c>
    </row>
    <row r="194" spans="1:2" x14ac:dyDescent="0.25">
      <c r="A194" s="32" t="str">
        <f t="shared" si="5"/>
        <v/>
      </c>
      <c r="B194" s="32" t="str">
        <f t="shared" si="4"/>
        <v/>
      </c>
    </row>
    <row r="195" spans="1:2" x14ac:dyDescent="0.25">
      <c r="A195" s="32" t="str">
        <f t="shared" si="5"/>
        <v/>
      </c>
      <c r="B195" s="32" t="str">
        <f t="shared" ref="B195:B200" si="6">A195</f>
        <v/>
      </c>
    </row>
    <row r="196" spans="1:2" x14ac:dyDescent="0.25">
      <c r="A196" s="32" t="str">
        <f t="shared" ref="A196:A259" si="7">IF(ISTEXT(C196),A195+1,"")</f>
        <v/>
      </c>
      <c r="B196" s="32" t="str">
        <f t="shared" si="6"/>
        <v/>
      </c>
    </row>
    <row r="197" spans="1:2" x14ac:dyDescent="0.25">
      <c r="A197" s="32" t="str">
        <f t="shared" si="7"/>
        <v/>
      </c>
      <c r="B197" s="32" t="str">
        <f t="shared" si="6"/>
        <v/>
      </c>
    </row>
    <row r="198" spans="1:2" x14ac:dyDescent="0.25">
      <c r="A198" s="32" t="str">
        <f t="shared" si="7"/>
        <v/>
      </c>
      <c r="B198" s="32" t="str">
        <f t="shared" si="6"/>
        <v/>
      </c>
    </row>
    <row r="199" spans="1:2" x14ac:dyDescent="0.25">
      <c r="A199" s="32" t="str">
        <f t="shared" si="7"/>
        <v/>
      </c>
      <c r="B199" s="32" t="str">
        <f t="shared" si="6"/>
        <v/>
      </c>
    </row>
    <row r="200" spans="1:2" x14ac:dyDescent="0.25">
      <c r="A200" s="32" t="str">
        <f t="shared" si="7"/>
        <v/>
      </c>
      <c r="B200" s="32" t="str">
        <f t="shared" si="6"/>
        <v/>
      </c>
    </row>
    <row r="201" spans="1:2" x14ac:dyDescent="0.25">
      <c r="A201" s="38" t="str">
        <f t="shared" si="7"/>
        <v/>
      </c>
    </row>
    <row r="202" spans="1:2" x14ac:dyDescent="0.25">
      <c r="A202" s="38" t="str">
        <f t="shared" si="7"/>
        <v/>
      </c>
    </row>
    <row r="203" spans="1:2" x14ac:dyDescent="0.25">
      <c r="A203" s="38" t="str">
        <f t="shared" si="7"/>
        <v/>
      </c>
    </row>
    <row r="204" spans="1:2" x14ac:dyDescent="0.25">
      <c r="A204" s="38" t="str">
        <f t="shared" si="7"/>
        <v/>
      </c>
    </row>
    <row r="205" spans="1:2" x14ac:dyDescent="0.25">
      <c r="A205" s="38" t="str">
        <f t="shared" si="7"/>
        <v/>
      </c>
    </row>
    <row r="206" spans="1:2" x14ac:dyDescent="0.25">
      <c r="A206" s="38" t="str">
        <f t="shared" si="7"/>
        <v/>
      </c>
    </row>
    <row r="207" spans="1:2" x14ac:dyDescent="0.25">
      <c r="A207" s="38" t="str">
        <f t="shared" si="7"/>
        <v/>
      </c>
    </row>
    <row r="208" spans="1:2" x14ac:dyDescent="0.25">
      <c r="A208" s="38" t="str">
        <f t="shared" si="7"/>
        <v/>
      </c>
    </row>
    <row r="209" spans="1:1" x14ac:dyDescent="0.25">
      <c r="A209" s="38" t="str">
        <f t="shared" si="7"/>
        <v/>
      </c>
    </row>
    <row r="210" spans="1:1" x14ac:dyDescent="0.25">
      <c r="A210" s="38" t="str">
        <f t="shared" si="7"/>
        <v/>
      </c>
    </row>
    <row r="211" spans="1:1" x14ac:dyDescent="0.25">
      <c r="A211" s="38" t="str">
        <f t="shared" si="7"/>
        <v/>
      </c>
    </row>
    <row r="212" spans="1:1" x14ac:dyDescent="0.25">
      <c r="A212" s="38" t="str">
        <f t="shared" si="7"/>
        <v/>
      </c>
    </row>
    <row r="213" spans="1:1" x14ac:dyDescent="0.25">
      <c r="A213" s="38" t="str">
        <f t="shared" si="7"/>
        <v/>
      </c>
    </row>
    <row r="214" spans="1:1" x14ac:dyDescent="0.25">
      <c r="A214" s="38" t="str">
        <f t="shared" si="7"/>
        <v/>
      </c>
    </row>
    <row r="215" spans="1:1" x14ac:dyDescent="0.25">
      <c r="A215" s="38" t="str">
        <f t="shared" si="7"/>
        <v/>
      </c>
    </row>
    <row r="216" spans="1:1" x14ac:dyDescent="0.25">
      <c r="A216" s="38" t="str">
        <f t="shared" si="7"/>
        <v/>
      </c>
    </row>
    <row r="217" spans="1:1" x14ac:dyDescent="0.25">
      <c r="A217" s="38" t="str">
        <f t="shared" si="7"/>
        <v/>
      </c>
    </row>
    <row r="218" spans="1:1" x14ac:dyDescent="0.25">
      <c r="A218" s="38" t="str">
        <f t="shared" si="7"/>
        <v/>
      </c>
    </row>
    <row r="219" spans="1:1" x14ac:dyDescent="0.25">
      <c r="A219" s="38" t="str">
        <f t="shared" si="7"/>
        <v/>
      </c>
    </row>
    <row r="220" spans="1:1" x14ac:dyDescent="0.25">
      <c r="A220" s="38" t="str">
        <f t="shared" si="7"/>
        <v/>
      </c>
    </row>
    <row r="221" spans="1:1" x14ac:dyDescent="0.25">
      <c r="A221" s="38" t="str">
        <f t="shared" si="7"/>
        <v/>
      </c>
    </row>
    <row r="222" spans="1:1" x14ac:dyDescent="0.25">
      <c r="A222" s="38" t="str">
        <f t="shared" si="7"/>
        <v/>
      </c>
    </row>
    <row r="223" spans="1:1" x14ac:dyDescent="0.25">
      <c r="A223" s="38" t="str">
        <f t="shared" si="7"/>
        <v/>
      </c>
    </row>
    <row r="224" spans="1:1" x14ac:dyDescent="0.25">
      <c r="A224" s="38" t="str">
        <f t="shared" si="7"/>
        <v/>
      </c>
    </row>
    <row r="225" spans="1:1" x14ac:dyDescent="0.25">
      <c r="A225" s="38" t="str">
        <f t="shared" si="7"/>
        <v/>
      </c>
    </row>
    <row r="226" spans="1:1" x14ac:dyDescent="0.25">
      <c r="A226" s="38" t="str">
        <f t="shared" si="7"/>
        <v/>
      </c>
    </row>
    <row r="227" spans="1:1" x14ac:dyDescent="0.25">
      <c r="A227" s="38" t="str">
        <f t="shared" si="7"/>
        <v/>
      </c>
    </row>
    <row r="228" spans="1:1" x14ac:dyDescent="0.25">
      <c r="A228" s="38" t="str">
        <f t="shared" si="7"/>
        <v/>
      </c>
    </row>
    <row r="229" spans="1:1" x14ac:dyDescent="0.25">
      <c r="A229" s="38" t="str">
        <f t="shared" si="7"/>
        <v/>
      </c>
    </row>
    <row r="230" spans="1:1" x14ac:dyDescent="0.25">
      <c r="A230" s="38" t="str">
        <f t="shared" si="7"/>
        <v/>
      </c>
    </row>
    <row r="231" spans="1:1" x14ac:dyDescent="0.25">
      <c r="A231" s="38" t="str">
        <f t="shared" si="7"/>
        <v/>
      </c>
    </row>
    <row r="232" spans="1:1" x14ac:dyDescent="0.25">
      <c r="A232" s="38" t="str">
        <f t="shared" si="7"/>
        <v/>
      </c>
    </row>
    <row r="233" spans="1:1" x14ac:dyDescent="0.25">
      <c r="A233" s="38" t="str">
        <f t="shared" si="7"/>
        <v/>
      </c>
    </row>
    <row r="234" spans="1:1" x14ac:dyDescent="0.25">
      <c r="A234" s="38" t="str">
        <f t="shared" si="7"/>
        <v/>
      </c>
    </row>
    <row r="235" spans="1:1" x14ac:dyDescent="0.25">
      <c r="A235" s="38" t="str">
        <f t="shared" si="7"/>
        <v/>
      </c>
    </row>
    <row r="236" spans="1:1" x14ac:dyDescent="0.25">
      <c r="A236" s="38" t="str">
        <f t="shared" si="7"/>
        <v/>
      </c>
    </row>
    <row r="237" spans="1:1" x14ac:dyDescent="0.25">
      <c r="A237" s="38" t="str">
        <f t="shared" si="7"/>
        <v/>
      </c>
    </row>
    <row r="238" spans="1:1" x14ac:dyDescent="0.25">
      <c r="A238" s="38" t="str">
        <f t="shared" si="7"/>
        <v/>
      </c>
    </row>
    <row r="239" spans="1:1" x14ac:dyDescent="0.25">
      <c r="A239" s="38" t="str">
        <f t="shared" si="7"/>
        <v/>
      </c>
    </row>
    <row r="240" spans="1:1" x14ac:dyDescent="0.25">
      <c r="A240" s="38" t="str">
        <f t="shared" si="7"/>
        <v/>
      </c>
    </row>
    <row r="241" spans="1:1" x14ac:dyDescent="0.25">
      <c r="A241" s="38" t="str">
        <f t="shared" si="7"/>
        <v/>
      </c>
    </row>
    <row r="242" spans="1:1" x14ac:dyDescent="0.25">
      <c r="A242" s="38" t="str">
        <f t="shared" si="7"/>
        <v/>
      </c>
    </row>
    <row r="243" spans="1:1" x14ac:dyDescent="0.25">
      <c r="A243" s="38" t="str">
        <f t="shared" si="7"/>
        <v/>
      </c>
    </row>
    <row r="244" spans="1:1" x14ac:dyDescent="0.25">
      <c r="A244" s="38" t="str">
        <f t="shared" si="7"/>
        <v/>
      </c>
    </row>
    <row r="245" spans="1:1" x14ac:dyDescent="0.25">
      <c r="A245" s="38" t="str">
        <f t="shared" si="7"/>
        <v/>
      </c>
    </row>
    <row r="246" spans="1:1" x14ac:dyDescent="0.25">
      <c r="A246" s="38" t="str">
        <f t="shared" si="7"/>
        <v/>
      </c>
    </row>
    <row r="247" spans="1:1" x14ac:dyDescent="0.25">
      <c r="A247" s="38" t="str">
        <f t="shared" si="7"/>
        <v/>
      </c>
    </row>
    <row r="248" spans="1:1" x14ac:dyDescent="0.25">
      <c r="A248" s="38" t="str">
        <f t="shared" si="7"/>
        <v/>
      </c>
    </row>
    <row r="249" spans="1:1" x14ac:dyDescent="0.25">
      <c r="A249" s="38" t="str">
        <f t="shared" si="7"/>
        <v/>
      </c>
    </row>
    <row r="250" spans="1:1" x14ac:dyDescent="0.25">
      <c r="A250" s="38" t="str">
        <f t="shared" si="7"/>
        <v/>
      </c>
    </row>
    <row r="251" spans="1:1" x14ac:dyDescent="0.25">
      <c r="A251" s="38" t="str">
        <f t="shared" si="7"/>
        <v/>
      </c>
    </row>
    <row r="252" spans="1:1" x14ac:dyDescent="0.25">
      <c r="A252" s="38" t="str">
        <f t="shared" si="7"/>
        <v/>
      </c>
    </row>
    <row r="253" spans="1:1" x14ac:dyDescent="0.25">
      <c r="A253" s="38" t="str">
        <f t="shared" si="7"/>
        <v/>
      </c>
    </row>
    <row r="254" spans="1:1" x14ac:dyDescent="0.25">
      <c r="A254" s="38" t="str">
        <f t="shared" si="7"/>
        <v/>
      </c>
    </row>
    <row r="255" spans="1:1" x14ac:dyDescent="0.25">
      <c r="A255" s="38" t="str">
        <f t="shared" si="7"/>
        <v/>
      </c>
    </row>
    <row r="256" spans="1:1" x14ac:dyDescent="0.25">
      <c r="A256" s="38" t="str">
        <f t="shared" si="7"/>
        <v/>
      </c>
    </row>
    <row r="257" spans="1:1" x14ac:dyDescent="0.25">
      <c r="A257" s="38" t="str">
        <f t="shared" si="7"/>
        <v/>
      </c>
    </row>
    <row r="258" spans="1:1" x14ac:dyDescent="0.25">
      <c r="A258" s="38" t="str">
        <f t="shared" si="7"/>
        <v/>
      </c>
    </row>
    <row r="259" spans="1:1" x14ac:dyDescent="0.25">
      <c r="A259" s="38" t="str">
        <f t="shared" si="7"/>
        <v/>
      </c>
    </row>
    <row r="260" spans="1:1" x14ac:dyDescent="0.25">
      <c r="A260" s="38" t="str">
        <f t="shared" ref="A260:A323" si="8">IF(ISTEXT(C260),A259+1,"")</f>
        <v/>
      </c>
    </row>
    <row r="261" spans="1:1" x14ac:dyDescent="0.25">
      <c r="A261" s="38" t="str">
        <f t="shared" si="8"/>
        <v/>
      </c>
    </row>
    <row r="262" spans="1:1" x14ac:dyDescent="0.25">
      <c r="A262" s="38" t="str">
        <f t="shared" si="8"/>
        <v/>
      </c>
    </row>
    <row r="263" spans="1:1" x14ac:dyDescent="0.25">
      <c r="A263" s="38" t="str">
        <f t="shared" si="8"/>
        <v/>
      </c>
    </row>
    <row r="264" spans="1:1" x14ac:dyDescent="0.25">
      <c r="A264" s="38" t="str">
        <f t="shared" si="8"/>
        <v/>
      </c>
    </row>
    <row r="265" spans="1:1" x14ac:dyDescent="0.25">
      <c r="A265" s="38" t="str">
        <f t="shared" si="8"/>
        <v/>
      </c>
    </row>
    <row r="266" spans="1:1" x14ac:dyDescent="0.25">
      <c r="A266" s="38" t="str">
        <f t="shared" si="8"/>
        <v/>
      </c>
    </row>
    <row r="267" spans="1:1" x14ac:dyDescent="0.25">
      <c r="A267" s="38" t="str">
        <f t="shared" si="8"/>
        <v/>
      </c>
    </row>
    <row r="268" spans="1:1" x14ac:dyDescent="0.25">
      <c r="A268" s="38" t="str">
        <f t="shared" si="8"/>
        <v/>
      </c>
    </row>
    <row r="269" spans="1:1" x14ac:dyDescent="0.25">
      <c r="A269" s="38" t="str">
        <f t="shared" si="8"/>
        <v/>
      </c>
    </row>
    <row r="270" spans="1:1" x14ac:dyDescent="0.25">
      <c r="A270" s="38" t="str">
        <f t="shared" si="8"/>
        <v/>
      </c>
    </row>
    <row r="271" spans="1:1" x14ac:dyDescent="0.25">
      <c r="A271" s="38" t="str">
        <f t="shared" si="8"/>
        <v/>
      </c>
    </row>
    <row r="272" spans="1:1" x14ac:dyDescent="0.25">
      <c r="A272" s="38" t="str">
        <f t="shared" si="8"/>
        <v/>
      </c>
    </row>
    <row r="273" spans="1:1" x14ac:dyDescent="0.25">
      <c r="A273" s="38" t="str">
        <f t="shared" si="8"/>
        <v/>
      </c>
    </row>
    <row r="274" spans="1:1" x14ac:dyDescent="0.25">
      <c r="A274" s="38" t="str">
        <f t="shared" si="8"/>
        <v/>
      </c>
    </row>
    <row r="275" spans="1:1" x14ac:dyDescent="0.25">
      <c r="A275" s="38" t="str">
        <f t="shared" si="8"/>
        <v/>
      </c>
    </row>
    <row r="276" spans="1:1" x14ac:dyDescent="0.25">
      <c r="A276" s="38" t="str">
        <f t="shared" si="8"/>
        <v/>
      </c>
    </row>
    <row r="277" spans="1:1" x14ac:dyDescent="0.25">
      <c r="A277" s="38" t="str">
        <f t="shared" si="8"/>
        <v/>
      </c>
    </row>
    <row r="278" spans="1:1" x14ac:dyDescent="0.25">
      <c r="A278" s="38" t="str">
        <f t="shared" si="8"/>
        <v/>
      </c>
    </row>
    <row r="279" spans="1:1" x14ac:dyDescent="0.25">
      <c r="A279" s="38" t="str">
        <f t="shared" si="8"/>
        <v/>
      </c>
    </row>
    <row r="280" spans="1:1" x14ac:dyDescent="0.25">
      <c r="A280" s="38" t="str">
        <f t="shared" si="8"/>
        <v/>
      </c>
    </row>
    <row r="281" spans="1:1" x14ac:dyDescent="0.25">
      <c r="A281" s="38" t="str">
        <f t="shared" si="8"/>
        <v/>
      </c>
    </row>
    <row r="282" spans="1:1" x14ac:dyDescent="0.25">
      <c r="A282" s="38" t="str">
        <f t="shared" si="8"/>
        <v/>
      </c>
    </row>
    <row r="283" spans="1:1" x14ac:dyDescent="0.25">
      <c r="A283" s="38" t="str">
        <f t="shared" si="8"/>
        <v/>
      </c>
    </row>
    <row r="284" spans="1:1" x14ac:dyDescent="0.25">
      <c r="A284" s="38" t="str">
        <f t="shared" si="8"/>
        <v/>
      </c>
    </row>
    <row r="285" spans="1:1" x14ac:dyDescent="0.25">
      <c r="A285" s="38" t="str">
        <f t="shared" si="8"/>
        <v/>
      </c>
    </row>
    <row r="286" spans="1:1" x14ac:dyDescent="0.25">
      <c r="A286" s="38" t="str">
        <f t="shared" si="8"/>
        <v/>
      </c>
    </row>
    <row r="287" spans="1:1" x14ac:dyDescent="0.25">
      <c r="A287" s="38" t="str">
        <f t="shared" si="8"/>
        <v/>
      </c>
    </row>
    <row r="288" spans="1:1" x14ac:dyDescent="0.25">
      <c r="A288" s="38" t="str">
        <f t="shared" si="8"/>
        <v/>
      </c>
    </row>
    <row r="289" spans="1:1" x14ac:dyDescent="0.25">
      <c r="A289" s="38" t="str">
        <f t="shared" si="8"/>
        <v/>
      </c>
    </row>
    <row r="290" spans="1:1" x14ac:dyDescent="0.25">
      <c r="A290" s="38" t="str">
        <f t="shared" si="8"/>
        <v/>
      </c>
    </row>
    <row r="291" spans="1:1" x14ac:dyDescent="0.25">
      <c r="A291" s="38" t="str">
        <f t="shared" si="8"/>
        <v/>
      </c>
    </row>
    <row r="292" spans="1:1" x14ac:dyDescent="0.25">
      <c r="A292" s="38" t="str">
        <f t="shared" si="8"/>
        <v/>
      </c>
    </row>
    <row r="293" spans="1:1" x14ac:dyDescent="0.25">
      <c r="A293" s="38" t="str">
        <f t="shared" si="8"/>
        <v/>
      </c>
    </row>
    <row r="294" spans="1:1" x14ac:dyDescent="0.25">
      <c r="A294" s="38" t="str">
        <f t="shared" si="8"/>
        <v/>
      </c>
    </row>
    <row r="295" spans="1:1" x14ac:dyDescent="0.25">
      <c r="A295" s="38" t="str">
        <f t="shared" si="8"/>
        <v/>
      </c>
    </row>
    <row r="296" spans="1:1" x14ac:dyDescent="0.25">
      <c r="A296" s="38" t="str">
        <f t="shared" si="8"/>
        <v/>
      </c>
    </row>
    <row r="297" spans="1:1" x14ac:dyDescent="0.25">
      <c r="A297" s="38" t="str">
        <f t="shared" si="8"/>
        <v/>
      </c>
    </row>
    <row r="298" spans="1:1" x14ac:dyDescent="0.25">
      <c r="A298" s="38" t="str">
        <f t="shared" si="8"/>
        <v/>
      </c>
    </row>
    <row r="299" spans="1:1" x14ac:dyDescent="0.25">
      <c r="A299" s="38" t="str">
        <f t="shared" si="8"/>
        <v/>
      </c>
    </row>
    <row r="300" spans="1:1" x14ac:dyDescent="0.25">
      <c r="A300" s="38" t="str">
        <f t="shared" si="8"/>
        <v/>
      </c>
    </row>
    <row r="301" spans="1:1" x14ac:dyDescent="0.25">
      <c r="A301" s="38" t="str">
        <f t="shared" si="8"/>
        <v/>
      </c>
    </row>
    <row r="302" spans="1:1" x14ac:dyDescent="0.25">
      <c r="A302" s="38" t="str">
        <f t="shared" si="8"/>
        <v/>
      </c>
    </row>
    <row r="303" spans="1:1" x14ac:dyDescent="0.25">
      <c r="A303" s="38" t="str">
        <f t="shared" si="8"/>
        <v/>
      </c>
    </row>
    <row r="304" spans="1:1" x14ac:dyDescent="0.25">
      <c r="A304" s="38" t="str">
        <f t="shared" si="8"/>
        <v/>
      </c>
    </row>
    <row r="305" spans="1:1" x14ac:dyDescent="0.25">
      <c r="A305" s="38" t="str">
        <f t="shared" si="8"/>
        <v/>
      </c>
    </row>
    <row r="306" spans="1:1" x14ac:dyDescent="0.25">
      <c r="A306" s="38" t="str">
        <f t="shared" si="8"/>
        <v/>
      </c>
    </row>
    <row r="307" spans="1:1" x14ac:dyDescent="0.25">
      <c r="A307" s="38" t="str">
        <f t="shared" si="8"/>
        <v/>
      </c>
    </row>
    <row r="308" spans="1:1" x14ac:dyDescent="0.25">
      <c r="A308" s="38" t="str">
        <f t="shared" si="8"/>
        <v/>
      </c>
    </row>
    <row r="309" spans="1:1" x14ac:dyDescent="0.25">
      <c r="A309" s="38" t="str">
        <f t="shared" si="8"/>
        <v/>
      </c>
    </row>
    <row r="310" spans="1:1" x14ac:dyDescent="0.25">
      <c r="A310" s="38" t="str">
        <f t="shared" si="8"/>
        <v/>
      </c>
    </row>
    <row r="311" spans="1:1" x14ac:dyDescent="0.25">
      <c r="A311" s="38" t="str">
        <f t="shared" si="8"/>
        <v/>
      </c>
    </row>
    <row r="312" spans="1:1" x14ac:dyDescent="0.25">
      <c r="A312" s="38" t="str">
        <f t="shared" si="8"/>
        <v/>
      </c>
    </row>
    <row r="313" spans="1:1" x14ac:dyDescent="0.25">
      <c r="A313" s="38" t="str">
        <f t="shared" si="8"/>
        <v/>
      </c>
    </row>
    <row r="314" spans="1:1" x14ac:dyDescent="0.25">
      <c r="A314" s="38" t="str">
        <f t="shared" si="8"/>
        <v/>
      </c>
    </row>
    <row r="315" spans="1:1" x14ac:dyDescent="0.25">
      <c r="A315" s="38" t="str">
        <f t="shared" si="8"/>
        <v/>
      </c>
    </row>
    <row r="316" spans="1:1" x14ac:dyDescent="0.25">
      <c r="A316" s="38" t="str">
        <f t="shared" si="8"/>
        <v/>
      </c>
    </row>
    <row r="317" spans="1:1" x14ac:dyDescent="0.25">
      <c r="A317" s="38" t="str">
        <f t="shared" si="8"/>
        <v/>
      </c>
    </row>
    <row r="318" spans="1:1" x14ac:dyDescent="0.25">
      <c r="A318" s="38" t="str">
        <f t="shared" si="8"/>
        <v/>
      </c>
    </row>
    <row r="319" spans="1:1" x14ac:dyDescent="0.25">
      <c r="A319" s="38" t="str">
        <f t="shared" si="8"/>
        <v/>
      </c>
    </row>
    <row r="320" spans="1:1" x14ac:dyDescent="0.25">
      <c r="A320" s="38" t="str">
        <f t="shared" si="8"/>
        <v/>
      </c>
    </row>
    <row r="321" spans="1:1" x14ac:dyDescent="0.25">
      <c r="A321" s="38" t="str">
        <f t="shared" si="8"/>
        <v/>
      </c>
    </row>
    <row r="322" spans="1:1" x14ac:dyDescent="0.25">
      <c r="A322" s="38" t="str">
        <f t="shared" si="8"/>
        <v/>
      </c>
    </row>
    <row r="323" spans="1:1" x14ac:dyDescent="0.25">
      <c r="A323" s="38" t="str">
        <f t="shared" si="8"/>
        <v/>
      </c>
    </row>
    <row r="324" spans="1:1" x14ac:dyDescent="0.25">
      <c r="A324" s="38" t="str">
        <f t="shared" ref="A324:A387" si="9">IF(ISTEXT(C324),A323+1,"")</f>
        <v/>
      </c>
    </row>
    <row r="325" spans="1:1" x14ac:dyDescent="0.25">
      <c r="A325" s="38" t="str">
        <f t="shared" si="9"/>
        <v/>
      </c>
    </row>
    <row r="326" spans="1:1" x14ac:dyDescent="0.25">
      <c r="A326" s="38" t="str">
        <f t="shared" si="9"/>
        <v/>
      </c>
    </row>
    <row r="327" spans="1:1" x14ac:dyDescent="0.25">
      <c r="A327" s="38" t="str">
        <f t="shared" si="9"/>
        <v/>
      </c>
    </row>
    <row r="328" spans="1:1" x14ac:dyDescent="0.25">
      <c r="A328" s="38" t="str">
        <f t="shared" si="9"/>
        <v/>
      </c>
    </row>
    <row r="329" spans="1:1" x14ac:dyDescent="0.25">
      <c r="A329" s="38" t="str">
        <f t="shared" si="9"/>
        <v/>
      </c>
    </row>
    <row r="330" spans="1:1" x14ac:dyDescent="0.25">
      <c r="A330" s="38" t="str">
        <f t="shared" si="9"/>
        <v/>
      </c>
    </row>
    <row r="331" spans="1:1" x14ac:dyDescent="0.25">
      <c r="A331" s="38" t="str">
        <f t="shared" si="9"/>
        <v/>
      </c>
    </row>
    <row r="332" spans="1:1" x14ac:dyDescent="0.25">
      <c r="A332" s="38" t="str">
        <f t="shared" si="9"/>
        <v/>
      </c>
    </row>
    <row r="333" spans="1:1" x14ac:dyDescent="0.25">
      <c r="A333" s="38" t="str">
        <f t="shared" si="9"/>
        <v/>
      </c>
    </row>
    <row r="334" spans="1:1" x14ac:dyDescent="0.25">
      <c r="A334" s="38" t="str">
        <f t="shared" si="9"/>
        <v/>
      </c>
    </row>
    <row r="335" spans="1:1" x14ac:dyDescent="0.25">
      <c r="A335" s="38" t="str">
        <f t="shared" si="9"/>
        <v/>
      </c>
    </row>
    <row r="336" spans="1:1" x14ac:dyDescent="0.25">
      <c r="A336" s="38" t="str">
        <f t="shared" si="9"/>
        <v/>
      </c>
    </row>
    <row r="337" spans="1:1" x14ac:dyDescent="0.25">
      <c r="A337" s="38" t="str">
        <f t="shared" si="9"/>
        <v/>
      </c>
    </row>
    <row r="338" spans="1:1" x14ac:dyDescent="0.25">
      <c r="A338" s="38" t="str">
        <f t="shared" si="9"/>
        <v/>
      </c>
    </row>
    <row r="339" spans="1:1" x14ac:dyDescent="0.25">
      <c r="A339" s="38" t="str">
        <f t="shared" si="9"/>
        <v/>
      </c>
    </row>
    <row r="340" spans="1:1" x14ac:dyDescent="0.25">
      <c r="A340" s="38" t="str">
        <f t="shared" si="9"/>
        <v/>
      </c>
    </row>
    <row r="341" spans="1:1" x14ac:dyDescent="0.25">
      <c r="A341" s="38" t="str">
        <f t="shared" si="9"/>
        <v/>
      </c>
    </row>
    <row r="342" spans="1:1" x14ac:dyDescent="0.25">
      <c r="A342" s="38" t="str">
        <f t="shared" si="9"/>
        <v/>
      </c>
    </row>
    <row r="343" spans="1:1" x14ac:dyDescent="0.25">
      <c r="A343" s="38" t="str">
        <f t="shared" si="9"/>
        <v/>
      </c>
    </row>
    <row r="344" spans="1:1" x14ac:dyDescent="0.25">
      <c r="A344" s="38" t="str">
        <f t="shared" si="9"/>
        <v/>
      </c>
    </row>
    <row r="345" spans="1:1" x14ac:dyDescent="0.25">
      <c r="A345" s="38" t="str">
        <f t="shared" si="9"/>
        <v/>
      </c>
    </row>
    <row r="346" spans="1:1" x14ac:dyDescent="0.25">
      <c r="A346" s="38" t="str">
        <f t="shared" si="9"/>
        <v/>
      </c>
    </row>
    <row r="347" spans="1:1" x14ac:dyDescent="0.25">
      <c r="A347" s="38" t="str">
        <f t="shared" si="9"/>
        <v/>
      </c>
    </row>
    <row r="348" spans="1:1" x14ac:dyDescent="0.25">
      <c r="A348" s="38" t="str">
        <f t="shared" si="9"/>
        <v/>
      </c>
    </row>
    <row r="349" spans="1:1" x14ac:dyDescent="0.25">
      <c r="A349" s="38" t="str">
        <f t="shared" si="9"/>
        <v/>
      </c>
    </row>
    <row r="350" spans="1:1" x14ac:dyDescent="0.25">
      <c r="A350" s="38" t="str">
        <f t="shared" si="9"/>
        <v/>
      </c>
    </row>
    <row r="351" spans="1:1" x14ac:dyDescent="0.25">
      <c r="A351" s="38" t="str">
        <f t="shared" si="9"/>
        <v/>
      </c>
    </row>
    <row r="352" spans="1:1" x14ac:dyDescent="0.25">
      <c r="A352" s="38" t="str">
        <f t="shared" si="9"/>
        <v/>
      </c>
    </row>
    <row r="353" spans="1:1" x14ac:dyDescent="0.25">
      <c r="A353" s="38" t="str">
        <f t="shared" si="9"/>
        <v/>
      </c>
    </row>
    <row r="354" spans="1:1" x14ac:dyDescent="0.25">
      <c r="A354" s="38" t="str">
        <f t="shared" si="9"/>
        <v/>
      </c>
    </row>
    <row r="355" spans="1:1" x14ac:dyDescent="0.25">
      <c r="A355" s="38" t="str">
        <f t="shared" si="9"/>
        <v/>
      </c>
    </row>
    <row r="356" spans="1:1" x14ac:dyDescent="0.25">
      <c r="A356" s="38" t="str">
        <f t="shared" si="9"/>
        <v/>
      </c>
    </row>
    <row r="357" spans="1:1" x14ac:dyDescent="0.25">
      <c r="A357" s="38" t="str">
        <f t="shared" si="9"/>
        <v/>
      </c>
    </row>
    <row r="358" spans="1:1" x14ac:dyDescent="0.25">
      <c r="A358" s="38" t="str">
        <f t="shared" si="9"/>
        <v/>
      </c>
    </row>
    <row r="359" spans="1:1" x14ac:dyDescent="0.25">
      <c r="A359" s="38" t="str">
        <f t="shared" si="9"/>
        <v/>
      </c>
    </row>
    <row r="360" spans="1:1" x14ac:dyDescent="0.25">
      <c r="A360" s="38" t="str">
        <f t="shared" si="9"/>
        <v/>
      </c>
    </row>
    <row r="361" spans="1:1" x14ac:dyDescent="0.25">
      <c r="A361" s="38" t="str">
        <f t="shared" si="9"/>
        <v/>
      </c>
    </row>
    <row r="362" spans="1:1" x14ac:dyDescent="0.25">
      <c r="A362" s="38" t="str">
        <f t="shared" si="9"/>
        <v/>
      </c>
    </row>
    <row r="363" spans="1:1" x14ac:dyDescent="0.25">
      <c r="A363" s="38" t="str">
        <f t="shared" si="9"/>
        <v/>
      </c>
    </row>
    <row r="364" spans="1:1" x14ac:dyDescent="0.25">
      <c r="A364" s="38" t="str">
        <f t="shared" si="9"/>
        <v/>
      </c>
    </row>
    <row r="365" spans="1:1" x14ac:dyDescent="0.25">
      <c r="A365" s="38" t="str">
        <f t="shared" si="9"/>
        <v/>
      </c>
    </row>
    <row r="366" spans="1:1" x14ac:dyDescent="0.25">
      <c r="A366" s="38" t="str">
        <f t="shared" si="9"/>
        <v/>
      </c>
    </row>
    <row r="367" spans="1:1" x14ac:dyDescent="0.25">
      <c r="A367" s="38" t="str">
        <f t="shared" si="9"/>
        <v/>
      </c>
    </row>
    <row r="368" spans="1:1" x14ac:dyDescent="0.25">
      <c r="A368" s="38" t="str">
        <f t="shared" si="9"/>
        <v/>
      </c>
    </row>
    <row r="369" spans="1:1" x14ac:dyDescent="0.25">
      <c r="A369" s="38" t="str">
        <f t="shared" si="9"/>
        <v/>
      </c>
    </row>
    <row r="370" spans="1:1" x14ac:dyDescent="0.25">
      <c r="A370" s="38" t="str">
        <f t="shared" si="9"/>
        <v/>
      </c>
    </row>
    <row r="371" spans="1:1" x14ac:dyDescent="0.25">
      <c r="A371" s="38" t="str">
        <f t="shared" si="9"/>
        <v/>
      </c>
    </row>
    <row r="372" spans="1:1" x14ac:dyDescent="0.25">
      <c r="A372" s="38" t="str">
        <f t="shared" si="9"/>
        <v/>
      </c>
    </row>
    <row r="373" spans="1:1" x14ac:dyDescent="0.25">
      <c r="A373" s="38" t="str">
        <f t="shared" si="9"/>
        <v/>
      </c>
    </row>
    <row r="374" spans="1:1" x14ac:dyDescent="0.25">
      <c r="A374" s="38" t="str">
        <f t="shared" si="9"/>
        <v/>
      </c>
    </row>
    <row r="375" spans="1:1" x14ac:dyDescent="0.25">
      <c r="A375" s="38" t="str">
        <f t="shared" si="9"/>
        <v/>
      </c>
    </row>
    <row r="376" spans="1:1" x14ac:dyDescent="0.25">
      <c r="A376" s="38" t="str">
        <f t="shared" si="9"/>
        <v/>
      </c>
    </row>
    <row r="377" spans="1:1" x14ac:dyDescent="0.25">
      <c r="A377" s="38" t="str">
        <f t="shared" si="9"/>
        <v/>
      </c>
    </row>
    <row r="378" spans="1:1" x14ac:dyDescent="0.25">
      <c r="A378" s="38" t="str">
        <f t="shared" si="9"/>
        <v/>
      </c>
    </row>
    <row r="379" spans="1:1" x14ac:dyDescent="0.25">
      <c r="A379" s="38" t="str">
        <f t="shared" si="9"/>
        <v/>
      </c>
    </row>
    <row r="380" spans="1:1" x14ac:dyDescent="0.25">
      <c r="A380" s="38" t="str">
        <f t="shared" si="9"/>
        <v/>
      </c>
    </row>
    <row r="381" spans="1:1" x14ac:dyDescent="0.25">
      <c r="A381" s="38" t="str">
        <f t="shared" si="9"/>
        <v/>
      </c>
    </row>
    <row r="382" spans="1:1" x14ac:dyDescent="0.25">
      <c r="A382" s="38" t="str">
        <f t="shared" si="9"/>
        <v/>
      </c>
    </row>
    <row r="383" spans="1:1" x14ac:dyDescent="0.25">
      <c r="A383" s="38" t="str">
        <f t="shared" si="9"/>
        <v/>
      </c>
    </row>
    <row r="384" spans="1:1" x14ac:dyDescent="0.25">
      <c r="A384" s="38" t="str">
        <f t="shared" si="9"/>
        <v/>
      </c>
    </row>
    <row r="385" spans="1:1" x14ac:dyDescent="0.25">
      <c r="A385" s="38" t="str">
        <f t="shared" si="9"/>
        <v/>
      </c>
    </row>
    <row r="386" spans="1:1" x14ac:dyDescent="0.25">
      <c r="A386" s="38" t="str">
        <f t="shared" si="9"/>
        <v/>
      </c>
    </row>
    <row r="387" spans="1:1" x14ac:dyDescent="0.25">
      <c r="A387" s="38" t="str">
        <f t="shared" si="9"/>
        <v/>
      </c>
    </row>
    <row r="388" spans="1:1" x14ac:dyDescent="0.25">
      <c r="A388" s="38" t="str">
        <f t="shared" ref="A388:A451" si="10">IF(ISTEXT(C388),A387+1,"")</f>
        <v/>
      </c>
    </row>
    <row r="389" spans="1:1" x14ac:dyDescent="0.25">
      <c r="A389" s="38" t="str">
        <f t="shared" si="10"/>
        <v/>
      </c>
    </row>
    <row r="390" spans="1:1" x14ac:dyDescent="0.25">
      <c r="A390" s="38" t="str">
        <f t="shared" si="10"/>
        <v/>
      </c>
    </row>
    <row r="391" spans="1:1" x14ac:dyDescent="0.25">
      <c r="A391" s="38" t="str">
        <f t="shared" si="10"/>
        <v/>
      </c>
    </row>
    <row r="392" spans="1:1" x14ac:dyDescent="0.25">
      <c r="A392" s="38" t="str">
        <f t="shared" si="10"/>
        <v/>
      </c>
    </row>
    <row r="393" spans="1:1" x14ac:dyDescent="0.25">
      <c r="A393" s="38" t="str">
        <f t="shared" si="10"/>
        <v/>
      </c>
    </row>
    <row r="394" spans="1:1" x14ac:dyDescent="0.25">
      <c r="A394" s="38" t="str">
        <f t="shared" si="10"/>
        <v/>
      </c>
    </row>
    <row r="395" spans="1:1" x14ac:dyDescent="0.25">
      <c r="A395" s="38" t="str">
        <f t="shared" si="10"/>
        <v/>
      </c>
    </row>
    <row r="396" spans="1:1" x14ac:dyDescent="0.25">
      <c r="A396" s="38" t="str">
        <f t="shared" si="10"/>
        <v/>
      </c>
    </row>
    <row r="397" spans="1:1" x14ac:dyDescent="0.25">
      <c r="A397" s="38" t="str">
        <f t="shared" si="10"/>
        <v/>
      </c>
    </row>
    <row r="398" spans="1:1" x14ac:dyDescent="0.25">
      <c r="A398" s="38" t="str">
        <f t="shared" si="10"/>
        <v/>
      </c>
    </row>
    <row r="399" spans="1:1" x14ac:dyDescent="0.25">
      <c r="A399" s="38" t="str">
        <f t="shared" si="10"/>
        <v/>
      </c>
    </row>
    <row r="400" spans="1:1" x14ac:dyDescent="0.25">
      <c r="A400" s="38" t="str">
        <f t="shared" si="10"/>
        <v/>
      </c>
    </row>
    <row r="401" spans="1:1" x14ac:dyDescent="0.25">
      <c r="A401" s="38" t="str">
        <f t="shared" si="10"/>
        <v/>
      </c>
    </row>
    <row r="402" spans="1:1" x14ac:dyDescent="0.25">
      <c r="A402" s="38" t="str">
        <f t="shared" si="10"/>
        <v/>
      </c>
    </row>
    <row r="403" spans="1:1" x14ac:dyDescent="0.25">
      <c r="A403" s="38" t="str">
        <f t="shared" si="10"/>
        <v/>
      </c>
    </row>
    <row r="404" spans="1:1" x14ac:dyDescent="0.25">
      <c r="A404" s="38" t="str">
        <f t="shared" si="10"/>
        <v/>
      </c>
    </row>
    <row r="405" spans="1:1" x14ac:dyDescent="0.25">
      <c r="A405" s="38" t="str">
        <f t="shared" si="10"/>
        <v/>
      </c>
    </row>
    <row r="406" spans="1:1" x14ac:dyDescent="0.25">
      <c r="A406" s="38" t="str">
        <f t="shared" si="10"/>
        <v/>
      </c>
    </row>
    <row r="407" spans="1:1" x14ac:dyDescent="0.25">
      <c r="A407" s="38" t="str">
        <f t="shared" si="10"/>
        <v/>
      </c>
    </row>
    <row r="408" spans="1:1" x14ac:dyDescent="0.25">
      <c r="A408" s="38" t="str">
        <f t="shared" si="10"/>
        <v/>
      </c>
    </row>
    <row r="409" spans="1:1" x14ac:dyDescent="0.25">
      <c r="A409" s="38" t="str">
        <f t="shared" si="10"/>
        <v/>
      </c>
    </row>
    <row r="410" spans="1:1" x14ac:dyDescent="0.25">
      <c r="A410" s="38" t="str">
        <f t="shared" si="10"/>
        <v/>
      </c>
    </row>
    <row r="411" spans="1:1" x14ac:dyDescent="0.25">
      <c r="A411" s="38" t="str">
        <f t="shared" si="10"/>
        <v/>
      </c>
    </row>
    <row r="412" spans="1:1" x14ac:dyDescent="0.25">
      <c r="A412" s="38" t="str">
        <f t="shared" si="10"/>
        <v/>
      </c>
    </row>
    <row r="413" spans="1:1" x14ac:dyDescent="0.25">
      <c r="A413" s="38" t="str">
        <f t="shared" si="10"/>
        <v/>
      </c>
    </row>
    <row r="414" spans="1:1" x14ac:dyDescent="0.25">
      <c r="A414" s="38" t="str">
        <f t="shared" si="10"/>
        <v/>
      </c>
    </row>
    <row r="415" spans="1:1" x14ac:dyDescent="0.25">
      <c r="A415" s="38" t="str">
        <f t="shared" si="10"/>
        <v/>
      </c>
    </row>
    <row r="416" spans="1:1" x14ac:dyDescent="0.25">
      <c r="A416" s="38" t="str">
        <f t="shared" si="10"/>
        <v/>
      </c>
    </row>
    <row r="417" spans="1:1" x14ac:dyDescent="0.25">
      <c r="A417" s="38" t="str">
        <f t="shared" si="10"/>
        <v/>
      </c>
    </row>
    <row r="418" spans="1:1" x14ac:dyDescent="0.25">
      <c r="A418" s="38" t="str">
        <f t="shared" si="10"/>
        <v/>
      </c>
    </row>
    <row r="419" spans="1:1" x14ac:dyDescent="0.25">
      <c r="A419" s="38" t="str">
        <f t="shared" si="10"/>
        <v/>
      </c>
    </row>
    <row r="420" spans="1:1" x14ac:dyDescent="0.25">
      <c r="A420" s="38" t="str">
        <f t="shared" si="10"/>
        <v/>
      </c>
    </row>
    <row r="421" spans="1:1" x14ac:dyDescent="0.25">
      <c r="A421" s="38" t="str">
        <f t="shared" si="10"/>
        <v/>
      </c>
    </row>
    <row r="422" spans="1:1" x14ac:dyDescent="0.25">
      <c r="A422" s="38" t="str">
        <f t="shared" si="10"/>
        <v/>
      </c>
    </row>
    <row r="423" spans="1:1" x14ac:dyDescent="0.25">
      <c r="A423" s="38" t="str">
        <f t="shared" si="10"/>
        <v/>
      </c>
    </row>
    <row r="424" spans="1:1" x14ac:dyDescent="0.25">
      <c r="A424" s="38" t="str">
        <f t="shared" si="10"/>
        <v/>
      </c>
    </row>
    <row r="425" spans="1:1" x14ac:dyDescent="0.25">
      <c r="A425" s="38" t="str">
        <f t="shared" si="10"/>
        <v/>
      </c>
    </row>
    <row r="426" spans="1:1" x14ac:dyDescent="0.25">
      <c r="A426" s="38" t="str">
        <f t="shared" si="10"/>
        <v/>
      </c>
    </row>
    <row r="427" spans="1:1" x14ac:dyDescent="0.25">
      <c r="A427" s="38" t="str">
        <f t="shared" si="10"/>
        <v/>
      </c>
    </row>
    <row r="428" spans="1:1" x14ac:dyDescent="0.25">
      <c r="A428" s="38" t="str">
        <f t="shared" si="10"/>
        <v/>
      </c>
    </row>
    <row r="429" spans="1:1" x14ac:dyDescent="0.25">
      <c r="A429" s="38" t="str">
        <f t="shared" si="10"/>
        <v/>
      </c>
    </row>
    <row r="430" spans="1:1" x14ac:dyDescent="0.25">
      <c r="A430" s="38" t="str">
        <f t="shared" si="10"/>
        <v/>
      </c>
    </row>
    <row r="431" spans="1:1" x14ac:dyDescent="0.25">
      <c r="A431" s="38" t="str">
        <f t="shared" si="10"/>
        <v/>
      </c>
    </row>
    <row r="432" spans="1:1" x14ac:dyDescent="0.25">
      <c r="A432" s="38" t="str">
        <f t="shared" si="10"/>
        <v/>
      </c>
    </row>
    <row r="433" spans="1:1" x14ac:dyDescent="0.25">
      <c r="A433" s="38" t="str">
        <f t="shared" si="10"/>
        <v/>
      </c>
    </row>
    <row r="434" spans="1:1" x14ac:dyDescent="0.25">
      <c r="A434" s="38" t="str">
        <f t="shared" si="10"/>
        <v/>
      </c>
    </row>
    <row r="435" spans="1:1" x14ac:dyDescent="0.25">
      <c r="A435" s="38" t="str">
        <f t="shared" si="10"/>
        <v/>
      </c>
    </row>
    <row r="436" spans="1:1" x14ac:dyDescent="0.25">
      <c r="A436" s="38" t="str">
        <f t="shared" si="10"/>
        <v/>
      </c>
    </row>
    <row r="437" spans="1:1" x14ac:dyDescent="0.25">
      <c r="A437" s="38" t="str">
        <f t="shared" si="10"/>
        <v/>
      </c>
    </row>
    <row r="438" spans="1:1" x14ac:dyDescent="0.25">
      <c r="A438" s="38" t="str">
        <f t="shared" si="10"/>
        <v/>
      </c>
    </row>
    <row r="439" spans="1:1" x14ac:dyDescent="0.25">
      <c r="A439" s="38" t="str">
        <f t="shared" si="10"/>
        <v/>
      </c>
    </row>
    <row r="440" spans="1:1" x14ac:dyDescent="0.25">
      <c r="A440" s="38" t="str">
        <f t="shared" si="10"/>
        <v/>
      </c>
    </row>
    <row r="441" spans="1:1" x14ac:dyDescent="0.25">
      <c r="A441" s="38" t="str">
        <f t="shared" si="10"/>
        <v/>
      </c>
    </row>
    <row r="442" spans="1:1" x14ac:dyDescent="0.25">
      <c r="A442" s="38" t="str">
        <f t="shared" si="10"/>
        <v/>
      </c>
    </row>
    <row r="443" spans="1:1" x14ac:dyDescent="0.25">
      <c r="A443" s="38" t="str">
        <f t="shared" si="10"/>
        <v/>
      </c>
    </row>
    <row r="444" spans="1:1" x14ac:dyDescent="0.25">
      <c r="A444" s="38" t="str">
        <f t="shared" si="10"/>
        <v/>
      </c>
    </row>
    <row r="445" spans="1:1" x14ac:dyDescent="0.25">
      <c r="A445" s="38" t="str">
        <f t="shared" si="10"/>
        <v/>
      </c>
    </row>
    <row r="446" spans="1:1" x14ac:dyDescent="0.25">
      <c r="A446" s="38" t="str">
        <f t="shared" si="10"/>
        <v/>
      </c>
    </row>
    <row r="447" spans="1:1" x14ac:dyDescent="0.25">
      <c r="A447" s="38" t="str">
        <f t="shared" si="10"/>
        <v/>
      </c>
    </row>
    <row r="448" spans="1:1" x14ac:dyDescent="0.25">
      <c r="A448" s="38" t="str">
        <f t="shared" si="10"/>
        <v/>
      </c>
    </row>
    <row r="449" spans="1:1" x14ac:dyDescent="0.25">
      <c r="A449" s="38" t="str">
        <f t="shared" si="10"/>
        <v/>
      </c>
    </row>
    <row r="450" spans="1:1" x14ac:dyDescent="0.25">
      <c r="A450" s="38" t="str">
        <f t="shared" si="10"/>
        <v/>
      </c>
    </row>
    <row r="451" spans="1:1" x14ac:dyDescent="0.25">
      <c r="A451" s="38" t="str">
        <f t="shared" si="10"/>
        <v/>
      </c>
    </row>
    <row r="452" spans="1:1" x14ac:dyDescent="0.25">
      <c r="A452" s="38" t="str">
        <f t="shared" ref="A452:A515" si="11">IF(ISTEXT(C452),A451+1,"")</f>
        <v/>
      </c>
    </row>
    <row r="453" spans="1:1" x14ac:dyDescent="0.25">
      <c r="A453" s="38" t="str">
        <f t="shared" si="11"/>
        <v/>
      </c>
    </row>
    <row r="454" spans="1:1" x14ac:dyDescent="0.25">
      <c r="A454" s="38" t="str">
        <f t="shared" si="11"/>
        <v/>
      </c>
    </row>
    <row r="455" spans="1:1" x14ac:dyDescent="0.25">
      <c r="A455" s="38" t="str">
        <f t="shared" si="11"/>
        <v/>
      </c>
    </row>
    <row r="456" spans="1:1" x14ac:dyDescent="0.25">
      <c r="A456" s="38" t="str">
        <f t="shared" si="11"/>
        <v/>
      </c>
    </row>
    <row r="457" spans="1:1" x14ac:dyDescent="0.25">
      <c r="A457" s="38" t="str">
        <f t="shared" si="11"/>
        <v/>
      </c>
    </row>
    <row r="458" spans="1:1" x14ac:dyDescent="0.25">
      <c r="A458" s="38" t="str">
        <f t="shared" si="11"/>
        <v/>
      </c>
    </row>
    <row r="459" spans="1:1" x14ac:dyDescent="0.25">
      <c r="A459" s="38" t="str">
        <f t="shared" si="11"/>
        <v/>
      </c>
    </row>
    <row r="460" spans="1:1" x14ac:dyDescent="0.25">
      <c r="A460" s="38" t="str">
        <f t="shared" si="11"/>
        <v/>
      </c>
    </row>
    <row r="461" spans="1:1" x14ac:dyDescent="0.25">
      <c r="A461" s="38" t="str">
        <f t="shared" si="11"/>
        <v/>
      </c>
    </row>
    <row r="462" spans="1:1" x14ac:dyDescent="0.25">
      <c r="A462" s="38" t="str">
        <f t="shared" si="11"/>
        <v/>
      </c>
    </row>
    <row r="463" spans="1:1" x14ac:dyDescent="0.25">
      <c r="A463" s="38" t="str">
        <f t="shared" si="11"/>
        <v/>
      </c>
    </row>
    <row r="464" spans="1:1" x14ac:dyDescent="0.25">
      <c r="A464" s="38" t="str">
        <f t="shared" si="11"/>
        <v/>
      </c>
    </row>
    <row r="465" spans="1:1" x14ac:dyDescent="0.25">
      <c r="A465" s="38" t="str">
        <f t="shared" si="11"/>
        <v/>
      </c>
    </row>
    <row r="466" spans="1:1" x14ac:dyDescent="0.25">
      <c r="A466" s="38" t="str">
        <f t="shared" si="11"/>
        <v/>
      </c>
    </row>
    <row r="467" spans="1:1" x14ac:dyDescent="0.25">
      <c r="A467" s="38" t="str">
        <f t="shared" si="11"/>
        <v/>
      </c>
    </row>
    <row r="468" spans="1:1" x14ac:dyDescent="0.25">
      <c r="A468" s="38" t="str">
        <f t="shared" si="11"/>
        <v/>
      </c>
    </row>
    <row r="469" spans="1:1" x14ac:dyDescent="0.25">
      <c r="A469" s="38" t="str">
        <f t="shared" si="11"/>
        <v/>
      </c>
    </row>
    <row r="470" spans="1:1" x14ac:dyDescent="0.25">
      <c r="A470" s="38" t="str">
        <f t="shared" si="11"/>
        <v/>
      </c>
    </row>
    <row r="471" spans="1:1" x14ac:dyDescent="0.25">
      <c r="A471" s="38" t="str">
        <f t="shared" si="11"/>
        <v/>
      </c>
    </row>
    <row r="472" spans="1:1" x14ac:dyDescent="0.25">
      <c r="A472" s="38" t="str">
        <f t="shared" si="11"/>
        <v/>
      </c>
    </row>
    <row r="473" spans="1:1" x14ac:dyDescent="0.25">
      <c r="A473" s="38" t="str">
        <f t="shared" si="11"/>
        <v/>
      </c>
    </row>
    <row r="474" spans="1:1" x14ac:dyDescent="0.25">
      <c r="A474" s="38" t="str">
        <f t="shared" si="11"/>
        <v/>
      </c>
    </row>
    <row r="475" spans="1:1" x14ac:dyDescent="0.25">
      <c r="A475" s="38" t="str">
        <f t="shared" si="11"/>
        <v/>
      </c>
    </row>
    <row r="476" spans="1:1" x14ac:dyDescent="0.25">
      <c r="A476" s="38" t="str">
        <f t="shared" si="11"/>
        <v/>
      </c>
    </row>
    <row r="477" spans="1:1" x14ac:dyDescent="0.25">
      <c r="A477" s="38" t="str">
        <f t="shared" si="11"/>
        <v/>
      </c>
    </row>
    <row r="478" spans="1:1" x14ac:dyDescent="0.25">
      <c r="A478" s="38" t="str">
        <f t="shared" si="11"/>
        <v/>
      </c>
    </row>
    <row r="479" spans="1:1" x14ac:dyDescent="0.25">
      <c r="A479" s="38" t="str">
        <f t="shared" si="11"/>
        <v/>
      </c>
    </row>
    <row r="480" spans="1:1" x14ac:dyDescent="0.25">
      <c r="A480" s="38" t="str">
        <f t="shared" si="11"/>
        <v/>
      </c>
    </row>
    <row r="481" spans="1:1" x14ac:dyDescent="0.25">
      <c r="A481" s="38" t="str">
        <f t="shared" si="11"/>
        <v/>
      </c>
    </row>
    <row r="482" spans="1:1" x14ac:dyDescent="0.25">
      <c r="A482" s="38" t="str">
        <f t="shared" si="11"/>
        <v/>
      </c>
    </row>
    <row r="483" spans="1:1" x14ac:dyDescent="0.25">
      <c r="A483" s="38" t="str">
        <f t="shared" si="11"/>
        <v/>
      </c>
    </row>
    <row r="484" spans="1:1" x14ac:dyDescent="0.25">
      <c r="A484" s="38" t="str">
        <f t="shared" si="11"/>
        <v/>
      </c>
    </row>
    <row r="485" spans="1:1" x14ac:dyDescent="0.25">
      <c r="A485" s="38" t="str">
        <f t="shared" si="11"/>
        <v/>
      </c>
    </row>
    <row r="486" spans="1:1" x14ac:dyDescent="0.25">
      <c r="A486" s="38" t="str">
        <f t="shared" si="11"/>
        <v/>
      </c>
    </row>
    <row r="487" spans="1:1" x14ac:dyDescent="0.25">
      <c r="A487" s="38" t="str">
        <f t="shared" si="11"/>
        <v/>
      </c>
    </row>
    <row r="488" spans="1:1" x14ac:dyDescent="0.25">
      <c r="A488" s="38" t="str">
        <f t="shared" si="11"/>
        <v/>
      </c>
    </row>
    <row r="489" spans="1:1" x14ac:dyDescent="0.25">
      <c r="A489" s="38" t="str">
        <f t="shared" si="11"/>
        <v/>
      </c>
    </row>
    <row r="490" spans="1:1" x14ac:dyDescent="0.25">
      <c r="A490" s="38" t="str">
        <f t="shared" si="11"/>
        <v/>
      </c>
    </row>
    <row r="491" spans="1:1" x14ac:dyDescent="0.25">
      <c r="A491" s="38" t="str">
        <f t="shared" si="11"/>
        <v/>
      </c>
    </row>
    <row r="492" spans="1:1" x14ac:dyDescent="0.25">
      <c r="A492" s="38" t="str">
        <f t="shared" si="11"/>
        <v/>
      </c>
    </row>
    <row r="493" spans="1:1" x14ac:dyDescent="0.25">
      <c r="A493" s="38" t="str">
        <f t="shared" si="11"/>
        <v/>
      </c>
    </row>
    <row r="494" spans="1:1" x14ac:dyDescent="0.25">
      <c r="A494" s="38" t="str">
        <f t="shared" si="11"/>
        <v/>
      </c>
    </row>
    <row r="495" spans="1:1" x14ac:dyDescent="0.25">
      <c r="A495" s="38" t="str">
        <f t="shared" si="11"/>
        <v/>
      </c>
    </row>
    <row r="496" spans="1:1" x14ac:dyDescent="0.25">
      <c r="A496" s="38" t="str">
        <f t="shared" si="11"/>
        <v/>
      </c>
    </row>
    <row r="497" spans="1:1" x14ac:dyDescent="0.25">
      <c r="A497" s="38" t="str">
        <f t="shared" si="11"/>
        <v/>
      </c>
    </row>
    <row r="498" spans="1:1" x14ac:dyDescent="0.25">
      <c r="A498" s="38" t="str">
        <f t="shared" si="11"/>
        <v/>
      </c>
    </row>
    <row r="499" spans="1:1" x14ac:dyDescent="0.25">
      <c r="A499" s="38" t="str">
        <f t="shared" si="11"/>
        <v/>
      </c>
    </row>
    <row r="500" spans="1:1" x14ac:dyDescent="0.25">
      <c r="A500" s="38" t="str">
        <f t="shared" si="11"/>
        <v/>
      </c>
    </row>
    <row r="501" spans="1:1" x14ac:dyDescent="0.25">
      <c r="A501" s="38" t="str">
        <f t="shared" si="11"/>
        <v/>
      </c>
    </row>
    <row r="502" spans="1:1" x14ac:dyDescent="0.25">
      <c r="A502" s="38" t="str">
        <f t="shared" si="11"/>
        <v/>
      </c>
    </row>
    <row r="503" spans="1:1" x14ac:dyDescent="0.25">
      <c r="A503" s="38" t="str">
        <f t="shared" si="11"/>
        <v/>
      </c>
    </row>
    <row r="504" spans="1:1" x14ac:dyDescent="0.25">
      <c r="A504" s="38" t="str">
        <f t="shared" si="11"/>
        <v/>
      </c>
    </row>
    <row r="505" spans="1:1" x14ac:dyDescent="0.25">
      <c r="A505" s="38" t="str">
        <f t="shared" si="11"/>
        <v/>
      </c>
    </row>
    <row r="506" spans="1:1" x14ac:dyDescent="0.25">
      <c r="A506" s="38" t="str">
        <f t="shared" si="11"/>
        <v/>
      </c>
    </row>
    <row r="507" spans="1:1" x14ac:dyDescent="0.25">
      <c r="A507" s="38" t="str">
        <f t="shared" si="11"/>
        <v/>
      </c>
    </row>
    <row r="508" spans="1:1" x14ac:dyDescent="0.25">
      <c r="A508" s="38" t="str">
        <f t="shared" si="11"/>
        <v/>
      </c>
    </row>
    <row r="509" spans="1:1" x14ac:dyDescent="0.25">
      <c r="A509" s="38" t="str">
        <f t="shared" si="11"/>
        <v/>
      </c>
    </row>
    <row r="510" spans="1:1" x14ac:dyDescent="0.25">
      <c r="A510" s="38" t="str">
        <f t="shared" si="11"/>
        <v/>
      </c>
    </row>
    <row r="511" spans="1:1" x14ac:dyDescent="0.25">
      <c r="A511" s="38" t="str">
        <f t="shared" si="11"/>
        <v/>
      </c>
    </row>
    <row r="512" spans="1:1" x14ac:dyDescent="0.25">
      <c r="A512" s="38" t="str">
        <f t="shared" si="11"/>
        <v/>
      </c>
    </row>
    <row r="513" spans="1:1" x14ac:dyDescent="0.25">
      <c r="A513" s="38" t="str">
        <f t="shared" si="11"/>
        <v/>
      </c>
    </row>
    <row r="514" spans="1:1" x14ac:dyDescent="0.25">
      <c r="A514" s="38" t="str">
        <f t="shared" si="11"/>
        <v/>
      </c>
    </row>
    <row r="515" spans="1:1" x14ac:dyDescent="0.25">
      <c r="A515" s="38" t="str">
        <f t="shared" si="11"/>
        <v/>
      </c>
    </row>
    <row r="516" spans="1:1" x14ac:dyDescent="0.25">
      <c r="A516" s="38" t="str">
        <f t="shared" ref="A516:A579" si="12">IF(ISTEXT(C516),A515+1,"")</f>
        <v/>
      </c>
    </row>
    <row r="517" spans="1:1" x14ac:dyDescent="0.25">
      <c r="A517" s="38" t="str">
        <f t="shared" si="12"/>
        <v/>
      </c>
    </row>
    <row r="518" spans="1:1" x14ac:dyDescent="0.25">
      <c r="A518" s="38" t="str">
        <f t="shared" si="12"/>
        <v/>
      </c>
    </row>
    <row r="519" spans="1:1" x14ac:dyDescent="0.25">
      <c r="A519" s="38" t="str">
        <f t="shared" si="12"/>
        <v/>
      </c>
    </row>
    <row r="520" spans="1:1" x14ac:dyDescent="0.25">
      <c r="A520" s="38" t="str">
        <f t="shared" si="12"/>
        <v/>
      </c>
    </row>
    <row r="521" spans="1:1" x14ac:dyDescent="0.25">
      <c r="A521" s="38" t="str">
        <f t="shared" si="12"/>
        <v/>
      </c>
    </row>
    <row r="522" spans="1:1" x14ac:dyDescent="0.25">
      <c r="A522" s="38" t="str">
        <f t="shared" si="12"/>
        <v/>
      </c>
    </row>
    <row r="523" spans="1:1" x14ac:dyDescent="0.25">
      <c r="A523" s="38" t="str">
        <f t="shared" si="12"/>
        <v/>
      </c>
    </row>
    <row r="524" spans="1:1" x14ac:dyDescent="0.25">
      <c r="A524" s="38" t="str">
        <f t="shared" si="12"/>
        <v/>
      </c>
    </row>
    <row r="525" spans="1:1" x14ac:dyDescent="0.25">
      <c r="A525" s="38" t="str">
        <f t="shared" si="12"/>
        <v/>
      </c>
    </row>
    <row r="526" spans="1:1" x14ac:dyDescent="0.25">
      <c r="A526" s="38" t="str">
        <f t="shared" si="12"/>
        <v/>
      </c>
    </row>
    <row r="527" spans="1:1" x14ac:dyDescent="0.25">
      <c r="A527" s="38" t="str">
        <f t="shared" si="12"/>
        <v/>
      </c>
    </row>
    <row r="528" spans="1:1" x14ac:dyDescent="0.25">
      <c r="A528" s="38" t="str">
        <f t="shared" si="12"/>
        <v/>
      </c>
    </row>
    <row r="529" spans="1:1" x14ac:dyDescent="0.25">
      <c r="A529" s="38" t="str">
        <f t="shared" si="12"/>
        <v/>
      </c>
    </row>
    <row r="530" spans="1:1" x14ac:dyDescent="0.25">
      <c r="A530" s="38" t="str">
        <f t="shared" si="12"/>
        <v/>
      </c>
    </row>
    <row r="531" spans="1:1" x14ac:dyDescent="0.25">
      <c r="A531" s="38" t="str">
        <f t="shared" si="12"/>
        <v/>
      </c>
    </row>
    <row r="532" spans="1:1" x14ac:dyDescent="0.25">
      <c r="A532" s="38" t="str">
        <f t="shared" si="12"/>
        <v/>
      </c>
    </row>
    <row r="533" spans="1:1" x14ac:dyDescent="0.25">
      <c r="A533" s="38" t="str">
        <f t="shared" si="12"/>
        <v/>
      </c>
    </row>
    <row r="534" spans="1:1" x14ac:dyDescent="0.25">
      <c r="A534" s="38" t="str">
        <f t="shared" si="12"/>
        <v/>
      </c>
    </row>
    <row r="535" spans="1:1" x14ac:dyDescent="0.25">
      <c r="A535" s="38" t="str">
        <f t="shared" si="12"/>
        <v/>
      </c>
    </row>
    <row r="536" spans="1:1" x14ac:dyDescent="0.25">
      <c r="A536" s="38" t="str">
        <f t="shared" si="12"/>
        <v/>
      </c>
    </row>
    <row r="537" spans="1:1" x14ac:dyDescent="0.25">
      <c r="A537" s="38" t="str">
        <f t="shared" si="12"/>
        <v/>
      </c>
    </row>
    <row r="538" spans="1:1" x14ac:dyDescent="0.25">
      <c r="A538" s="38" t="str">
        <f t="shared" si="12"/>
        <v/>
      </c>
    </row>
    <row r="539" spans="1:1" x14ac:dyDescent="0.25">
      <c r="A539" s="38" t="str">
        <f t="shared" si="12"/>
        <v/>
      </c>
    </row>
    <row r="540" spans="1:1" x14ac:dyDescent="0.25">
      <c r="A540" s="38" t="str">
        <f t="shared" si="12"/>
        <v/>
      </c>
    </row>
    <row r="541" spans="1:1" x14ac:dyDescent="0.25">
      <c r="A541" s="38" t="str">
        <f t="shared" si="12"/>
        <v/>
      </c>
    </row>
    <row r="542" spans="1:1" x14ac:dyDescent="0.25">
      <c r="A542" s="38" t="str">
        <f t="shared" si="12"/>
        <v/>
      </c>
    </row>
    <row r="543" spans="1:1" x14ac:dyDescent="0.25">
      <c r="A543" s="38" t="str">
        <f t="shared" si="12"/>
        <v/>
      </c>
    </row>
    <row r="544" spans="1:1" x14ac:dyDescent="0.25">
      <c r="A544" s="38" t="str">
        <f t="shared" si="12"/>
        <v/>
      </c>
    </row>
    <row r="545" spans="1:1" x14ac:dyDescent="0.25">
      <c r="A545" s="38" t="str">
        <f t="shared" si="12"/>
        <v/>
      </c>
    </row>
    <row r="546" spans="1:1" x14ac:dyDescent="0.25">
      <c r="A546" s="38" t="str">
        <f t="shared" si="12"/>
        <v/>
      </c>
    </row>
    <row r="547" spans="1:1" x14ac:dyDescent="0.25">
      <c r="A547" s="38" t="str">
        <f t="shared" si="12"/>
        <v/>
      </c>
    </row>
    <row r="548" spans="1:1" x14ac:dyDescent="0.25">
      <c r="A548" s="38" t="str">
        <f t="shared" si="12"/>
        <v/>
      </c>
    </row>
    <row r="549" spans="1:1" x14ac:dyDescent="0.25">
      <c r="A549" s="38" t="str">
        <f t="shared" si="12"/>
        <v/>
      </c>
    </row>
    <row r="550" spans="1:1" x14ac:dyDescent="0.25">
      <c r="A550" s="38" t="str">
        <f t="shared" si="12"/>
        <v/>
      </c>
    </row>
    <row r="551" spans="1:1" x14ac:dyDescent="0.25">
      <c r="A551" s="38" t="str">
        <f t="shared" si="12"/>
        <v/>
      </c>
    </row>
    <row r="552" spans="1:1" x14ac:dyDescent="0.25">
      <c r="A552" s="38" t="str">
        <f t="shared" si="12"/>
        <v/>
      </c>
    </row>
    <row r="553" spans="1:1" x14ac:dyDescent="0.25">
      <c r="A553" s="38" t="str">
        <f t="shared" si="12"/>
        <v/>
      </c>
    </row>
    <row r="554" spans="1:1" x14ac:dyDescent="0.25">
      <c r="A554" s="38" t="str">
        <f t="shared" si="12"/>
        <v/>
      </c>
    </row>
    <row r="555" spans="1:1" x14ac:dyDescent="0.25">
      <c r="A555" s="38" t="str">
        <f t="shared" si="12"/>
        <v/>
      </c>
    </row>
    <row r="556" spans="1:1" x14ac:dyDescent="0.25">
      <c r="A556" s="38" t="str">
        <f t="shared" si="12"/>
        <v/>
      </c>
    </row>
    <row r="557" spans="1:1" x14ac:dyDescent="0.25">
      <c r="A557" s="38" t="str">
        <f t="shared" si="12"/>
        <v/>
      </c>
    </row>
    <row r="558" spans="1:1" x14ac:dyDescent="0.25">
      <c r="A558" s="38" t="str">
        <f t="shared" si="12"/>
        <v/>
      </c>
    </row>
    <row r="559" spans="1:1" x14ac:dyDescent="0.25">
      <c r="A559" s="38" t="str">
        <f t="shared" si="12"/>
        <v/>
      </c>
    </row>
    <row r="560" spans="1:1" x14ac:dyDescent="0.25">
      <c r="A560" s="38" t="str">
        <f t="shared" si="12"/>
        <v/>
      </c>
    </row>
    <row r="561" spans="1:1" x14ac:dyDescent="0.25">
      <c r="A561" s="38" t="str">
        <f t="shared" si="12"/>
        <v/>
      </c>
    </row>
    <row r="562" spans="1:1" x14ac:dyDescent="0.25">
      <c r="A562" s="38" t="str">
        <f t="shared" si="12"/>
        <v/>
      </c>
    </row>
    <row r="563" spans="1:1" x14ac:dyDescent="0.25">
      <c r="A563" s="38" t="str">
        <f t="shared" si="12"/>
        <v/>
      </c>
    </row>
    <row r="564" spans="1:1" x14ac:dyDescent="0.25">
      <c r="A564" s="38" t="str">
        <f t="shared" si="12"/>
        <v/>
      </c>
    </row>
    <row r="565" spans="1:1" x14ac:dyDescent="0.25">
      <c r="A565" s="38" t="str">
        <f t="shared" si="12"/>
        <v/>
      </c>
    </row>
    <row r="566" spans="1:1" x14ac:dyDescent="0.25">
      <c r="A566" s="38" t="str">
        <f t="shared" si="12"/>
        <v/>
      </c>
    </row>
    <row r="567" spans="1:1" x14ac:dyDescent="0.25">
      <c r="A567" s="38" t="str">
        <f t="shared" si="12"/>
        <v/>
      </c>
    </row>
    <row r="568" spans="1:1" x14ac:dyDescent="0.25">
      <c r="A568" s="38" t="str">
        <f t="shared" si="12"/>
        <v/>
      </c>
    </row>
    <row r="569" spans="1:1" x14ac:dyDescent="0.25">
      <c r="A569" s="38" t="str">
        <f t="shared" si="12"/>
        <v/>
      </c>
    </row>
    <row r="570" spans="1:1" x14ac:dyDescent="0.25">
      <c r="A570" s="38" t="str">
        <f t="shared" si="12"/>
        <v/>
      </c>
    </row>
    <row r="571" spans="1:1" x14ac:dyDescent="0.25">
      <c r="A571" s="38" t="str">
        <f t="shared" si="12"/>
        <v/>
      </c>
    </row>
    <row r="572" spans="1:1" x14ac:dyDescent="0.25">
      <c r="A572" s="38" t="str">
        <f t="shared" si="12"/>
        <v/>
      </c>
    </row>
    <row r="573" spans="1:1" x14ac:dyDescent="0.25">
      <c r="A573" s="38" t="str">
        <f t="shared" si="12"/>
        <v/>
      </c>
    </row>
    <row r="574" spans="1:1" x14ac:dyDescent="0.25">
      <c r="A574" s="38" t="str">
        <f t="shared" si="12"/>
        <v/>
      </c>
    </row>
    <row r="575" spans="1:1" x14ac:dyDescent="0.25">
      <c r="A575" s="38" t="str">
        <f t="shared" si="12"/>
        <v/>
      </c>
    </row>
    <row r="576" spans="1:1" x14ac:dyDescent="0.25">
      <c r="A576" s="38" t="str">
        <f t="shared" si="12"/>
        <v/>
      </c>
    </row>
    <row r="577" spans="1:1" x14ac:dyDescent="0.25">
      <c r="A577" s="38" t="str">
        <f t="shared" si="12"/>
        <v/>
      </c>
    </row>
    <row r="578" spans="1:1" x14ac:dyDescent="0.25">
      <c r="A578" s="38" t="str">
        <f t="shared" si="12"/>
        <v/>
      </c>
    </row>
    <row r="579" spans="1:1" x14ac:dyDescent="0.25">
      <c r="A579" s="38" t="str">
        <f t="shared" si="12"/>
        <v/>
      </c>
    </row>
    <row r="580" spans="1:1" x14ac:dyDescent="0.25">
      <c r="A580" s="38" t="str">
        <f t="shared" ref="A580:A643" si="13">IF(ISTEXT(C580),A579+1,"")</f>
        <v/>
      </c>
    </row>
    <row r="581" spans="1:1" x14ac:dyDescent="0.25">
      <c r="A581" s="38" t="str">
        <f t="shared" si="13"/>
        <v/>
      </c>
    </row>
    <row r="582" spans="1:1" x14ac:dyDescent="0.25">
      <c r="A582" s="38" t="str">
        <f t="shared" si="13"/>
        <v/>
      </c>
    </row>
    <row r="583" spans="1:1" x14ac:dyDescent="0.25">
      <c r="A583" s="38" t="str">
        <f t="shared" si="13"/>
        <v/>
      </c>
    </row>
    <row r="584" spans="1:1" x14ac:dyDescent="0.25">
      <c r="A584" s="38" t="str">
        <f t="shared" si="13"/>
        <v/>
      </c>
    </row>
    <row r="585" spans="1:1" x14ac:dyDescent="0.25">
      <c r="A585" s="38" t="str">
        <f t="shared" si="13"/>
        <v/>
      </c>
    </row>
    <row r="586" spans="1:1" x14ac:dyDescent="0.25">
      <c r="A586" s="38" t="str">
        <f t="shared" si="13"/>
        <v/>
      </c>
    </row>
    <row r="587" spans="1:1" x14ac:dyDescent="0.25">
      <c r="A587" s="38" t="str">
        <f t="shared" si="13"/>
        <v/>
      </c>
    </row>
    <row r="588" spans="1:1" x14ac:dyDescent="0.25">
      <c r="A588" s="38" t="str">
        <f t="shared" si="13"/>
        <v/>
      </c>
    </row>
    <row r="589" spans="1:1" x14ac:dyDescent="0.25">
      <c r="A589" s="38" t="str">
        <f t="shared" si="13"/>
        <v/>
      </c>
    </row>
    <row r="590" spans="1:1" x14ac:dyDescent="0.25">
      <c r="A590" s="38" t="str">
        <f t="shared" si="13"/>
        <v/>
      </c>
    </row>
    <row r="591" spans="1:1" x14ac:dyDescent="0.25">
      <c r="A591" s="38" t="str">
        <f t="shared" si="13"/>
        <v/>
      </c>
    </row>
    <row r="592" spans="1:1" x14ac:dyDescent="0.25">
      <c r="A592" s="38" t="str">
        <f t="shared" si="13"/>
        <v/>
      </c>
    </row>
    <row r="593" spans="1:1" x14ac:dyDescent="0.25">
      <c r="A593" s="38" t="str">
        <f t="shared" si="13"/>
        <v/>
      </c>
    </row>
    <row r="594" spans="1:1" x14ac:dyDescent="0.25">
      <c r="A594" s="38" t="str">
        <f t="shared" si="13"/>
        <v/>
      </c>
    </row>
    <row r="595" spans="1:1" x14ac:dyDescent="0.25">
      <c r="A595" s="38" t="str">
        <f t="shared" si="13"/>
        <v/>
      </c>
    </row>
    <row r="596" spans="1:1" x14ac:dyDescent="0.25">
      <c r="A596" s="38" t="str">
        <f t="shared" si="13"/>
        <v/>
      </c>
    </row>
    <row r="597" spans="1:1" x14ac:dyDescent="0.25">
      <c r="A597" s="38" t="str">
        <f t="shared" si="13"/>
        <v/>
      </c>
    </row>
    <row r="598" spans="1:1" x14ac:dyDescent="0.25">
      <c r="A598" s="38" t="str">
        <f t="shared" si="13"/>
        <v/>
      </c>
    </row>
    <row r="599" spans="1:1" x14ac:dyDescent="0.25">
      <c r="A599" s="38" t="str">
        <f t="shared" si="13"/>
        <v/>
      </c>
    </row>
    <row r="600" spans="1:1" x14ac:dyDescent="0.25">
      <c r="A600" s="38" t="str">
        <f t="shared" si="13"/>
        <v/>
      </c>
    </row>
    <row r="601" spans="1:1" x14ac:dyDescent="0.25">
      <c r="A601" s="38" t="str">
        <f t="shared" si="13"/>
        <v/>
      </c>
    </row>
    <row r="602" spans="1:1" x14ac:dyDescent="0.25">
      <c r="A602" s="38" t="str">
        <f t="shared" si="13"/>
        <v/>
      </c>
    </row>
    <row r="603" spans="1:1" x14ac:dyDescent="0.25">
      <c r="A603" s="38" t="str">
        <f t="shared" si="13"/>
        <v/>
      </c>
    </row>
    <row r="604" spans="1:1" x14ac:dyDescent="0.25">
      <c r="A604" s="38" t="str">
        <f t="shared" si="13"/>
        <v/>
      </c>
    </row>
    <row r="605" spans="1:1" x14ac:dyDescent="0.25">
      <c r="A605" s="38" t="str">
        <f t="shared" si="13"/>
        <v/>
      </c>
    </row>
    <row r="606" spans="1:1" x14ac:dyDescent="0.25">
      <c r="A606" s="38" t="str">
        <f t="shared" si="13"/>
        <v/>
      </c>
    </row>
    <row r="607" spans="1:1" x14ac:dyDescent="0.25">
      <c r="A607" s="38" t="str">
        <f t="shared" si="13"/>
        <v/>
      </c>
    </row>
    <row r="608" spans="1:1" x14ac:dyDescent="0.25">
      <c r="A608" s="38" t="str">
        <f t="shared" si="13"/>
        <v/>
      </c>
    </row>
    <row r="609" spans="1:1" x14ac:dyDescent="0.25">
      <c r="A609" s="38" t="str">
        <f t="shared" si="13"/>
        <v/>
      </c>
    </row>
    <row r="610" spans="1:1" x14ac:dyDescent="0.25">
      <c r="A610" s="38" t="str">
        <f t="shared" si="13"/>
        <v/>
      </c>
    </row>
    <row r="611" spans="1:1" x14ac:dyDescent="0.25">
      <c r="A611" s="38" t="str">
        <f t="shared" si="13"/>
        <v/>
      </c>
    </row>
    <row r="612" spans="1:1" x14ac:dyDescent="0.25">
      <c r="A612" s="38" t="str">
        <f t="shared" si="13"/>
        <v/>
      </c>
    </row>
    <row r="613" spans="1:1" x14ac:dyDescent="0.25">
      <c r="A613" s="38" t="str">
        <f t="shared" si="13"/>
        <v/>
      </c>
    </row>
    <row r="614" spans="1:1" x14ac:dyDescent="0.25">
      <c r="A614" s="38" t="str">
        <f t="shared" si="13"/>
        <v/>
      </c>
    </row>
    <row r="615" spans="1:1" x14ac:dyDescent="0.25">
      <c r="A615" s="38" t="str">
        <f t="shared" si="13"/>
        <v/>
      </c>
    </row>
    <row r="616" spans="1:1" x14ac:dyDescent="0.25">
      <c r="A616" s="38" t="str">
        <f t="shared" si="13"/>
        <v/>
      </c>
    </row>
    <row r="617" spans="1:1" x14ac:dyDescent="0.25">
      <c r="A617" s="38" t="str">
        <f t="shared" si="13"/>
        <v/>
      </c>
    </row>
    <row r="618" spans="1:1" x14ac:dyDescent="0.25">
      <c r="A618" s="38" t="str">
        <f t="shared" si="13"/>
        <v/>
      </c>
    </row>
    <row r="619" spans="1:1" x14ac:dyDescent="0.25">
      <c r="A619" s="38" t="str">
        <f t="shared" si="13"/>
        <v/>
      </c>
    </row>
    <row r="620" spans="1:1" x14ac:dyDescent="0.25">
      <c r="A620" s="38" t="str">
        <f t="shared" si="13"/>
        <v/>
      </c>
    </row>
    <row r="621" spans="1:1" x14ac:dyDescent="0.25">
      <c r="A621" s="38" t="str">
        <f t="shared" si="13"/>
        <v/>
      </c>
    </row>
    <row r="622" spans="1:1" x14ac:dyDescent="0.25">
      <c r="A622" s="38" t="str">
        <f t="shared" si="13"/>
        <v/>
      </c>
    </row>
    <row r="623" spans="1:1" x14ac:dyDescent="0.25">
      <c r="A623" s="38" t="str">
        <f t="shared" si="13"/>
        <v/>
      </c>
    </row>
    <row r="624" spans="1:1" x14ac:dyDescent="0.25">
      <c r="A624" s="38" t="str">
        <f t="shared" si="13"/>
        <v/>
      </c>
    </row>
    <row r="625" spans="1:1" x14ac:dyDescent="0.25">
      <c r="A625" s="38" t="str">
        <f t="shared" si="13"/>
        <v/>
      </c>
    </row>
    <row r="626" spans="1:1" x14ac:dyDescent="0.25">
      <c r="A626" s="38" t="str">
        <f t="shared" si="13"/>
        <v/>
      </c>
    </row>
    <row r="627" spans="1:1" x14ac:dyDescent="0.25">
      <c r="A627" s="38" t="str">
        <f t="shared" si="13"/>
        <v/>
      </c>
    </row>
    <row r="628" spans="1:1" x14ac:dyDescent="0.25">
      <c r="A628" s="38" t="str">
        <f t="shared" si="13"/>
        <v/>
      </c>
    </row>
    <row r="629" spans="1:1" x14ac:dyDescent="0.25">
      <c r="A629" s="38" t="str">
        <f t="shared" si="13"/>
        <v/>
      </c>
    </row>
    <row r="630" spans="1:1" x14ac:dyDescent="0.25">
      <c r="A630" s="38" t="str">
        <f t="shared" si="13"/>
        <v/>
      </c>
    </row>
    <row r="631" spans="1:1" x14ac:dyDescent="0.25">
      <c r="A631" s="38" t="str">
        <f t="shared" si="13"/>
        <v/>
      </c>
    </row>
    <row r="632" spans="1:1" x14ac:dyDescent="0.25">
      <c r="A632" s="38" t="str">
        <f t="shared" si="13"/>
        <v/>
      </c>
    </row>
    <row r="633" spans="1:1" x14ac:dyDescent="0.25">
      <c r="A633" s="38" t="str">
        <f t="shared" si="13"/>
        <v/>
      </c>
    </row>
    <row r="634" spans="1:1" x14ac:dyDescent="0.25">
      <c r="A634" s="38" t="str">
        <f t="shared" si="13"/>
        <v/>
      </c>
    </row>
    <row r="635" spans="1:1" x14ac:dyDescent="0.25">
      <c r="A635" s="38" t="str">
        <f t="shared" si="13"/>
        <v/>
      </c>
    </row>
    <row r="636" spans="1:1" x14ac:dyDescent="0.25">
      <c r="A636" s="38" t="str">
        <f t="shared" si="13"/>
        <v/>
      </c>
    </row>
    <row r="637" spans="1:1" x14ac:dyDescent="0.25">
      <c r="A637" s="38" t="str">
        <f t="shared" si="13"/>
        <v/>
      </c>
    </row>
    <row r="638" spans="1:1" x14ac:dyDescent="0.25">
      <c r="A638" s="38" t="str">
        <f t="shared" si="13"/>
        <v/>
      </c>
    </row>
    <row r="639" spans="1:1" x14ac:dyDescent="0.25">
      <c r="A639" s="38" t="str">
        <f t="shared" si="13"/>
        <v/>
      </c>
    </row>
    <row r="640" spans="1:1" x14ac:dyDescent="0.25">
      <c r="A640" s="38" t="str">
        <f t="shared" si="13"/>
        <v/>
      </c>
    </row>
    <row r="641" spans="1:1" x14ac:dyDescent="0.25">
      <c r="A641" s="38" t="str">
        <f t="shared" si="13"/>
        <v/>
      </c>
    </row>
    <row r="642" spans="1:1" x14ac:dyDescent="0.25">
      <c r="A642" s="38" t="str">
        <f t="shared" si="13"/>
        <v/>
      </c>
    </row>
    <row r="643" spans="1:1" x14ac:dyDescent="0.25">
      <c r="A643" s="38" t="str">
        <f t="shared" si="13"/>
        <v/>
      </c>
    </row>
    <row r="644" spans="1:1" x14ac:dyDescent="0.25">
      <c r="A644" s="38" t="str">
        <f t="shared" ref="A644:A707" si="14">IF(ISTEXT(C644),A643+1,"")</f>
        <v/>
      </c>
    </row>
    <row r="645" spans="1:1" x14ac:dyDescent="0.25">
      <c r="A645" s="38" t="str">
        <f t="shared" si="14"/>
        <v/>
      </c>
    </row>
    <row r="646" spans="1:1" x14ac:dyDescent="0.25">
      <c r="A646" s="38" t="str">
        <f t="shared" si="14"/>
        <v/>
      </c>
    </row>
    <row r="647" spans="1:1" x14ac:dyDescent="0.25">
      <c r="A647" s="38" t="str">
        <f t="shared" si="14"/>
        <v/>
      </c>
    </row>
    <row r="648" spans="1:1" x14ac:dyDescent="0.25">
      <c r="A648" s="38" t="str">
        <f t="shared" si="14"/>
        <v/>
      </c>
    </row>
    <row r="649" spans="1:1" x14ac:dyDescent="0.25">
      <c r="A649" s="38" t="str">
        <f t="shared" si="14"/>
        <v/>
      </c>
    </row>
    <row r="650" spans="1:1" x14ac:dyDescent="0.25">
      <c r="A650" s="38" t="str">
        <f t="shared" si="14"/>
        <v/>
      </c>
    </row>
    <row r="651" spans="1:1" x14ac:dyDescent="0.25">
      <c r="A651" s="38" t="str">
        <f t="shared" si="14"/>
        <v/>
      </c>
    </row>
    <row r="652" spans="1:1" x14ac:dyDescent="0.25">
      <c r="A652" s="38" t="str">
        <f t="shared" si="14"/>
        <v/>
      </c>
    </row>
    <row r="653" spans="1:1" x14ac:dyDescent="0.25">
      <c r="A653" s="38" t="str">
        <f t="shared" si="14"/>
        <v/>
      </c>
    </row>
    <row r="654" spans="1:1" x14ac:dyDescent="0.25">
      <c r="A654" s="38" t="str">
        <f t="shared" si="14"/>
        <v/>
      </c>
    </row>
    <row r="655" spans="1:1" x14ac:dyDescent="0.25">
      <c r="A655" s="38" t="str">
        <f t="shared" si="14"/>
        <v/>
      </c>
    </row>
    <row r="656" spans="1:1" x14ac:dyDescent="0.25">
      <c r="A656" s="38" t="str">
        <f t="shared" si="14"/>
        <v/>
      </c>
    </row>
    <row r="657" spans="1:1" x14ac:dyDescent="0.25">
      <c r="A657" s="38" t="str">
        <f t="shared" si="14"/>
        <v/>
      </c>
    </row>
    <row r="658" spans="1:1" x14ac:dyDescent="0.25">
      <c r="A658" s="38" t="str">
        <f t="shared" si="14"/>
        <v/>
      </c>
    </row>
    <row r="659" spans="1:1" x14ac:dyDescent="0.25">
      <c r="A659" s="38" t="str">
        <f t="shared" si="14"/>
        <v/>
      </c>
    </row>
    <row r="660" spans="1:1" x14ac:dyDescent="0.25">
      <c r="A660" s="38" t="str">
        <f t="shared" si="14"/>
        <v/>
      </c>
    </row>
    <row r="661" spans="1:1" x14ac:dyDescent="0.25">
      <c r="A661" s="38" t="str">
        <f t="shared" si="14"/>
        <v/>
      </c>
    </row>
    <row r="662" spans="1:1" x14ac:dyDescent="0.25">
      <c r="A662" s="38" t="str">
        <f t="shared" si="14"/>
        <v/>
      </c>
    </row>
    <row r="663" spans="1:1" x14ac:dyDescent="0.25">
      <c r="A663" s="38" t="str">
        <f t="shared" si="14"/>
        <v/>
      </c>
    </row>
    <row r="664" spans="1:1" x14ac:dyDescent="0.25">
      <c r="A664" s="38" t="str">
        <f t="shared" si="14"/>
        <v/>
      </c>
    </row>
    <row r="665" spans="1:1" x14ac:dyDescent="0.25">
      <c r="A665" s="38" t="str">
        <f t="shared" si="14"/>
        <v/>
      </c>
    </row>
    <row r="666" spans="1:1" x14ac:dyDescent="0.25">
      <c r="A666" s="38" t="str">
        <f t="shared" si="14"/>
        <v/>
      </c>
    </row>
    <row r="667" spans="1:1" x14ac:dyDescent="0.25">
      <c r="A667" s="38" t="str">
        <f t="shared" si="14"/>
        <v/>
      </c>
    </row>
    <row r="668" spans="1:1" x14ac:dyDescent="0.25">
      <c r="A668" s="38" t="str">
        <f t="shared" si="14"/>
        <v/>
      </c>
    </row>
    <row r="669" spans="1:1" x14ac:dyDescent="0.25">
      <c r="A669" s="38" t="str">
        <f t="shared" si="14"/>
        <v/>
      </c>
    </row>
    <row r="670" spans="1:1" x14ac:dyDescent="0.25">
      <c r="A670" s="38" t="str">
        <f t="shared" si="14"/>
        <v/>
      </c>
    </row>
    <row r="671" spans="1:1" x14ac:dyDescent="0.25">
      <c r="A671" s="38" t="str">
        <f t="shared" si="14"/>
        <v/>
      </c>
    </row>
    <row r="672" spans="1:1" x14ac:dyDescent="0.25">
      <c r="A672" s="38" t="str">
        <f t="shared" si="14"/>
        <v/>
      </c>
    </row>
    <row r="673" spans="1:1" x14ac:dyDescent="0.25">
      <c r="A673" s="38" t="str">
        <f t="shared" si="14"/>
        <v/>
      </c>
    </row>
    <row r="674" spans="1:1" x14ac:dyDescent="0.25">
      <c r="A674" s="38" t="str">
        <f t="shared" si="14"/>
        <v/>
      </c>
    </row>
    <row r="675" spans="1:1" x14ac:dyDescent="0.25">
      <c r="A675" s="38" t="str">
        <f t="shared" si="14"/>
        <v/>
      </c>
    </row>
    <row r="676" spans="1:1" x14ac:dyDescent="0.25">
      <c r="A676" s="38" t="str">
        <f t="shared" si="14"/>
        <v/>
      </c>
    </row>
    <row r="677" spans="1:1" x14ac:dyDescent="0.25">
      <c r="A677" s="38" t="str">
        <f t="shared" si="14"/>
        <v/>
      </c>
    </row>
    <row r="678" spans="1:1" x14ac:dyDescent="0.25">
      <c r="A678" s="38" t="str">
        <f t="shared" si="14"/>
        <v/>
      </c>
    </row>
    <row r="679" spans="1:1" x14ac:dyDescent="0.25">
      <c r="A679" s="38" t="str">
        <f t="shared" si="14"/>
        <v/>
      </c>
    </row>
    <row r="680" spans="1:1" x14ac:dyDescent="0.25">
      <c r="A680" s="38" t="str">
        <f t="shared" si="14"/>
        <v/>
      </c>
    </row>
    <row r="681" spans="1:1" x14ac:dyDescent="0.25">
      <c r="A681" s="38" t="str">
        <f t="shared" si="14"/>
        <v/>
      </c>
    </row>
    <row r="682" spans="1:1" x14ac:dyDescent="0.25">
      <c r="A682" s="38" t="str">
        <f t="shared" si="14"/>
        <v/>
      </c>
    </row>
    <row r="683" spans="1:1" x14ac:dyDescent="0.25">
      <c r="A683" s="38" t="str">
        <f t="shared" si="14"/>
        <v/>
      </c>
    </row>
    <row r="684" spans="1:1" x14ac:dyDescent="0.25">
      <c r="A684" s="38" t="str">
        <f t="shared" si="14"/>
        <v/>
      </c>
    </row>
    <row r="685" spans="1:1" x14ac:dyDescent="0.25">
      <c r="A685" s="38" t="str">
        <f t="shared" si="14"/>
        <v/>
      </c>
    </row>
    <row r="686" spans="1:1" x14ac:dyDescent="0.25">
      <c r="A686" s="38" t="str">
        <f t="shared" si="14"/>
        <v/>
      </c>
    </row>
    <row r="687" spans="1:1" x14ac:dyDescent="0.25">
      <c r="A687" s="38" t="str">
        <f t="shared" si="14"/>
        <v/>
      </c>
    </row>
    <row r="688" spans="1:1" x14ac:dyDescent="0.25">
      <c r="A688" s="38" t="str">
        <f t="shared" si="14"/>
        <v/>
      </c>
    </row>
    <row r="689" spans="1:1" x14ac:dyDescent="0.25">
      <c r="A689" s="38" t="str">
        <f t="shared" si="14"/>
        <v/>
      </c>
    </row>
    <row r="690" spans="1:1" x14ac:dyDescent="0.25">
      <c r="A690" s="38" t="str">
        <f t="shared" si="14"/>
        <v/>
      </c>
    </row>
    <row r="691" spans="1:1" x14ac:dyDescent="0.25">
      <c r="A691" s="38" t="str">
        <f t="shared" si="14"/>
        <v/>
      </c>
    </row>
    <row r="692" spans="1:1" x14ac:dyDescent="0.25">
      <c r="A692" s="38" t="str">
        <f t="shared" si="14"/>
        <v/>
      </c>
    </row>
    <row r="693" spans="1:1" x14ac:dyDescent="0.25">
      <c r="A693" s="38" t="str">
        <f t="shared" si="14"/>
        <v/>
      </c>
    </row>
    <row r="694" spans="1:1" x14ac:dyDescent="0.25">
      <c r="A694" s="38" t="str">
        <f t="shared" si="14"/>
        <v/>
      </c>
    </row>
    <row r="695" spans="1:1" x14ac:dyDescent="0.25">
      <c r="A695" s="38" t="str">
        <f t="shared" si="14"/>
        <v/>
      </c>
    </row>
    <row r="696" spans="1:1" x14ac:dyDescent="0.25">
      <c r="A696" s="38" t="str">
        <f t="shared" si="14"/>
        <v/>
      </c>
    </row>
    <row r="697" spans="1:1" x14ac:dyDescent="0.25">
      <c r="A697" s="38" t="str">
        <f t="shared" si="14"/>
        <v/>
      </c>
    </row>
    <row r="698" spans="1:1" x14ac:dyDescent="0.25">
      <c r="A698" s="38" t="str">
        <f t="shared" si="14"/>
        <v/>
      </c>
    </row>
    <row r="699" spans="1:1" x14ac:dyDescent="0.25">
      <c r="A699" s="38" t="str">
        <f t="shared" si="14"/>
        <v/>
      </c>
    </row>
    <row r="700" spans="1:1" x14ac:dyDescent="0.25">
      <c r="A700" s="38" t="str">
        <f t="shared" si="14"/>
        <v/>
      </c>
    </row>
    <row r="701" spans="1:1" x14ac:dyDescent="0.25">
      <c r="A701" s="38" t="str">
        <f t="shared" si="14"/>
        <v/>
      </c>
    </row>
    <row r="702" spans="1:1" x14ac:dyDescent="0.25">
      <c r="A702" s="38" t="str">
        <f t="shared" si="14"/>
        <v/>
      </c>
    </row>
    <row r="703" spans="1:1" x14ac:dyDescent="0.25">
      <c r="A703" s="38" t="str">
        <f t="shared" si="14"/>
        <v/>
      </c>
    </row>
    <row r="704" spans="1:1" x14ac:dyDescent="0.25">
      <c r="A704" s="38" t="str">
        <f t="shared" si="14"/>
        <v/>
      </c>
    </row>
    <row r="705" spans="1:1" x14ac:dyDescent="0.25">
      <c r="A705" s="38" t="str">
        <f t="shared" si="14"/>
        <v/>
      </c>
    </row>
    <row r="706" spans="1:1" x14ac:dyDescent="0.25">
      <c r="A706" s="38" t="str">
        <f t="shared" si="14"/>
        <v/>
      </c>
    </row>
    <row r="707" spans="1:1" x14ac:dyDescent="0.25">
      <c r="A707" s="38" t="str">
        <f t="shared" si="14"/>
        <v/>
      </c>
    </row>
    <row r="708" spans="1:1" x14ac:dyDescent="0.25">
      <c r="A708" s="38" t="str">
        <f t="shared" ref="A708:A771" si="15">IF(ISTEXT(C708),A707+1,"")</f>
        <v/>
      </c>
    </row>
    <row r="709" spans="1:1" x14ac:dyDescent="0.25">
      <c r="A709" s="38" t="str">
        <f t="shared" si="15"/>
        <v/>
      </c>
    </row>
    <row r="710" spans="1:1" x14ac:dyDescent="0.25">
      <c r="A710" s="38" t="str">
        <f t="shared" si="15"/>
        <v/>
      </c>
    </row>
    <row r="711" spans="1:1" x14ac:dyDescent="0.25">
      <c r="A711" s="38" t="str">
        <f t="shared" si="15"/>
        <v/>
      </c>
    </row>
    <row r="712" spans="1:1" x14ac:dyDescent="0.25">
      <c r="A712" s="38" t="str">
        <f t="shared" si="15"/>
        <v/>
      </c>
    </row>
    <row r="713" spans="1:1" x14ac:dyDescent="0.25">
      <c r="A713" s="38" t="str">
        <f t="shared" si="15"/>
        <v/>
      </c>
    </row>
    <row r="714" spans="1:1" x14ac:dyDescent="0.25">
      <c r="A714" s="38" t="str">
        <f t="shared" si="15"/>
        <v/>
      </c>
    </row>
    <row r="715" spans="1:1" x14ac:dyDescent="0.25">
      <c r="A715" s="38" t="str">
        <f t="shared" si="15"/>
        <v/>
      </c>
    </row>
    <row r="716" spans="1:1" x14ac:dyDescent="0.25">
      <c r="A716" s="38" t="str">
        <f t="shared" si="15"/>
        <v/>
      </c>
    </row>
    <row r="717" spans="1:1" x14ac:dyDescent="0.25">
      <c r="A717" s="38" t="str">
        <f t="shared" si="15"/>
        <v/>
      </c>
    </row>
    <row r="718" spans="1:1" x14ac:dyDescent="0.25">
      <c r="A718" s="38" t="str">
        <f t="shared" si="15"/>
        <v/>
      </c>
    </row>
    <row r="719" spans="1:1" x14ac:dyDescent="0.25">
      <c r="A719" s="38" t="str">
        <f t="shared" si="15"/>
        <v/>
      </c>
    </row>
    <row r="720" spans="1:1" x14ac:dyDescent="0.25">
      <c r="A720" s="38" t="str">
        <f t="shared" si="15"/>
        <v/>
      </c>
    </row>
    <row r="721" spans="1:1" x14ac:dyDescent="0.25">
      <c r="A721" s="38" t="str">
        <f t="shared" si="15"/>
        <v/>
      </c>
    </row>
    <row r="722" spans="1:1" x14ac:dyDescent="0.25">
      <c r="A722" s="38" t="str">
        <f t="shared" si="15"/>
        <v/>
      </c>
    </row>
    <row r="723" spans="1:1" x14ac:dyDescent="0.25">
      <c r="A723" s="38" t="str">
        <f t="shared" si="15"/>
        <v/>
      </c>
    </row>
    <row r="724" spans="1:1" x14ac:dyDescent="0.25">
      <c r="A724" s="38" t="str">
        <f t="shared" si="15"/>
        <v/>
      </c>
    </row>
    <row r="725" spans="1:1" x14ac:dyDescent="0.25">
      <c r="A725" s="38" t="str">
        <f t="shared" si="15"/>
        <v/>
      </c>
    </row>
    <row r="726" spans="1:1" x14ac:dyDescent="0.25">
      <c r="A726" s="38" t="str">
        <f t="shared" si="15"/>
        <v/>
      </c>
    </row>
    <row r="727" spans="1:1" x14ac:dyDescent="0.25">
      <c r="A727" s="38" t="str">
        <f t="shared" si="15"/>
        <v/>
      </c>
    </row>
    <row r="728" spans="1:1" x14ac:dyDescent="0.25">
      <c r="A728" s="38" t="str">
        <f t="shared" si="15"/>
        <v/>
      </c>
    </row>
    <row r="729" spans="1:1" x14ac:dyDescent="0.25">
      <c r="A729" s="38" t="str">
        <f t="shared" si="15"/>
        <v/>
      </c>
    </row>
    <row r="730" spans="1:1" x14ac:dyDescent="0.25">
      <c r="A730" s="38" t="str">
        <f t="shared" si="15"/>
        <v/>
      </c>
    </row>
    <row r="731" spans="1:1" x14ac:dyDescent="0.25">
      <c r="A731" s="38" t="str">
        <f t="shared" si="15"/>
        <v/>
      </c>
    </row>
    <row r="732" spans="1:1" x14ac:dyDescent="0.25">
      <c r="A732" s="38" t="str">
        <f t="shared" si="15"/>
        <v/>
      </c>
    </row>
    <row r="733" spans="1:1" x14ac:dyDescent="0.25">
      <c r="A733" s="38" t="str">
        <f t="shared" si="15"/>
        <v/>
      </c>
    </row>
    <row r="734" spans="1:1" x14ac:dyDescent="0.25">
      <c r="A734" s="38" t="str">
        <f t="shared" si="15"/>
        <v/>
      </c>
    </row>
    <row r="735" spans="1:1" x14ac:dyDescent="0.25">
      <c r="A735" s="38" t="str">
        <f t="shared" si="15"/>
        <v/>
      </c>
    </row>
    <row r="736" spans="1:1" x14ac:dyDescent="0.25">
      <c r="A736" s="38" t="str">
        <f t="shared" si="15"/>
        <v/>
      </c>
    </row>
    <row r="737" spans="1:1" x14ac:dyDescent="0.25">
      <c r="A737" s="38" t="str">
        <f t="shared" si="15"/>
        <v/>
      </c>
    </row>
    <row r="738" spans="1:1" x14ac:dyDescent="0.25">
      <c r="A738" s="38" t="str">
        <f t="shared" si="15"/>
        <v/>
      </c>
    </row>
    <row r="739" spans="1:1" x14ac:dyDescent="0.25">
      <c r="A739" s="38" t="str">
        <f t="shared" si="15"/>
        <v/>
      </c>
    </row>
    <row r="740" spans="1:1" x14ac:dyDescent="0.25">
      <c r="A740" s="38" t="str">
        <f t="shared" si="15"/>
        <v/>
      </c>
    </row>
    <row r="741" spans="1:1" x14ac:dyDescent="0.25">
      <c r="A741" s="38" t="str">
        <f t="shared" si="15"/>
        <v/>
      </c>
    </row>
    <row r="742" spans="1:1" x14ac:dyDescent="0.25">
      <c r="A742" s="38" t="str">
        <f t="shared" si="15"/>
        <v/>
      </c>
    </row>
    <row r="743" spans="1:1" x14ac:dyDescent="0.25">
      <c r="A743" s="38" t="str">
        <f t="shared" si="15"/>
        <v/>
      </c>
    </row>
    <row r="744" spans="1:1" x14ac:dyDescent="0.25">
      <c r="A744" s="38" t="str">
        <f t="shared" si="15"/>
        <v/>
      </c>
    </row>
    <row r="745" spans="1:1" x14ac:dyDescent="0.25">
      <c r="A745" s="38" t="str">
        <f t="shared" si="15"/>
        <v/>
      </c>
    </row>
    <row r="746" spans="1:1" x14ac:dyDescent="0.25">
      <c r="A746" s="38" t="str">
        <f t="shared" si="15"/>
        <v/>
      </c>
    </row>
    <row r="747" spans="1:1" x14ac:dyDescent="0.25">
      <c r="A747" s="38" t="str">
        <f t="shared" si="15"/>
        <v/>
      </c>
    </row>
    <row r="748" spans="1:1" x14ac:dyDescent="0.25">
      <c r="A748" s="38" t="str">
        <f t="shared" si="15"/>
        <v/>
      </c>
    </row>
    <row r="749" spans="1:1" x14ac:dyDescent="0.25">
      <c r="A749" s="38" t="str">
        <f t="shared" si="15"/>
        <v/>
      </c>
    </row>
    <row r="750" spans="1:1" x14ac:dyDescent="0.25">
      <c r="A750" s="38" t="str">
        <f t="shared" si="15"/>
        <v/>
      </c>
    </row>
    <row r="751" spans="1:1" x14ac:dyDescent="0.25">
      <c r="A751" s="38" t="str">
        <f t="shared" si="15"/>
        <v/>
      </c>
    </row>
    <row r="752" spans="1:1" x14ac:dyDescent="0.25">
      <c r="A752" s="38" t="str">
        <f t="shared" si="15"/>
        <v/>
      </c>
    </row>
    <row r="753" spans="1:1" x14ac:dyDescent="0.25">
      <c r="A753" s="38" t="str">
        <f t="shared" si="15"/>
        <v/>
      </c>
    </row>
    <row r="754" spans="1:1" x14ac:dyDescent="0.25">
      <c r="A754" s="38" t="str">
        <f t="shared" si="15"/>
        <v/>
      </c>
    </row>
    <row r="755" spans="1:1" x14ac:dyDescent="0.25">
      <c r="A755" s="38" t="str">
        <f t="shared" si="15"/>
        <v/>
      </c>
    </row>
    <row r="756" spans="1:1" x14ac:dyDescent="0.25">
      <c r="A756" s="38" t="str">
        <f t="shared" si="15"/>
        <v/>
      </c>
    </row>
    <row r="757" spans="1:1" x14ac:dyDescent="0.25">
      <c r="A757" s="38" t="str">
        <f t="shared" si="15"/>
        <v/>
      </c>
    </row>
    <row r="758" spans="1:1" x14ac:dyDescent="0.25">
      <c r="A758" s="38" t="str">
        <f t="shared" si="15"/>
        <v/>
      </c>
    </row>
    <row r="759" spans="1:1" x14ac:dyDescent="0.25">
      <c r="A759" s="38" t="str">
        <f t="shared" si="15"/>
        <v/>
      </c>
    </row>
    <row r="760" spans="1:1" x14ac:dyDescent="0.25">
      <c r="A760" s="38" t="str">
        <f t="shared" si="15"/>
        <v/>
      </c>
    </row>
    <row r="761" spans="1:1" x14ac:dyDescent="0.25">
      <c r="A761" s="38" t="str">
        <f t="shared" si="15"/>
        <v/>
      </c>
    </row>
    <row r="762" spans="1:1" x14ac:dyDescent="0.25">
      <c r="A762" s="38" t="str">
        <f t="shared" si="15"/>
        <v/>
      </c>
    </row>
    <row r="763" spans="1:1" x14ac:dyDescent="0.25">
      <c r="A763" s="38" t="str">
        <f t="shared" si="15"/>
        <v/>
      </c>
    </row>
    <row r="764" spans="1:1" x14ac:dyDescent="0.25">
      <c r="A764" s="38" t="str">
        <f t="shared" si="15"/>
        <v/>
      </c>
    </row>
    <row r="765" spans="1:1" x14ac:dyDescent="0.25">
      <c r="A765" s="38" t="str">
        <f t="shared" si="15"/>
        <v/>
      </c>
    </row>
    <row r="766" spans="1:1" x14ac:dyDescent="0.25">
      <c r="A766" s="38" t="str">
        <f t="shared" si="15"/>
        <v/>
      </c>
    </row>
    <row r="767" spans="1:1" x14ac:dyDescent="0.25">
      <c r="A767" s="38" t="str">
        <f t="shared" si="15"/>
        <v/>
      </c>
    </row>
    <row r="768" spans="1:1" x14ac:dyDescent="0.25">
      <c r="A768" s="38" t="str">
        <f t="shared" si="15"/>
        <v/>
      </c>
    </row>
    <row r="769" spans="1:1" x14ac:dyDescent="0.25">
      <c r="A769" s="38" t="str">
        <f t="shared" si="15"/>
        <v/>
      </c>
    </row>
    <row r="770" spans="1:1" x14ac:dyDescent="0.25">
      <c r="A770" s="38" t="str">
        <f t="shared" si="15"/>
        <v/>
      </c>
    </row>
    <row r="771" spans="1:1" x14ac:dyDescent="0.25">
      <c r="A771" s="38" t="str">
        <f t="shared" si="15"/>
        <v/>
      </c>
    </row>
    <row r="772" spans="1:1" x14ac:dyDescent="0.25">
      <c r="A772" s="38" t="str">
        <f t="shared" ref="A772:A835" si="16">IF(ISTEXT(C772),A771+1,"")</f>
        <v/>
      </c>
    </row>
    <row r="773" spans="1:1" x14ac:dyDescent="0.25">
      <c r="A773" s="38" t="str">
        <f t="shared" si="16"/>
        <v/>
      </c>
    </row>
    <row r="774" spans="1:1" x14ac:dyDescent="0.25">
      <c r="A774" s="38" t="str">
        <f t="shared" si="16"/>
        <v/>
      </c>
    </row>
    <row r="775" spans="1:1" x14ac:dyDescent="0.25">
      <c r="A775" s="38" t="str">
        <f t="shared" si="16"/>
        <v/>
      </c>
    </row>
    <row r="776" spans="1:1" x14ac:dyDescent="0.25">
      <c r="A776" s="38" t="str">
        <f t="shared" si="16"/>
        <v/>
      </c>
    </row>
    <row r="777" spans="1:1" x14ac:dyDescent="0.25">
      <c r="A777" s="38" t="str">
        <f t="shared" si="16"/>
        <v/>
      </c>
    </row>
    <row r="778" spans="1:1" x14ac:dyDescent="0.25">
      <c r="A778" s="38" t="str">
        <f t="shared" si="16"/>
        <v/>
      </c>
    </row>
    <row r="779" spans="1:1" x14ac:dyDescent="0.25">
      <c r="A779" s="38" t="str">
        <f t="shared" si="16"/>
        <v/>
      </c>
    </row>
    <row r="780" spans="1:1" x14ac:dyDescent="0.25">
      <c r="A780" s="38" t="str">
        <f t="shared" si="16"/>
        <v/>
      </c>
    </row>
    <row r="781" spans="1:1" x14ac:dyDescent="0.25">
      <c r="A781" s="38" t="str">
        <f t="shared" si="16"/>
        <v/>
      </c>
    </row>
    <row r="782" spans="1:1" x14ac:dyDescent="0.25">
      <c r="A782" s="38" t="str">
        <f t="shared" si="16"/>
        <v/>
      </c>
    </row>
    <row r="783" spans="1:1" x14ac:dyDescent="0.25">
      <c r="A783" s="38" t="str">
        <f t="shared" si="16"/>
        <v/>
      </c>
    </row>
    <row r="784" spans="1:1" x14ac:dyDescent="0.25">
      <c r="A784" s="38" t="str">
        <f t="shared" si="16"/>
        <v/>
      </c>
    </row>
    <row r="785" spans="1:1" x14ac:dyDescent="0.25">
      <c r="A785" s="38" t="str">
        <f t="shared" si="16"/>
        <v/>
      </c>
    </row>
    <row r="786" spans="1:1" x14ac:dyDescent="0.25">
      <c r="A786" s="38" t="str">
        <f t="shared" si="16"/>
        <v/>
      </c>
    </row>
    <row r="787" spans="1:1" x14ac:dyDescent="0.25">
      <c r="A787" s="38" t="str">
        <f t="shared" si="16"/>
        <v/>
      </c>
    </row>
    <row r="788" spans="1:1" x14ac:dyDescent="0.25">
      <c r="A788" s="38" t="str">
        <f t="shared" si="16"/>
        <v/>
      </c>
    </row>
    <row r="789" spans="1:1" x14ac:dyDescent="0.25">
      <c r="A789" s="38" t="str">
        <f t="shared" si="16"/>
        <v/>
      </c>
    </row>
    <row r="790" spans="1:1" x14ac:dyDescent="0.25">
      <c r="A790" s="38" t="str">
        <f t="shared" si="16"/>
        <v/>
      </c>
    </row>
    <row r="791" spans="1:1" x14ac:dyDescent="0.25">
      <c r="A791" s="38" t="str">
        <f t="shared" si="16"/>
        <v/>
      </c>
    </row>
    <row r="792" spans="1:1" x14ac:dyDescent="0.25">
      <c r="A792" s="38" t="str">
        <f t="shared" si="16"/>
        <v/>
      </c>
    </row>
    <row r="793" spans="1:1" x14ac:dyDescent="0.25">
      <c r="A793" s="38" t="str">
        <f t="shared" si="16"/>
        <v/>
      </c>
    </row>
    <row r="794" spans="1:1" x14ac:dyDescent="0.25">
      <c r="A794" s="38" t="str">
        <f t="shared" si="16"/>
        <v/>
      </c>
    </row>
    <row r="795" spans="1:1" x14ac:dyDescent="0.25">
      <c r="A795" s="38" t="str">
        <f t="shared" si="16"/>
        <v/>
      </c>
    </row>
    <row r="796" spans="1:1" x14ac:dyDescent="0.25">
      <c r="A796" s="38" t="str">
        <f t="shared" si="16"/>
        <v/>
      </c>
    </row>
    <row r="797" spans="1:1" x14ac:dyDescent="0.25">
      <c r="A797" s="38" t="str">
        <f t="shared" si="16"/>
        <v/>
      </c>
    </row>
    <row r="798" spans="1:1" x14ac:dyDescent="0.25">
      <c r="A798" s="38" t="str">
        <f t="shared" si="16"/>
        <v/>
      </c>
    </row>
    <row r="799" spans="1:1" x14ac:dyDescent="0.25">
      <c r="A799" s="38" t="str">
        <f t="shared" si="16"/>
        <v/>
      </c>
    </row>
    <row r="800" spans="1:1" x14ac:dyDescent="0.25">
      <c r="A800" s="38" t="str">
        <f t="shared" si="16"/>
        <v/>
      </c>
    </row>
    <row r="801" spans="1:1" x14ac:dyDescent="0.25">
      <c r="A801" s="38" t="str">
        <f t="shared" si="16"/>
        <v/>
      </c>
    </row>
    <row r="802" spans="1:1" x14ac:dyDescent="0.25">
      <c r="A802" s="38" t="str">
        <f t="shared" si="16"/>
        <v/>
      </c>
    </row>
    <row r="803" spans="1:1" x14ac:dyDescent="0.25">
      <c r="A803" s="38" t="str">
        <f t="shared" si="16"/>
        <v/>
      </c>
    </row>
    <row r="804" spans="1:1" x14ac:dyDescent="0.25">
      <c r="A804" s="38" t="str">
        <f t="shared" si="16"/>
        <v/>
      </c>
    </row>
    <row r="805" spans="1:1" x14ac:dyDescent="0.25">
      <c r="A805" s="38" t="str">
        <f t="shared" si="16"/>
        <v/>
      </c>
    </row>
    <row r="806" spans="1:1" x14ac:dyDescent="0.25">
      <c r="A806" s="38" t="str">
        <f t="shared" si="16"/>
        <v/>
      </c>
    </row>
    <row r="807" spans="1:1" x14ac:dyDescent="0.25">
      <c r="A807" s="38" t="str">
        <f t="shared" si="16"/>
        <v/>
      </c>
    </row>
    <row r="808" spans="1:1" x14ac:dyDescent="0.25">
      <c r="A808" s="38" t="str">
        <f t="shared" si="16"/>
        <v/>
      </c>
    </row>
    <row r="809" spans="1:1" x14ac:dyDescent="0.25">
      <c r="A809" s="38" t="str">
        <f t="shared" si="16"/>
        <v/>
      </c>
    </row>
    <row r="810" spans="1:1" x14ac:dyDescent="0.25">
      <c r="A810" s="38" t="str">
        <f t="shared" si="16"/>
        <v/>
      </c>
    </row>
    <row r="811" spans="1:1" x14ac:dyDescent="0.25">
      <c r="A811" s="38" t="str">
        <f t="shared" si="16"/>
        <v/>
      </c>
    </row>
    <row r="812" spans="1:1" x14ac:dyDescent="0.25">
      <c r="A812" s="38" t="str">
        <f t="shared" si="16"/>
        <v/>
      </c>
    </row>
    <row r="813" spans="1:1" x14ac:dyDescent="0.25">
      <c r="A813" s="38" t="str">
        <f t="shared" si="16"/>
        <v/>
      </c>
    </row>
    <row r="814" spans="1:1" x14ac:dyDescent="0.25">
      <c r="A814" s="38" t="str">
        <f t="shared" si="16"/>
        <v/>
      </c>
    </row>
    <row r="815" spans="1:1" x14ac:dyDescent="0.25">
      <c r="A815" s="38" t="str">
        <f t="shared" si="16"/>
        <v/>
      </c>
    </row>
    <row r="816" spans="1:1" x14ac:dyDescent="0.25">
      <c r="A816" s="38" t="str">
        <f t="shared" si="16"/>
        <v/>
      </c>
    </row>
    <row r="817" spans="1:1" x14ac:dyDescent="0.25">
      <c r="A817" s="38" t="str">
        <f t="shared" si="16"/>
        <v/>
      </c>
    </row>
    <row r="818" spans="1:1" x14ac:dyDescent="0.25">
      <c r="A818" s="38" t="str">
        <f t="shared" si="16"/>
        <v/>
      </c>
    </row>
    <row r="819" spans="1:1" x14ac:dyDescent="0.25">
      <c r="A819" s="38" t="str">
        <f t="shared" si="16"/>
        <v/>
      </c>
    </row>
    <row r="820" spans="1:1" x14ac:dyDescent="0.25">
      <c r="A820" s="38" t="str">
        <f t="shared" si="16"/>
        <v/>
      </c>
    </row>
    <row r="821" spans="1:1" x14ac:dyDescent="0.25">
      <c r="A821" s="38" t="str">
        <f t="shared" si="16"/>
        <v/>
      </c>
    </row>
    <row r="822" spans="1:1" x14ac:dyDescent="0.25">
      <c r="A822" s="38" t="str">
        <f t="shared" si="16"/>
        <v/>
      </c>
    </row>
    <row r="823" spans="1:1" x14ac:dyDescent="0.25">
      <c r="A823" s="38" t="str">
        <f t="shared" si="16"/>
        <v/>
      </c>
    </row>
    <row r="824" spans="1:1" x14ac:dyDescent="0.25">
      <c r="A824" s="38" t="str">
        <f t="shared" si="16"/>
        <v/>
      </c>
    </row>
    <row r="825" spans="1:1" x14ac:dyDescent="0.25">
      <c r="A825" s="38" t="str">
        <f t="shared" si="16"/>
        <v/>
      </c>
    </row>
    <row r="826" spans="1:1" x14ac:dyDescent="0.25">
      <c r="A826" s="38" t="str">
        <f t="shared" si="16"/>
        <v/>
      </c>
    </row>
    <row r="827" spans="1:1" x14ac:dyDescent="0.25">
      <c r="A827" s="38" t="str">
        <f t="shared" si="16"/>
        <v/>
      </c>
    </row>
    <row r="828" spans="1:1" x14ac:dyDescent="0.25">
      <c r="A828" s="38" t="str">
        <f t="shared" si="16"/>
        <v/>
      </c>
    </row>
    <row r="829" spans="1:1" x14ac:dyDescent="0.25">
      <c r="A829" s="38" t="str">
        <f t="shared" si="16"/>
        <v/>
      </c>
    </row>
    <row r="830" spans="1:1" x14ac:dyDescent="0.25">
      <c r="A830" s="38" t="str">
        <f t="shared" si="16"/>
        <v/>
      </c>
    </row>
    <row r="831" spans="1:1" x14ac:dyDescent="0.25">
      <c r="A831" s="38" t="str">
        <f t="shared" si="16"/>
        <v/>
      </c>
    </row>
    <row r="832" spans="1:1" x14ac:dyDescent="0.25">
      <c r="A832" s="38" t="str">
        <f t="shared" si="16"/>
        <v/>
      </c>
    </row>
    <row r="833" spans="1:1" x14ac:dyDescent="0.25">
      <c r="A833" s="38" t="str">
        <f t="shared" si="16"/>
        <v/>
      </c>
    </row>
    <row r="834" spans="1:1" x14ac:dyDescent="0.25">
      <c r="A834" s="38" t="str">
        <f t="shared" si="16"/>
        <v/>
      </c>
    </row>
    <row r="835" spans="1:1" x14ac:dyDescent="0.25">
      <c r="A835" s="38" t="str">
        <f t="shared" si="16"/>
        <v/>
      </c>
    </row>
    <row r="836" spans="1:1" x14ac:dyDescent="0.25">
      <c r="A836" s="38" t="str">
        <f t="shared" ref="A836:A899" si="17">IF(ISTEXT(C836),A835+1,"")</f>
        <v/>
      </c>
    </row>
    <row r="837" spans="1:1" x14ac:dyDescent="0.25">
      <c r="A837" s="38" t="str">
        <f t="shared" si="17"/>
        <v/>
      </c>
    </row>
    <row r="838" spans="1:1" x14ac:dyDescent="0.25">
      <c r="A838" s="38" t="str">
        <f t="shared" si="17"/>
        <v/>
      </c>
    </row>
    <row r="839" spans="1:1" x14ac:dyDescent="0.25">
      <c r="A839" s="38" t="str">
        <f t="shared" si="17"/>
        <v/>
      </c>
    </row>
    <row r="840" spans="1:1" x14ac:dyDescent="0.25">
      <c r="A840" s="38" t="str">
        <f t="shared" si="17"/>
        <v/>
      </c>
    </row>
    <row r="841" spans="1:1" x14ac:dyDescent="0.25">
      <c r="A841" s="38" t="str">
        <f t="shared" si="17"/>
        <v/>
      </c>
    </row>
    <row r="842" spans="1:1" x14ac:dyDescent="0.25">
      <c r="A842" s="38" t="str">
        <f t="shared" si="17"/>
        <v/>
      </c>
    </row>
    <row r="843" spans="1:1" x14ac:dyDescent="0.25">
      <c r="A843" s="38" t="str">
        <f t="shared" si="17"/>
        <v/>
      </c>
    </row>
    <row r="844" spans="1:1" x14ac:dyDescent="0.25">
      <c r="A844" s="38" t="str">
        <f t="shared" si="17"/>
        <v/>
      </c>
    </row>
    <row r="845" spans="1:1" x14ac:dyDescent="0.25">
      <c r="A845" s="38" t="str">
        <f t="shared" si="17"/>
        <v/>
      </c>
    </row>
    <row r="846" spans="1:1" x14ac:dyDescent="0.25">
      <c r="A846" s="38" t="str">
        <f t="shared" si="17"/>
        <v/>
      </c>
    </row>
    <row r="847" spans="1:1" x14ac:dyDescent="0.25">
      <c r="A847" s="38" t="str">
        <f t="shared" si="17"/>
        <v/>
      </c>
    </row>
    <row r="848" spans="1:1" x14ac:dyDescent="0.25">
      <c r="A848" s="38" t="str">
        <f t="shared" si="17"/>
        <v/>
      </c>
    </row>
    <row r="849" spans="1:1" x14ac:dyDescent="0.25">
      <c r="A849" s="38" t="str">
        <f t="shared" si="17"/>
        <v/>
      </c>
    </row>
    <row r="850" spans="1:1" x14ac:dyDescent="0.25">
      <c r="A850" s="38" t="str">
        <f t="shared" si="17"/>
        <v/>
      </c>
    </row>
    <row r="851" spans="1:1" x14ac:dyDescent="0.25">
      <c r="A851" s="38" t="str">
        <f t="shared" si="17"/>
        <v/>
      </c>
    </row>
    <row r="852" spans="1:1" x14ac:dyDescent="0.25">
      <c r="A852" s="38" t="str">
        <f t="shared" si="17"/>
        <v/>
      </c>
    </row>
    <row r="853" spans="1:1" x14ac:dyDescent="0.25">
      <c r="A853" s="38" t="str">
        <f t="shared" si="17"/>
        <v/>
      </c>
    </row>
    <row r="854" spans="1:1" x14ac:dyDescent="0.25">
      <c r="A854" s="38" t="str">
        <f t="shared" si="17"/>
        <v/>
      </c>
    </row>
    <row r="855" spans="1:1" x14ac:dyDescent="0.25">
      <c r="A855" s="38" t="str">
        <f t="shared" si="17"/>
        <v/>
      </c>
    </row>
    <row r="856" spans="1:1" x14ac:dyDescent="0.25">
      <c r="A856" s="38" t="str">
        <f t="shared" si="17"/>
        <v/>
      </c>
    </row>
    <row r="857" spans="1:1" x14ac:dyDescent="0.25">
      <c r="A857" s="38" t="str">
        <f t="shared" si="17"/>
        <v/>
      </c>
    </row>
    <row r="858" spans="1:1" x14ac:dyDescent="0.25">
      <c r="A858" s="38" t="str">
        <f t="shared" si="17"/>
        <v/>
      </c>
    </row>
    <row r="859" spans="1:1" x14ac:dyDescent="0.25">
      <c r="A859" s="38" t="str">
        <f t="shared" si="17"/>
        <v/>
      </c>
    </row>
    <row r="860" spans="1:1" x14ac:dyDescent="0.25">
      <c r="A860" s="38" t="str">
        <f t="shared" si="17"/>
        <v/>
      </c>
    </row>
    <row r="861" spans="1:1" x14ac:dyDescent="0.25">
      <c r="A861" s="38" t="str">
        <f t="shared" si="17"/>
        <v/>
      </c>
    </row>
    <row r="862" spans="1:1" x14ac:dyDescent="0.25">
      <c r="A862" s="38" t="str">
        <f t="shared" si="17"/>
        <v/>
      </c>
    </row>
    <row r="863" spans="1:1" x14ac:dyDescent="0.25">
      <c r="A863" s="38" t="str">
        <f t="shared" si="17"/>
        <v/>
      </c>
    </row>
    <row r="864" spans="1:1" x14ac:dyDescent="0.25">
      <c r="A864" s="38" t="str">
        <f t="shared" si="17"/>
        <v/>
      </c>
    </row>
    <row r="865" spans="1:1" x14ac:dyDescent="0.25">
      <c r="A865" s="38" t="str">
        <f t="shared" si="17"/>
        <v/>
      </c>
    </row>
    <row r="866" spans="1:1" x14ac:dyDescent="0.25">
      <c r="A866" s="38" t="str">
        <f t="shared" si="17"/>
        <v/>
      </c>
    </row>
    <row r="867" spans="1:1" x14ac:dyDescent="0.25">
      <c r="A867" s="38" t="str">
        <f t="shared" si="17"/>
        <v/>
      </c>
    </row>
    <row r="868" spans="1:1" x14ac:dyDescent="0.25">
      <c r="A868" s="38" t="str">
        <f t="shared" si="17"/>
        <v/>
      </c>
    </row>
    <row r="869" spans="1:1" x14ac:dyDescent="0.25">
      <c r="A869" s="38" t="str">
        <f t="shared" si="17"/>
        <v/>
      </c>
    </row>
    <row r="870" spans="1:1" x14ac:dyDescent="0.25">
      <c r="A870" s="38" t="str">
        <f t="shared" si="17"/>
        <v/>
      </c>
    </row>
    <row r="871" spans="1:1" x14ac:dyDescent="0.25">
      <c r="A871" s="38" t="str">
        <f t="shared" si="17"/>
        <v/>
      </c>
    </row>
    <row r="872" spans="1:1" x14ac:dyDescent="0.25">
      <c r="A872" s="38" t="str">
        <f t="shared" si="17"/>
        <v/>
      </c>
    </row>
    <row r="873" spans="1:1" x14ac:dyDescent="0.25">
      <c r="A873" s="38" t="str">
        <f t="shared" si="17"/>
        <v/>
      </c>
    </row>
    <row r="874" spans="1:1" x14ac:dyDescent="0.25">
      <c r="A874" s="38" t="str">
        <f t="shared" si="17"/>
        <v/>
      </c>
    </row>
    <row r="875" spans="1:1" x14ac:dyDescent="0.25">
      <c r="A875" s="38" t="str">
        <f t="shared" si="17"/>
        <v/>
      </c>
    </row>
    <row r="876" spans="1:1" x14ac:dyDescent="0.25">
      <c r="A876" s="38" t="str">
        <f t="shared" si="17"/>
        <v/>
      </c>
    </row>
    <row r="877" spans="1:1" x14ac:dyDescent="0.25">
      <c r="A877" s="38" t="str">
        <f t="shared" si="17"/>
        <v/>
      </c>
    </row>
    <row r="878" spans="1:1" x14ac:dyDescent="0.25">
      <c r="A878" s="38" t="str">
        <f t="shared" si="17"/>
        <v/>
      </c>
    </row>
    <row r="879" spans="1:1" x14ac:dyDescent="0.25">
      <c r="A879" s="38" t="str">
        <f t="shared" si="17"/>
        <v/>
      </c>
    </row>
    <row r="880" spans="1:1" x14ac:dyDescent="0.25">
      <c r="A880" s="38" t="str">
        <f t="shared" si="17"/>
        <v/>
      </c>
    </row>
    <row r="881" spans="1:1" x14ac:dyDescent="0.25">
      <c r="A881" s="38" t="str">
        <f t="shared" si="17"/>
        <v/>
      </c>
    </row>
    <row r="882" spans="1:1" x14ac:dyDescent="0.25">
      <c r="A882" s="38" t="str">
        <f t="shared" si="17"/>
        <v/>
      </c>
    </row>
    <row r="883" spans="1:1" x14ac:dyDescent="0.25">
      <c r="A883" s="38" t="str">
        <f t="shared" si="17"/>
        <v/>
      </c>
    </row>
    <row r="884" spans="1:1" x14ac:dyDescent="0.25">
      <c r="A884" s="38" t="str">
        <f t="shared" si="17"/>
        <v/>
      </c>
    </row>
    <row r="885" spans="1:1" x14ac:dyDescent="0.25">
      <c r="A885" s="38" t="str">
        <f t="shared" si="17"/>
        <v/>
      </c>
    </row>
    <row r="886" spans="1:1" x14ac:dyDescent="0.25">
      <c r="A886" s="38" t="str">
        <f t="shared" si="17"/>
        <v/>
      </c>
    </row>
    <row r="887" spans="1:1" x14ac:dyDescent="0.25">
      <c r="A887" s="38" t="str">
        <f t="shared" si="17"/>
        <v/>
      </c>
    </row>
    <row r="888" spans="1:1" x14ac:dyDescent="0.25">
      <c r="A888" s="38" t="str">
        <f t="shared" si="17"/>
        <v/>
      </c>
    </row>
    <row r="889" spans="1:1" x14ac:dyDescent="0.25">
      <c r="A889" s="38" t="str">
        <f t="shared" si="17"/>
        <v/>
      </c>
    </row>
    <row r="890" spans="1:1" x14ac:dyDescent="0.25">
      <c r="A890" s="38" t="str">
        <f t="shared" si="17"/>
        <v/>
      </c>
    </row>
    <row r="891" spans="1:1" x14ac:dyDescent="0.25">
      <c r="A891" s="38" t="str">
        <f t="shared" si="17"/>
        <v/>
      </c>
    </row>
    <row r="892" spans="1:1" x14ac:dyDescent="0.25">
      <c r="A892" s="38" t="str">
        <f t="shared" si="17"/>
        <v/>
      </c>
    </row>
    <row r="893" spans="1:1" x14ac:dyDescent="0.25">
      <c r="A893" s="38" t="str">
        <f t="shared" si="17"/>
        <v/>
      </c>
    </row>
    <row r="894" spans="1:1" x14ac:dyDescent="0.25">
      <c r="A894" s="38" t="str">
        <f t="shared" si="17"/>
        <v/>
      </c>
    </row>
    <row r="895" spans="1:1" x14ac:dyDescent="0.25">
      <c r="A895" s="38" t="str">
        <f t="shared" si="17"/>
        <v/>
      </c>
    </row>
    <row r="896" spans="1:1" x14ac:dyDescent="0.25">
      <c r="A896" s="38" t="str">
        <f t="shared" si="17"/>
        <v/>
      </c>
    </row>
    <row r="897" spans="1:1" x14ac:dyDescent="0.25">
      <c r="A897" s="38" t="str">
        <f t="shared" si="17"/>
        <v/>
      </c>
    </row>
    <row r="898" spans="1:1" x14ac:dyDescent="0.25">
      <c r="A898" s="38" t="str">
        <f t="shared" si="17"/>
        <v/>
      </c>
    </row>
    <row r="899" spans="1:1" x14ac:dyDescent="0.25">
      <c r="A899" s="38" t="str">
        <f t="shared" si="17"/>
        <v/>
      </c>
    </row>
    <row r="900" spans="1:1" x14ac:dyDescent="0.25">
      <c r="A900" s="38" t="str">
        <f t="shared" ref="A900:A963" si="18">IF(ISTEXT(C900),A899+1,"")</f>
        <v/>
      </c>
    </row>
    <row r="901" spans="1:1" x14ac:dyDescent="0.25">
      <c r="A901" s="38" t="str">
        <f t="shared" si="18"/>
        <v/>
      </c>
    </row>
    <row r="902" spans="1:1" x14ac:dyDescent="0.25">
      <c r="A902" s="38" t="str">
        <f t="shared" si="18"/>
        <v/>
      </c>
    </row>
    <row r="903" spans="1:1" x14ac:dyDescent="0.25">
      <c r="A903" s="38" t="str">
        <f t="shared" si="18"/>
        <v/>
      </c>
    </row>
    <row r="904" spans="1:1" x14ac:dyDescent="0.25">
      <c r="A904" s="38" t="str">
        <f t="shared" si="18"/>
        <v/>
      </c>
    </row>
    <row r="905" spans="1:1" x14ac:dyDescent="0.25">
      <c r="A905" s="38" t="str">
        <f t="shared" si="18"/>
        <v/>
      </c>
    </row>
    <row r="906" spans="1:1" x14ac:dyDescent="0.25">
      <c r="A906" s="38" t="str">
        <f t="shared" si="18"/>
        <v/>
      </c>
    </row>
    <row r="907" spans="1:1" x14ac:dyDescent="0.25">
      <c r="A907" s="38" t="str">
        <f t="shared" si="18"/>
        <v/>
      </c>
    </row>
    <row r="908" spans="1:1" x14ac:dyDescent="0.25">
      <c r="A908" s="38" t="str">
        <f t="shared" si="18"/>
        <v/>
      </c>
    </row>
    <row r="909" spans="1:1" x14ac:dyDescent="0.25">
      <c r="A909" s="38" t="str">
        <f t="shared" si="18"/>
        <v/>
      </c>
    </row>
    <row r="910" spans="1:1" x14ac:dyDescent="0.25">
      <c r="A910" s="38" t="str">
        <f t="shared" si="18"/>
        <v/>
      </c>
    </row>
    <row r="911" spans="1:1" x14ac:dyDescent="0.25">
      <c r="A911" s="38" t="str">
        <f t="shared" si="18"/>
        <v/>
      </c>
    </row>
    <row r="912" spans="1:1" x14ac:dyDescent="0.25">
      <c r="A912" s="38" t="str">
        <f t="shared" si="18"/>
        <v/>
      </c>
    </row>
    <row r="913" spans="1:1" x14ac:dyDescent="0.25">
      <c r="A913" s="38" t="str">
        <f t="shared" si="18"/>
        <v/>
      </c>
    </row>
    <row r="914" spans="1:1" x14ac:dyDescent="0.25">
      <c r="A914" s="38" t="str">
        <f t="shared" si="18"/>
        <v/>
      </c>
    </row>
    <row r="915" spans="1:1" x14ac:dyDescent="0.25">
      <c r="A915" s="38" t="str">
        <f t="shared" si="18"/>
        <v/>
      </c>
    </row>
    <row r="916" spans="1:1" x14ac:dyDescent="0.25">
      <c r="A916" s="38" t="str">
        <f t="shared" si="18"/>
        <v/>
      </c>
    </row>
    <row r="917" spans="1:1" x14ac:dyDescent="0.25">
      <c r="A917" s="38" t="str">
        <f t="shared" si="18"/>
        <v/>
      </c>
    </row>
    <row r="918" spans="1:1" x14ac:dyDescent="0.25">
      <c r="A918" s="38" t="str">
        <f t="shared" si="18"/>
        <v/>
      </c>
    </row>
    <row r="919" spans="1:1" x14ac:dyDescent="0.25">
      <c r="A919" s="38" t="str">
        <f t="shared" si="18"/>
        <v/>
      </c>
    </row>
    <row r="920" spans="1:1" x14ac:dyDescent="0.25">
      <c r="A920" s="38" t="str">
        <f t="shared" si="18"/>
        <v/>
      </c>
    </row>
    <row r="921" spans="1:1" x14ac:dyDescent="0.25">
      <c r="A921" s="38" t="str">
        <f t="shared" si="18"/>
        <v/>
      </c>
    </row>
    <row r="922" spans="1:1" x14ac:dyDescent="0.25">
      <c r="A922" s="38" t="str">
        <f t="shared" si="18"/>
        <v/>
      </c>
    </row>
    <row r="923" spans="1:1" x14ac:dyDescent="0.25">
      <c r="A923" s="38" t="str">
        <f t="shared" si="18"/>
        <v/>
      </c>
    </row>
    <row r="924" spans="1:1" x14ac:dyDescent="0.25">
      <c r="A924" s="38" t="str">
        <f t="shared" si="18"/>
        <v/>
      </c>
    </row>
    <row r="925" spans="1:1" x14ac:dyDescent="0.25">
      <c r="A925" s="38" t="str">
        <f t="shared" si="18"/>
        <v/>
      </c>
    </row>
    <row r="926" spans="1:1" x14ac:dyDescent="0.25">
      <c r="A926" s="38" t="str">
        <f t="shared" si="18"/>
        <v/>
      </c>
    </row>
    <row r="927" spans="1:1" x14ac:dyDescent="0.25">
      <c r="A927" s="38" t="str">
        <f t="shared" si="18"/>
        <v/>
      </c>
    </row>
    <row r="928" spans="1:1" x14ac:dyDescent="0.25">
      <c r="A928" s="38" t="str">
        <f t="shared" si="18"/>
        <v/>
      </c>
    </row>
    <row r="929" spans="1:1" x14ac:dyDescent="0.25">
      <c r="A929" s="38" t="str">
        <f t="shared" si="18"/>
        <v/>
      </c>
    </row>
    <row r="930" spans="1:1" x14ac:dyDescent="0.25">
      <c r="A930" s="38" t="str">
        <f t="shared" si="18"/>
        <v/>
      </c>
    </row>
    <row r="931" spans="1:1" x14ac:dyDescent="0.25">
      <c r="A931" s="38" t="str">
        <f t="shared" si="18"/>
        <v/>
      </c>
    </row>
    <row r="932" spans="1:1" x14ac:dyDescent="0.25">
      <c r="A932" s="38" t="str">
        <f t="shared" si="18"/>
        <v/>
      </c>
    </row>
    <row r="933" spans="1:1" x14ac:dyDescent="0.25">
      <c r="A933" s="38" t="str">
        <f t="shared" si="18"/>
        <v/>
      </c>
    </row>
    <row r="934" spans="1:1" x14ac:dyDescent="0.25">
      <c r="A934" s="38" t="str">
        <f t="shared" si="18"/>
        <v/>
      </c>
    </row>
    <row r="935" spans="1:1" x14ac:dyDescent="0.25">
      <c r="A935" s="38" t="str">
        <f t="shared" si="18"/>
        <v/>
      </c>
    </row>
    <row r="936" spans="1:1" x14ac:dyDescent="0.25">
      <c r="A936" s="38" t="str">
        <f t="shared" si="18"/>
        <v/>
      </c>
    </row>
    <row r="937" spans="1:1" x14ac:dyDescent="0.25">
      <c r="A937" s="38" t="str">
        <f t="shared" si="18"/>
        <v/>
      </c>
    </row>
    <row r="938" spans="1:1" x14ac:dyDescent="0.25">
      <c r="A938" s="38" t="str">
        <f t="shared" si="18"/>
        <v/>
      </c>
    </row>
    <row r="939" spans="1:1" x14ac:dyDescent="0.25">
      <c r="A939" s="38" t="str">
        <f t="shared" si="18"/>
        <v/>
      </c>
    </row>
    <row r="940" spans="1:1" x14ac:dyDescent="0.25">
      <c r="A940" s="38" t="str">
        <f t="shared" si="18"/>
        <v/>
      </c>
    </row>
    <row r="941" spans="1:1" x14ac:dyDescent="0.25">
      <c r="A941" s="38" t="str">
        <f t="shared" si="18"/>
        <v/>
      </c>
    </row>
    <row r="942" spans="1:1" x14ac:dyDescent="0.25">
      <c r="A942" s="38" t="str">
        <f t="shared" si="18"/>
        <v/>
      </c>
    </row>
    <row r="943" spans="1:1" x14ac:dyDescent="0.25">
      <c r="A943" s="38" t="str">
        <f t="shared" si="18"/>
        <v/>
      </c>
    </row>
    <row r="944" spans="1:1" x14ac:dyDescent="0.25">
      <c r="A944" s="38" t="str">
        <f t="shared" si="18"/>
        <v/>
      </c>
    </row>
    <row r="945" spans="1:1" x14ac:dyDescent="0.25">
      <c r="A945" s="38" t="str">
        <f t="shared" si="18"/>
        <v/>
      </c>
    </row>
    <row r="946" spans="1:1" x14ac:dyDescent="0.25">
      <c r="A946" s="38" t="str">
        <f t="shared" si="18"/>
        <v/>
      </c>
    </row>
    <row r="947" spans="1:1" x14ac:dyDescent="0.25">
      <c r="A947" s="38" t="str">
        <f t="shared" si="18"/>
        <v/>
      </c>
    </row>
    <row r="948" spans="1:1" x14ac:dyDescent="0.25">
      <c r="A948" s="38" t="str">
        <f t="shared" si="18"/>
        <v/>
      </c>
    </row>
    <row r="949" spans="1:1" x14ac:dyDescent="0.25">
      <c r="A949" s="38" t="str">
        <f t="shared" si="18"/>
        <v/>
      </c>
    </row>
    <row r="950" spans="1:1" x14ac:dyDescent="0.25">
      <c r="A950" s="38" t="str">
        <f t="shared" si="18"/>
        <v/>
      </c>
    </row>
    <row r="951" spans="1:1" x14ac:dyDescent="0.25">
      <c r="A951" s="38" t="str">
        <f t="shared" si="18"/>
        <v/>
      </c>
    </row>
    <row r="952" spans="1:1" x14ac:dyDescent="0.25">
      <c r="A952" s="38" t="str">
        <f t="shared" si="18"/>
        <v/>
      </c>
    </row>
    <row r="953" spans="1:1" x14ac:dyDescent="0.25">
      <c r="A953" s="38" t="str">
        <f t="shared" si="18"/>
        <v/>
      </c>
    </row>
    <row r="954" spans="1:1" x14ac:dyDescent="0.25">
      <c r="A954" s="38" t="str">
        <f t="shared" si="18"/>
        <v/>
      </c>
    </row>
    <row r="955" spans="1:1" x14ac:dyDescent="0.25">
      <c r="A955" s="38" t="str">
        <f t="shared" si="18"/>
        <v/>
      </c>
    </row>
    <row r="956" spans="1:1" x14ac:dyDescent="0.25">
      <c r="A956" s="38" t="str">
        <f t="shared" si="18"/>
        <v/>
      </c>
    </row>
    <row r="957" spans="1:1" x14ac:dyDescent="0.25">
      <c r="A957" s="38" t="str">
        <f t="shared" si="18"/>
        <v/>
      </c>
    </row>
    <row r="958" spans="1:1" x14ac:dyDescent="0.25">
      <c r="A958" s="38" t="str">
        <f t="shared" si="18"/>
        <v/>
      </c>
    </row>
    <row r="959" spans="1:1" x14ac:dyDescent="0.25">
      <c r="A959" s="38" t="str">
        <f t="shared" si="18"/>
        <v/>
      </c>
    </row>
    <row r="960" spans="1:1" x14ac:dyDescent="0.25">
      <c r="A960" s="38" t="str">
        <f t="shared" si="18"/>
        <v/>
      </c>
    </row>
    <row r="961" spans="1:1" x14ac:dyDescent="0.25">
      <c r="A961" s="38" t="str">
        <f t="shared" si="18"/>
        <v/>
      </c>
    </row>
    <row r="962" spans="1:1" x14ac:dyDescent="0.25">
      <c r="A962" s="38" t="str">
        <f t="shared" si="18"/>
        <v/>
      </c>
    </row>
    <row r="963" spans="1:1" x14ac:dyDescent="0.25">
      <c r="A963" s="38" t="str">
        <f t="shared" si="18"/>
        <v/>
      </c>
    </row>
    <row r="964" spans="1:1" x14ac:dyDescent="0.25">
      <c r="A964" s="38" t="str">
        <f t="shared" ref="A964:A1027" si="19">IF(ISTEXT(C964),A963+1,"")</f>
        <v/>
      </c>
    </row>
    <row r="965" spans="1:1" x14ac:dyDescent="0.25">
      <c r="A965" s="38" t="str">
        <f t="shared" si="19"/>
        <v/>
      </c>
    </row>
    <row r="966" spans="1:1" x14ac:dyDescent="0.25">
      <c r="A966" s="38" t="str">
        <f t="shared" si="19"/>
        <v/>
      </c>
    </row>
    <row r="967" spans="1:1" x14ac:dyDescent="0.25">
      <c r="A967" s="38" t="str">
        <f t="shared" si="19"/>
        <v/>
      </c>
    </row>
    <row r="968" spans="1:1" x14ac:dyDescent="0.25">
      <c r="A968" s="38" t="str">
        <f t="shared" si="19"/>
        <v/>
      </c>
    </row>
    <row r="969" spans="1:1" x14ac:dyDescent="0.25">
      <c r="A969" s="38" t="str">
        <f t="shared" si="19"/>
        <v/>
      </c>
    </row>
    <row r="970" spans="1:1" x14ac:dyDescent="0.25">
      <c r="A970" s="38" t="str">
        <f t="shared" si="19"/>
        <v/>
      </c>
    </row>
    <row r="971" spans="1:1" x14ac:dyDescent="0.25">
      <c r="A971" s="38" t="str">
        <f t="shared" si="19"/>
        <v/>
      </c>
    </row>
    <row r="972" spans="1:1" x14ac:dyDescent="0.25">
      <c r="A972" s="38" t="str">
        <f t="shared" si="19"/>
        <v/>
      </c>
    </row>
    <row r="973" spans="1:1" x14ac:dyDescent="0.25">
      <c r="A973" s="38" t="str">
        <f t="shared" si="19"/>
        <v/>
      </c>
    </row>
    <row r="974" spans="1:1" x14ac:dyDescent="0.25">
      <c r="A974" s="38" t="str">
        <f t="shared" si="19"/>
        <v/>
      </c>
    </row>
    <row r="975" spans="1:1" x14ac:dyDescent="0.25">
      <c r="A975" s="38" t="str">
        <f t="shared" si="19"/>
        <v/>
      </c>
    </row>
    <row r="976" spans="1:1" x14ac:dyDescent="0.25">
      <c r="A976" s="38" t="str">
        <f t="shared" si="19"/>
        <v/>
      </c>
    </row>
    <row r="977" spans="1:1" x14ac:dyDescent="0.25">
      <c r="A977" s="38" t="str">
        <f t="shared" si="19"/>
        <v/>
      </c>
    </row>
    <row r="978" spans="1:1" x14ac:dyDescent="0.25">
      <c r="A978" s="38" t="str">
        <f t="shared" si="19"/>
        <v/>
      </c>
    </row>
    <row r="979" spans="1:1" x14ac:dyDescent="0.25">
      <c r="A979" s="38" t="str">
        <f t="shared" si="19"/>
        <v/>
      </c>
    </row>
    <row r="980" spans="1:1" x14ac:dyDescent="0.25">
      <c r="A980" s="38" t="str">
        <f t="shared" si="19"/>
        <v/>
      </c>
    </row>
    <row r="981" spans="1:1" x14ac:dyDescent="0.25">
      <c r="A981" s="38" t="str">
        <f t="shared" si="19"/>
        <v/>
      </c>
    </row>
    <row r="982" spans="1:1" x14ac:dyDescent="0.25">
      <c r="A982" s="38" t="str">
        <f t="shared" si="19"/>
        <v/>
      </c>
    </row>
    <row r="983" spans="1:1" x14ac:dyDescent="0.25">
      <c r="A983" s="38" t="str">
        <f t="shared" si="19"/>
        <v/>
      </c>
    </row>
    <row r="984" spans="1:1" x14ac:dyDescent="0.25">
      <c r="A984" s="38" t="str">
        <f t="shared" si="19"/>
        <v/>
      </c>
    </row>
    <row r="985" spans="1:1" x14ac:dyDescent="0.25">
      <c r="A985" s="38" t="str">
        <f t="shared" si="19"/>
        <v/>
      </c>
    </row>
    <row r="986" spans="1:1" x14ac:dyDescent="0.25">
      <c r="A986" s="38" t="str">
        <f t="shared" si="19"/>
        <v/>
      </c>
    </row>
    <row r="987" spans="1:1" x14ac:dyDescent="0.25">
      <c r="A987" s="38" t="str">
        <f t="shared" si="19"/>
        <v/>
      </c>
    </row>
    <row r="988" spans="1:1" x14ac:dyDescent="0.25">
      <c r="A988" s="38" t="str">
        <f t="shared" si="19"/>
        <v/>
      </c>
    </row>
    <row r="989" spans="1:1" x14ac:dyDescent="0.25">
      <c r="A989" s="38" t="str">
        <f t="shared" si="19"/>
        <v/>
      </c>
    </row>
    <row r="990" spans="1:1" x14ac:dyDescent="0.25">
      <c r="A990" s="38" t="str">
        <f t="shared" si="19"/>
        <v/>
      </c>
    </row>
    <row r="991" spans="1:1" x14ac:dyDescent="0.25">
      <c r="A991" s="38" t="str">
        <f t="shared" si="19"/>
        <v/>
      </c>
    </row>
    <row r="992" spans="1:1" x14ac:dyDescent="0.25">
      <c r="A992" s="38" t="str">
        <f t="shared" si="19"/>
        <v/>
      </c>
    </row>
    <row r="993" spans="1:1" x14ac:dyDescent="0.25">
      <c r="A993" s="38" t="str">
        <f t="shared" si="19"/>
        <v/>
      </c>
    </row>
    <row r="994" spans="1:1" x14ac:dyDescent="0.25">
      <c r="A994" s="38" t="str">
        <f t="shared" si="19"/>
        <v/>
      </c>
    </row>
    <row r="995" spans="1:1" x14ac:dyDescent="0.25">
      <c r="A995" s="38" t="str">
        <f t="shared" si="19"/>
        <v/>
      </c>
    </row>
    <row r="996" spans="1:1" x14ac:dyDescent="0.25">
      <c r="A996" s="38" t="str">
        <f t="shared" si="19"/>
        <v/>
      </c>
    </row>
    <row r="997" spans="1:1" x14ac:dyDescent="0.25">
      <c r="A997" s="38" t="str">
        <f t="shared" si="19"/>
        <v/>
      </c>
    </row>
    <row r="998" spans="1:1" x14ac:dyDescent="0.25">
      <c r="A998" s="38" t="str">
        <f t="shared" si="19"/>
        <v/>
      </c>
    </row>
    <row r="999" spans="1:1" x14ac:dyDescent="0.25">
      <c r="A999" s="38" t="str">
        <f t="shared" si="19"/>
        <v/>
      </c>
    </row>
    <row r="1000" spans="1:1" x14ac:dyDescent="0.25">
      <c r="A1000" s="38" t="str">
        <f t="shared" si="19"/>
        <v/>
      </c>
    </row>
    <row r="1001" spans="1:1" x14ac:dyDescent="0.25">
      <c r="A1001" s="38" t="str">
        <f t="shared" si="19"/>
        <v/>
      </c>
    </row>
    <row r="1002" spans="1:1" x14ac:dyDescent="0.25">
      <c r="A1002" s="38" t="str">
        <f t="shared" si="19"/>
        <v/>
      </c>
    </row>
    <row r="1003" spans="1:1" x14ac:dyDescent="0.25">
      <c r="A1003" s="38" t="str">
        <f t="shared" si="19"/>
        <v/>
      </c>
    </row>
    <row r="1004" spans="1:1" x14ac:dyDescent="0.25">
      <c r="A1004" s="38" t="str">
        <f t="shared" si="19"/>
        <v/>
      </c>
    </row>
    <row r="1005" spans="1:1" x14ac:dyDescent="0.25">
      <c r="A1005" s="38" t="str">
        <f t="shared" si="19"/>
        <v/>
      </c>
    </row>
    <row r="1006" spans="1:1" x14ac:dyDescent="0.25">
      <c r="A1006" s="38" t="str">
        <f t="shared" si="19"/>
        <v/>
      </c>
    </row>
    <row r="1007" spans="1:1" x14ac:dyDescent="0.25">
      <c r="A1007" s="38" t="str">
        <f t="shared" si="19"/>
        <v/>
      </c>
    </row>
    <row r="1008" spans="1:1" x14ac:dyDescent="0.25">
      <c r="A1008" s="38" t="str">
        <f t="shared" si="19"/>
        <v/>
      </c>
    </row>
    <row r="1009" spans="1:1" x14ac:dyDescent="0.25">
      <c r="A1009" s="38" t="str">
        <f t="shared" si="19"/>
        <v/>
      </c>
    </row>
    <row r="1010" spans="1:1" x14ac:dyDescent="0.25">
      <c r="A1010" s="38" t="str">
        <f t="shared" si="19"/>
        <v/>
      </c>
    </row>
    <row r="1011" spans="1:1" x14ac:dyDescent="0.25">
      <c r="A1011" s="38" t="str">
        <f t="shared" si="19"/>
        <v/>
      </c>
    </row>
    <row r="1012" spans="1:1" x14ac:dyDescent="0.25">
      <c r="A1012" s="38" t="str">
        <f t="shared" si="19"/>
        <v/>
      </c>
    </row>
    <row r="1013" spans="1:1" x14ac:dyDescent="0.25">
      <c r="A1013" s="38" t="str">
        <f t="shared" si="19"/>
        <v/>
      </c>
    </row>
    <row r="1014" spans="1:1" x14ac:dyDescent="0.25">
      <c r="A1014" s="38" t="str">
        <f t="shared" si="19"/>
        <v/>
      </c>
    </row>
    <row r="1015" spans="1:1" x14ac:dyDescent="0.25">
      <c r="A1015" s="38" t="str">
        <f t="shared" si="19"/>
        <v/>
      </c>
    </row>
    <row r="1016" spans="1:1" x14ac:dyDescent="0.25">
      <c r="A1016" s="38" t="str">
        <f t="shared" si="19"/>
        <v/>
      </c>
    </row>
    <row r="1017" spans="1:1" x14ac:dyDescent="0.25">
      <c r="A1017" s="38" t="str">
        <f t="shared" si="19"/>
        <v/>
      </c>
    </row>
    <row r="1018" spans="1:1" x14ac:dyDescent="0.25">
      <c r="A1018" s="38" t="str">
        <f t="shared" si="19"/>
        <v/>
      </c>
    </row>
    <row r="1019" spans="1:1" x14ac:dyDescent="0.25">
      <c r="A1019" s="38" t="str">
        <f t="shared" si="19"/>
        <v/>
      </c>
    </row>
    <row r="1020" spans="1:1" x14ac:dyDescent="0.25">
      <c r="A1020" s="38" t="str">
        <f t="shared" si="19"/>
        <v/>
      </c>
    </row>
    <row r="1021" spans="1:1" x14ac:dyDescent="0.25">
      <c r="A1021" s="38" t="str">
        <f t="shared" si="19"/>
        <v/>
      </c>
    </row>
    <row r="1022" spans="1:1" x14ac:dyDescent="0.25">
      <c r="A1022" s="38" t="str">
        <f t="shared" si="19"/>
        <v/>
      </c>
    </row>
    <row r="1023" spans="1:1" x14ac:dyDescent="0.25">
      <c r="A1023" s="38" t="str">
        <f t="shared" si="19"/>
        <v/>
      </c>
    </row>
    <row r="1024" spans="1:1" x14ac:dyDescent="0.25">
      <c r="A1024" s="38" t="str">
        <f t="shared" si="19"/>
        <v/>
      </c>
    </row>
    <row r="1025" spans="1:1" x14ac:dyDescent="0.25">
      <c r="A1025" s="38" t="str">
        <f t="shared" si="19"/>
        <v/>
      </c>
    </row>
    <row r="1026" spans="1:1" x14ac:dyDescent="0.25">
      <c r="A1026" s="38" t="str">
        <f t="shared" si="19"/>
        <v/>
      </c>
    </row>
    <row r="1027" spans="1:1" x14ac:dyDescent="0.25">
      <c r="A1027" s="38" t="str">
        <f t="shared" si="19"/>
        <v/>
      </c>
    </row>
    <row r="1028" spans="1:1" x14ac:dyDescent="0.25">
      <c r="A1028" s="38" t="str">
        <f t="shared" ref="A1028:A1091" si="20">IF(ISTEXT(C1028),A1027+1,"")</f>
        <v/>
      </c>
    </row>
    <row r="1029" spans="1:1" x14ac:dyDescent="0.25">
      <c r="A1029" s="38" t="str">
        <f t="shared" si="20"/>
        <v/>
      </c>
    </row>
    <row r="1030" spans="1:1" x14ac:dyDescent="0.25">
      <c r="A1030" s="38" t="str">
        <f t="shared" si="20"/>
        <v/>
      </c>
    </row>
    <row r="1031" spans="1:1" x14ac:dyDescent="0.25">
      <c r="A1031" s="38" t="str">
        <f t="shared" si="20"/>
        <v/>
      </c>
    </row>
    <row r="1032" spans="1:1" x14ac:dyDescent="0.25">
      <c r="A1032" s="38" t="str">
        <f t="shared" si="20"/>
        <v/>
      </c>
    </row>
    <row r="1033" spans="1:1" x14ac:dyDescent="0.25">
      <c r="A1033" s="38" t="str">
        <f t="shared" si="20"/>
        <v/>
      </c>
    </row>
    <row r="1034" spans="1:1" x14ac:dyDescent="0.25">
      <c r="A1034" s="38" t="str">
        <f t="shared" si="20"/>
        <v/>
      </c>
    </row>
    <row r="1035" spans="1:1" x14ac:dyDescent="0.25">
      <c r="A1035" s="38" t="str">
        <f t="shared" si="20"/>
        <v/>
      </c>
    </row>
    <row r="1036" spans="1:1" x14ac:dyDescent="0.25">
      <c r="A1036" s="38" t="str">
        <f t="shared" si="20"/>
        <v/>
      </c>
    </row>
    <row r="1037" spans="1:1" x14ac:dyDescent="0.25">
      <c r="A1037" s="38" t="str">
        <f t="shared" si="20"/>
        <v/>
      </c>
    </row>
    <row r="1038" spans="1:1" x14ac:dyDescent="0.25">
      <c r="A1038" s="38" t="str">
        <f t="shared" si="20"/>
        <v/>
      </c>
    </row>
    <row r="1039" spans="1:1" x14ac:dyDescent="0.25">
      <c r="A1039" s="38" t="str">
        <f t="shared" si="20"/>
        <v/>
      </c>
    </row>
    <row r="1040" spans="1:1" x14ac:dyDescent="0.25">
      <c r="A1040" s="38" t="str">
        <f t="shared" si="20"/>
        <v/>
      </c>
    </row>
    <row r="1041" spans="1:1" x14ac:dyDescent="0.25">
      <c r="A1041" s="38" t="str">
        <f t="shared" si="20"/>
        <v/>
      </c>
    </row>
    <row r="1042" spans="1:1" x14ac:dyDescent="0.25">
      <c r="A1042" s="38" t="str">
        <f t="shared" si="20"/>
        <v/>
      </c>
    </row>
    <row r="1043" spans="1:1" x14ac:dyDescent="0.25">
      <c r="A1043" s="38" t="str">
        <f t="shared" si="20"/>
        <v/>
      </c>
    </row>
    <row r="1044" spans="1:1" x14ac:dyDescent="0.25">
      <c r="A1044" s="38" t="str">
        <f t="shared" si="20"/>
        <v/>
      </c>
    </row>
    <row r="1045" spans="1:1" x14ac:dyDescent="0.25">
      <c r="A1045" s="38" t="str">
        <f t="shared" si="20"/>
        <v/>
      </c>
    </row>
    <row r="1046" spans="1:1" x14ac:dyDescent="0.25">
      <c r="A1046" s="38" t="str">
        <f t="shared" si="20"/>
        <v/>
      </c>
    </row>
    <row r="1047" spans="1:1" x14ac:dyDescent="0.25">
      <c r="A1047" s="38" t="str">
        <f t="shared" si="20"/>
        <v/>
      </c>
    </row>
    <row r="1048" spans="1:1" x14ac:dyDescent="0.25">
      <c r="A1048" s="38" t="str">
        <f t="shared" si="20"/>
        <v/>
      </c>
    </row>
    <row r="1049" spans="1:1" x14ac:dyDescent="0.25">
      <c r="A1049" s="38" t="str">
        <f t="shared" si="20"/>
        <v/>
      </c>
    </row>
    <row r="1050" spans="1:1" x14ac:dyDescent="0.25">
      <c r="A1050" s="38" t="str">
        <f t="shared" si="20"/>
        <v/>
      </c>
    </row>
    <row r="1051" spans="1:1" x14ac:dyDescent="0.25">
      <c r="A1051" s="38" t="str">
        <f t="shared" si="20"/>
        <v/>
      </c>
    </row>
    <row r="1052" spans="1:1" x14ac:dyDescent="0.25">
      <c r="A1052" s="38" t="str">
        <f t="shared" si="20"/>
        <v/>
      </c>
    </row>
    <row r="1053" spans="1:1" x14ac:dyDescent="0.25">
      <c r="A1053" s="38" t="str">
        <f t="shared" si="20"/>
        <v/>
      </c>
    </row>
    <row r="1054" spans="1:1" x14ac:dyDescent="0.25">
      <c r="A1054" s="38" t="str">
        <f t="shared" si="20"/>
        <v/>
      </c>
    </row>
    <row r="1055" spans="1:1" x14ac:dyDescent="0.25">
      <c r="A1055" s="38" t="str">
        <f t="shared" si="20"/>
        <v/>
      </c>
    </row>
    <row r="1056" spans="1:1" x14ac:dyDescent="0.25">
      <c r="A1056" s="38" t="str">
        <f t="shared" si="20"/>
        <v/>
      </c>
    </row>
    <row r="1057" spans="1:1" x14ac:dyDescent="0.25">
      <c r="A1057" s="38" t="str">
        <f t="shared" si="20"/>
        <v/>
      </c>
    </row>
    <row r="1058" spans="1:1" x14ac:dyDescent="0.25">
      <c r="A1058" s="38" t="str">
        <f t="shared" si="20"/>
        <v/>
      </c>
    </row>
    <row r="1059" spans="1:1" x14ac:dyDescent="0.25">
      <c r="A1059" s="38" t="str">
        <f t="shared" si="20"/>
        <v/>
      </c>
    </row>
    <row r="1060" spans="1:1" x14ac:dyDescent="0.25">
      <c r="A1060" s="38" t="str">
        <f t="shared" si="20"/>
        <v/>
      </c>
    </row>
    <row r="1061" spans="1:1" x14ac:dyDescent="0.25">
      <c r="A1061" s="38" t="str">
        <f t="shared" si="20"/>
        <v/>
      </c>
    </row>
    <row r="1062" spans="1:1" x14ac:dyDescent="0.25">
      <c r="A1062" s="38" t="str">
        <f t="shared" si="20"/>
        <v/>
      </c>
    </row>
    <row r="1063" spans="1:1" x14ac:dyDescent="0.25">
      <c r="A1063" s="38" t="str">
        <f t="shared" si="20"/>
        <v/>
      </c>
    </row>
    <row r="1064" spans="1:1" x14ac:dyDescent="0.25">
      <c r="A1064" s="38" t="str">
        <f t="shared" si="20"/>
        <v/>
      </c>
    </row>
    <row r="1065" spans="1:1" x14ac:dyDescent="0.25">
      <c r="A1065" s="38" t="str">
        <f t="shared" si="20"/>
        <v/>
      </c>
    </row>
    <row r="1066" spans="1:1" x14ac:dyDescent="0.25">
      <c r="A1066" s="38" t="str">
        <f t="shared" si="20"/>
        <v/>
      </c>
    </row>
    <row r="1067" spans="1:1" x14ac:dyDescent="0.25">
      <c r="A1067" s="38" t="str">
        <f t="shared" si="20"/>
        <v/>
      </c>
    </row>
    <row r="1068" spans="1:1" x14ac:dyDescent="0.25">
      <c r="A1068" s="38" t="str">
        <f t="shared" si="20"/>
        <v/>
      </c>
    </row>
    <row r="1069" spans="1:1" x14ac:dyDescent="0.25">
      <c r="A1069" s="38" t="str">
        <f t="shared" si="20"/>
        <v/>
      </c>
    </row>
    <row r="1070" spans="1:1" x14ac:dyDescent="0.25">
      <c r="A1070" s="38" t="str">
        <f t="shared" si="20"/>
        <v/>
      </c>
    </row>
    <row r="1071" spans="1:1" x14ac:dyDescent="0.25">
      <c r="A1071" s="38" t="str">
        <f t="shared" si="20"/>
        <v/>
      </c>
    </row>
    <row r="1072" spans="1:1" x14ac:dyDescent="0.25">
      <c r="A1072" s="38" t="str">
        <f t="shared" si="20"/>
        <v/>
      </c>
    </row>
    <row r="1073" spans="1:1" x14ac:dyDescent="0.25">
      <c r="A1073" s="38" t="str">
        <f t="shared" si="20"/>
        <v/>
      </c>
    </row>
    <row r="1074" spans="1:1" x14ac:dyDescent="0.25">
      <c r="A1074" s="38" t="str">
        <f t="shared" si="20"/>
        <v/>
      </c>
    </row>
    <row r="1075" spans="1:1" x14ac:dyDescent="0.25">
      <c r="A1075" s="38" t="str">
        <f t="shared" si="20"/>
        <v/>
      </c>
    </row>
    <row r="1076" spans="1:1" x14ac:dyDescent="0.25">
      <c r="A1076" s="38" t="str">
        <f t="shared" si="20"/>
        <v/>
      </c>
    </row>
    <row r="1077" spans="1:1" x14ac:dyDescent="0.25">
      <c r="A1077" s="38" t="str">
        <f t="shared" si="20"/>
        <v/>
      </c>
    </row>
    <row r="1078" spans="1:1" x14ac:dyDescent="0.25">
      <c r="A1078" s="38" t="str">
        <f t="shared" si="20"/>
        <v/>
      </c>
    </row>
    <row r="1079" spans="1:1" x14ac:dyDescent="0.25">
      <c r="A1079" s="38" t="str">
        <f t="shared" si="20"/>
        <v/>
      </c>
    </row>
    <row r="1080" spans="1:1" x14ac:dyDescent="0.25">
      <c r="A1080" s="38" t="str">
        <f t="shared" si="20"/>
        <v/>
      </c>
    </row>
    <row r="1081" spans="1:1" x14ac:dyDescent="0.25">
      <c r="A1081" s="38" t="str">
        <f t="shared" si="20"/>
        <v/>
      </c>
    </row>
    <row r="1082" spans="1:1" x14ac:dyDescent="0.25">
      <c r="A1082" s="38" t="str">
        <f t="shared" si="20"/>
        <v/>
      </c>
    </row>
    <row r="1083" spans="1:1" x14ac:dyDescent="0.25">
      <c r="A1083" s="38" t="str">
        <f t="shared" si="20"/>
        <v/>
      </c>
    </row>
    <row r="1084" spans="1:1" x14ac:dyDescent="0.25">
      <c r="A1084" s="38" t="str">
        <f t="shared" si="20"/>
        <v/>
      </c>
    </row>
    <row r="1085" spans="1:1" x14ac:dyDescent="0.25">
      <c r="A1085" s="38" t="str">
        <f t="shared" si="20"/>
        <v/>
      </c>
    </row>
    <row r="1086" spans="1:1" x14ac:dyDescent="0.25">
      <c r="A1086" s="38" t="str">
        <f t="shared" si="20"/>
        <v/>
      </c>
    </row>
    <row r="1087" spans="1:1" x14ac:dyDescent="0.25">
      <c r="A1087" s="38" t="str">
        <f t="shared" si="20"/>
        <v/>
      </c>
    </row>
    <row r="1088" spans="1:1" x14ac:dyDescent="0.25">
      <c r="A1088" s="38" t="str">
        <f t="shared" si="20"/>
        <v/>
      </c>
    </row>
    <row r="1089" spans="1:1" x14ac:dyDescent="0.25">
      <c r="A1089" s="38" t="str">
        <f t="shared" si="20"/>
        <v/>
      </c>
    </row>
    <row r="1090" spans="1:1" x14ac:dyDescent="0.25">
      <c r="A1090" s="38" t="str">
        <f t="shared" si="20"/>
        <v/>
      </c>
    </row>
    <row r="1091" spans="1:1" x14ac:dyDescent="0.25">
      <c r="A1091" s="38" t="str">
        <f t="shared" si="20"/>
        <v/>
      </c>
    </row>
    <row r="1092" spans="1:1" x14ac:dyDescent="0.25">
      <c r="A1092" s="38" t="str">
        <f t="shared" ref="A1092:A1143" si="21">IF(ISTEXT(C1092),A1091+1,"")</f>
        <v/>
      </c>
    </row>
    <row r="1093" spans="1:1" x14ac:dyDescent="0.25">
      <c r="A1093" s="38" t="str">
        <f t="shared" si="21"/>
        <v/>
      </c>
    </row>
    <row r="1094" spans="1:1" x14ac:dyDescent="0.25">
      <c r="A1094" s="38" t="str">
        <f t="shared" si="21"/>
        <v/>
      </c>
    </row>
    <row r="1095" spans="1:1" x14ac:dyDescent="0.25">
      <c r="A1095" s="38" t="str">
        <f t="shared" si="21"/>
        <v/>
      </c>
    </row>
    <row r="1096" spans="1:1" x14ac:dyDescent="0.25">
      <c r="A1096" s="38" t="str">
        <f t="shared" si="21"/>
        <v/>
      </c>
    </row>
    <row r="1097" spans="1:1" x14ac:dyDescent="0.25">
      <c r="A1097" s="38" t="str">
        <f t="shared" si="21"/>
        <v/>
      </c>
    </row>
    <row r="1098" spans="1:1" x14ac:dyDescent="0.25">
      <c r="A1098" s="38" t="str">
        <f t="shared" si="21"/>
        <v/>
      </c>
    </row>
    <row r="1099" spans="1:1" x14ac:dyDescent="0.25">
      <c r="A1099" s="38" t="str">
        <f t="shared" si="21"/>
        <v/>
      </c>
    </row>
    <row r="1100" spans="1:1" x14ac:dyDescent="0.25">
      <c r="A1100" s="38" t="str">
        <f t="shared" si="21"/>
        <v/>
      </c>
    </row>
    <row r="1101" spans="1:1" x14ac:dyDescent="0.25">
      <c r="A1101" s="38" t="str">
        <f t="shared" si="21"/>
        <v/>
      </c>
    </row>
    <row r="1102" spans="1:1" x14ac:dyDescent="0.25">
      <c r="A1102" s="38" t="str">
        <f t="shared" si="21"/>
        <v/>
      </c>
    </row>
    <row r="1103" spans="1:1" x14ac:dyDescent="0.25">
      <c r="A1103" s="38" t="str">
        <f t="shared" si="21"/>
        <v/>
      </c>
    </row>
    <row r="1104" spans="1:1" x14ac:dyDescent="0.25">
      <c r="A1104" s="38" t="str">
        <f t="shared" si="21"/>
        <v/>
      </c>
    </row>
    <row r="1105" spans="1:1" x14ac:dyDescent="0.25">
      <c r="A1105" s="38" t="str">
        <f t="shared" si="21"/>
        <v/>
      </c>
    </row>
    <row r="1106" spans="1:1" x14ac:dyDescent="0.25">
      <c r="A1106" s="38" t="str">
        <f t="shared" si="21"/>
        <v/>
      </c>
    </row>
    <row r="1107" spans="1:1" x14ac:dyDescent="0.25">
      <c r="A1107" s="38" t="str">
        <f t="shared" si="21"/>
        <v/>
      </c>
    </row>
    <row r="1108" spans="1:1" x14ac:dyDescent="0.25">
      <c r="A1108" s="38" t="str">
        <f t="shared" si="21"/>
        <v/>
      </c>
    </row>
    <row r="1109" spans="1:1" x14ac:dyDescent="0.25">
      <c r="A1109" s="38" t="str">
        <f t="shared" si="21"/>
        <v/>
      </c>
    </row>
    <row r="1110" spans="1:1" x14ac:dyDescent="0.25">
      <c r="A1110" s="38" t="str">
        <f t="shared" si="21"/>
        <v/>
      </c>
    </row>
    <row r="1111" spans="1:1" x14ac:dyDescent="0.25">
      <c r="A1111" s="38" t="str">
        <f t="shared" si="21"/>
        <v/>
      </c>
    </row>
    <row r="1112" spans="1:1" x14ac:dyDescent="0.25">
      <c r="A1112" s="38" t="str">
        <f t="shared" si="21"/>
        <v/>
      </c>
    </row>
    <row r="1113" spans="1:1" x14ac:dyDescent="0.25">
      <c r="A1113" s="38" t="str">
        <f t="shared" si="21"/>
        <v/>
      </c>
    </row>
    <row r="1114" spans="1:1" x14ac:dyDescent="0.25">
      <c r="A1114" s="38" t="str">
        <f t="shared" si="21"/>
        <v/>
      </c>
    </row>
    <row r="1115" spans="1:1" x14ac:dyDescent="0.25">
      <c r="A1115" s="38" t="str">
        <f t="shared" si="21"/>
        <v/>
      </c>
    </row>
    <row r="1116" spans="1:1" x14ac:dyDescent="0.25">
      <c r="A1116" s="38" t="str">
        <f t="shared" si="21"/>
        <v/>
      </c>
    </row>
    <row r="1117" spans="1:1" x14ac:dyDescent="0.25">
      <c r="A1117" s="38" t="str">
        <f t="shared" si="21"/>
        <v/>
      </c>
    </row>
    <row r="1118" spans="1:1" x14ac:dyDescent="0.25">
      <c r="A1118" s="38" t="str">
        <f t="shared" si="21"/>
        <v/>
      </c>
    </row>
    <row r="1119" spans="1:1" x14ac:dyDescent="0.25">
      <c r="A1119" s="38" t="str">
        <f t="shared" si="21"/>
        <v/>
      </c>
    </row>
    <row r="1120" spans="1:1" x14ac:dyDescent="0.25">
      <c r="A1120" s="38" t="str">
        <f t="shared" si="21"/>
        <v/>
      </c>
    </row>
    <row r="1121" spans="1:1" x14ac:dyDescent="0.25">
      <c r="A1121" s="38" t="str">
        <f t="shared" si="21"/>
        <v/>
      </c>
    </row>
    <row r="1122" spans="1:1" x14ac:dyDescent="0.25">
      <c r="A1122" s="38" t="str">
        <f t="shared" si="21"/>
        <v/>
      </c>
    </row>
    <row r="1123" spans="1:1" x14ac:dyDescent="0.25">
      <c r="A1123" s="38" t="str">
        <f t="shared" si="21"/>
        <v/>
      </c>
    </row>
    <row r="1124" spans="1:1" x14ac:dyDescent="0.25">
      <c r="A1124" s="38" t="str">
        <f t="shared" si="21"/>
        <v/>
      </c>
    </row>
    <row r="1125" spans="1:1" x14ac:dyDescent="0.25">
      <c r="A1125" s="38" t="str">
        <f t="shared" si="21"/>
        <v/>
      </c>
    </row>
    <row r="1126" spans="1:1" x14ac:dyDescent="0.25">
      <c r="A1126" s="38" t="str">
        <f t="shared" si="21"/>
        <v/>
      </c>
    </row>
    <row r="1127" spans="1:1" x14ac:dyDescent="0.25">
      <c r="A1127" s="38" t="str">
        <f t="shared" si="21"/>
        <v/>
      </c>
    </row>
    <row r="1128" spans="1:1" x14ac:dyDescent="0.25">
      <c r="A1128" s="38" t="str">
        <f t="shared" si="21"/>
        <v/>
      </c>
    </row>
    <row r="1129" spans="1:1" x14ac:dyDescent="0.25">
      <c r="A1129" s="38" t="str">
        <f t="shared" si="21"/>
        <v/>
      </c>
    </row>
    <row r="1130" spans="1:1" x14ac:dyDescent="0.25">
      <c r="A1130" s="38" t="str">
        <f t="shared" si="21"/>
        <v/>
      </c>
    </row>
    <row r="1131" spans="1:1" x14ac:dyDescent="0.25">
      <c r="A1131" s="38" t="str">
        <f t="shared" si="21"/>
        <v/>
      </c>
    </row>
    <row r="1132" spans="1:1" x14ac:dyDescent="0.25">
      <c r="A1132" s="38" t="str">
        <f t="shared" si="21"/>
        <v/>
      </c>
    </row>
    <row r="1133" spans="1:1" x14ac:dyDescent="0.25">
      <c r="A1133" s="38" t="str">
        <f t="shared" si="21"/>
        <v/>
      </c>
    </row>
    <row r="1134" spans="1:1" x14ac:dyDescent="0.25">
      <c r="A1134" s="38" t="str">
        <f t="shared" si="21"/>
        <v/>
      </c>
    </row>
    <row r="1135" spans="1:1" x14ac:dyDescent="0.25">
      <c r="A1135" s="38" t="str">
        <f t="shared" si="21"/>
        <v/>
      </c>
    </row>
    <row r="1136" spans="1:1" x14ac:dyDescent="0.25">
      <c r="A1136" s="38" t="str">
        <f t="shared" si="21"/>
        <v/>
      </c>
    </row>
    <row r="1137" spans="1:1" x14ac:dyDescent="0.25">
      <c r="A1137" s="38" t="str">
        <f t="shared" si="21"/>
        <v/>
      </c>
    </row>
    <row r="1138" spans="1:1" x14ac:dyDescent="0.25">
      <c r="A1138" s="38" t="str">
        <f t="shared" si="21"/>
        <v/>
      </c>
    </row>
    <row r="1139" spans="1:1" x14ac:dyDescent="0.25">
      <c r="A1139" s="38" t="str">
        <f t="shared" si="21"/>
        <v/>
      </c>
    </row>
    <row r="1140" spans="1:1" x14ac:dyDescent="0.25">
      <c r="A1140" s="38" t="str">
        <f t="shared" si="21"/>
        <v/>
      </c>
    </row>
    <row r="1141" spans="1:1" x14ac:dyDescent="0.25">
      <c r="A1141" s="38" t="str">
        <f t="shared" si="21"/>
        <v/>
      </c>
    </row>
    <row r="1142" spans="1:1" x14ac:dyDescent="0.25">
      <c r="A1142" s="38" t="str">
        <f t="shared" si="21"/>
        <v/>
      </c>
    </row>
    <row r="1143" spans="1:1" x14ac:dyDescent="0.25">
      <c r="A1143" s="38" t="str">
        <f t="shared" si="21"/>
        <v/>
      </c>
    </row>
  </sheetData>
  <sheetProtection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'Datasource 2'!$K$14:$K$16</xm:f>
          </x14:formula1>
          <xm:sqref>D2:D1048576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11">
    <tabColor rgb="FF9FF0A4"/>
  </sheetPr>
  <dimension ref="A1:AO505"/>
  <sheetViews>
    <sheetView showGridLines="0" showRowColHeaders="0" topLeftCell="B1" zoomScale="70" zoomScaleNormal="70" workbookViewId="0">
      <pane xSplit="2" ySplit="4" topLeftCell="D5" activePane="bottomRight" state="frozenSplit"/>
      <selection activeCell="B1" sqref="B1"/>
      <selection pane="topRight" activeCell="O1" sqref="O1"/>
      <selection pane="bottomLeft" activeCell="B14" sqref="B14"/>
      <selection pane="bottomRight" activeCell="F15" sqref="F15:F24"/>
    </sheetView>
  </sheetViews>
  <sheetFormatPr baseColWidth="10" defaultColWidth="11.42578125" defaultRowHeight="17.25" x14ac:dyDescent="0.35"/>
  <cols>
    <col min="1" max="1" width="20.7109375" style="68" hidden="1" customWidth="1"/>
    <col min="2" max="2" width="7.42578125" style="80" customWidth="1"/>
    <col min="3" max="4" width="51.5703125" style="215" customWidth="1"/>
    <col min="5" max="5" width="21.42578125" style="215" customWidth="1"/>
    <col min="6" max="6" width="20.140625" style="215" customWidth="1"/>
    <col min="7" max="7" width="20.85546875" style="216" customWidth="1"/>
    <col min="8" max="8" width="12.5703125" style="127" customWidth="1"/>
    <col min="9" max="9" width="3.85546875" style="127" customWidth="1"/>
    <col min="10" max="10" width="13.85546875" style="204" customWidth="1"/>
    <col min="11" max="11" width="3.85546875" style="127" customWidth="1"/>
    <col min="12" max="12" width="13.85546875" style="204" customWidth="1"/>
    <col min="13" max="13" width="3.85546875" style="127" customWidth="1"/>
    <col min="14" max="14" width="13.85546875" style="127" customWidth="1"/>
    <col min="15" max="15" width="60.7109375" style="127" customWidth="1"/>
    <col min="16" max="16" width="13.85546875" style="127" customWidth="1"/>
    <col min="17" max="17" width="45.140625" style="217" customWidth="1"/>
    <col min="18" max="18" width="10.42578125" style="68" bestFit="1" customWidth="1"/>
    <col min="19" max="19" width="48.140625" style="218" customWidth="1"/>
    <col min="20" max="20" width="10.42578125" style="68" bestFit="1" customWidth="1"/>
    <col min="21" max="21" width="10.42578125" style="68" customWidth="1"/>
    <col min="22" max="22" width="10.7109375" style="129" hidden="1" customWidth="1"/>
    <col min="23" max="23" width="38.85546875" style="77" customWidth="1"/>
    <col min="24" max="25" width="5.7109375" style="68" hidden="1" customWidth="1"/>
    <col min="26" max="26" width="18.42578125" style="127" customWidth="1"/>
    <col min="27" max="27" width="10.7109375" style="127" hidden="1" customWidth="1"/>
    <col min="28" max="28" width="26.140625" style="127" customWidth="1"/>
    <col min="29" max="29" width="10.7109375" style="127" hidden="1" customWidth="1"/>
    <col min="30" max="30" width="20.7109375" style="127" hidden="1" customWidth="1"/>
    <col min="31" max="31" width="19" style="219" customWidth="1"/>
    <col min="32" max="32" width="10.42578125" style="68" bestFit="1" customWidth="1"/>
    <col min="33" max="33" width="13.42578125" style="68" customWidth="1"/>
    <col min="34" max="34" width="10.85546875" style="68" customWidth="1"/>
    <col min="35" max="35" width="17" style="68" customWidth="1"/>
    <col min="36" max="40" width="11.42578125" style="68"/>
    <col min="41" max="44" width="11.42578125" style="68" customWidth="1"/>
    <col min="45" max="16384" width="11.42578125" style="68"/>
  </cols>
  <sheetData>
    <row r="1" spans="1:38" ht="26.45" customHeight="1" x14ac:dyDescent="0.35">
      <c r="B1" s="230" t="s">
        <v>225</v>
      </c>
      <c r="C1" s="231"/>
      <c r="D1" s="231"/>
      <c r="E1" s="231"/>
      <c r="F1" s="231"/>
      <c r="G1" s="232"/>
      <c r="H1" s="232"/>
      <c r="I1" s="232"/>
      <c r="J1" s="232"/>
      <c r="K1" s="232"/>
      <c r="L1" s="232"/>
      <c r="M1" s="232"/>
      <c r="N1" s="232"/>
      <c r="O1" s="232"/>
      <c r="P1" s="232"/>
      <c r="Q1" s="231"/>
      <c r="R1" s="232"/>
      <c r="S1" s="231"/>
      <c r="T1" s="232"/>
      <c r="U1" s="232"/>
      <c r="V1" s="232"/>
      <c r="W1" s="233"/>
      <c r="X1" s="232"/>
      <c r="Y1" s="232"/>
      <c r="Z1" s="232"/>
      <c r="AA1" s="232"/>
      <c r="AB1" s="232"/>
      <c r="AC1" s="232"/>
      <c r="AD1" s="232"/>
      <c r="AE1" s="234"/>
      <c r="AF1" s="232"/>
      <c r="AG1" s="232"/>
      <c r="AH1" s="232"/>
    </row>
    <row r="2" spans="1:38" s="129" customFormat="1" ht="24" hidden="1" customHeight="1" x14ac:dyDescent="0.35">
      <c r="B2" s="194">
        <v>1</v>
      </c>
      <c r="C2" s="195">
        <v>2</v>
      </c>
      <c r="D2" s="196"/>
      <c r="E2" s="195"/>
      <c r="F2" s="195"/>
      <c r="G2" s="194">
        <v>8</v>
      </c>
      <c r="H2" s="194">
        <v>9</v>
      </c>
      <c r="I2" s="194">
        <v>10</v>
      </c>
      <c r="J2" s="194">
        <v>11</v>
      </c>
      <c r="K2" s="194">
        <v>12</v>
      </c>
      <c r="L2" s="194">
        <v>13</v>
      </c>
      <c r="M2" s="194">
        <v>14</v>
      </c>
      <c r="N2" s="194">
        <v>15</v>
      </c>
      <c r="O2" s="194"/>
      <c r="P2" s="194">
        <v>16</v>
      </c>
      <c r="Q2" s="195">
        <v>17</v>
      </c>
      <c r="R2" s="194">
        <v>18</v>
      </c>
      <c r="S2" s="195">
        <v>19</v>
      </c>
      <c r="T2" s="194">
        <v>20</v>
      </c>
      <c r="U2" s="194">
        <v>21</v>
      </c>
      <c r="V2" s="194">
        <v>22</v>
      </c>
      <c r="W2" s="197">
        <v>25</v>
      </c>
      <c r="X2" s="194">
        <v>26</v>
      </c>
      <c r="Y2" s="194">
        <v>27</v>
      </c>
      <c r="Z2" s="198">
        <v>28</v>
      </c>
      <c r="AA2" s="198">
        <v>29</v>
      </c>
      <c r="AB2" s="198">
        <v>30</v>
      </c>
      <c r="AC2" s="198"/>
      <c r="AD2" s="198"/>
      <c r="AE2" s="199">
        <v>31</v>
      </c>
      <c r="AF2" s="194">
        <v>32</v>
      </c>
      <c r="AG2" s="194">
        <v>33</v>
      </c>
      <c r="AH2" s="194">
        <v>34</v>
      </c>
    </row>
    <row r="3" spans="1:38" s="201" customFormat="1" ht="1.9" customHeight="1" x14ac:dyDescent="0.4">
      <c r="A3" s="200"/>
      <c r="B3" s="313"/>
      <c r="C3" s="314"/>
      <c r="D3" s="469" t="s">
        <v>273</v>
      </c>
      <c r="E3" s="444" t="s">
        <v>342</v>
      </c>
      <c r="F3" s="315"/>
      <c r="G3" s="316"/>
      <c r="H3" s="418" t="s">
        <v>364</v>
      </c>
      <c r="I3" s="420"/>
      <c r="J3" s="421"/>
      <c r="K3" s="421"/>
      <c r="L3" s="421"/>
      <c r="M3" s="421"/>
      <c r="N3" s="422"/>
      <c r="O3" s="444" t="s">
        <v>90</v>
      </c>
      <c r="P3" s="440" t="s">
        <v>363</v>
      </c>
      <c r="Q3" s="317"/>
      <c r="R3" s="434" t="s">
        <v>362</v>
      </c>
      <c r="S3" s="317"/>
      <c r="T3" s="436" t="s">
        <v>365</v>
      </c>
      <c r="U3" s="438" t="s">
        <v>347</v>
      </c>
      <c r="V3" s="442" t="s">
        <v>103</v>
      </c>
      <c r="W3" s="444" t="s">
        <v>311</v>
      </c>
      <c r="X3" s="442" t="s">
        <v>226</v>
      </c>
      <c r="Y3" s="442" t="s">
        <v>227</v>
      </c>
      <c r="Z3" s="444" t="s">
        <v>348</v>
      </c>
      <c r="AA3" s="455" t="s">
        <v>228</v>
      </c>
      <c r="AB3" s="444" t="s">
        <v>237</v>
      </c>
      <c r="AC3" s="471" t="s">
        <v>315</v>
      </c>
      <c r="AD3" s="471" t="s">
        <v>316</v>
      </c>
      <c r="AE3" s="473" t="s">
        <v>317</v>
      </c>
      <c r="AF3" s="434" t="s">
        <v>344</v>
      </c>
      <c r="AG3" s="434" t="s">
        <v>345</v>
      </c>
      <c r="AH3" s="432" t="s">
        <v>346</v>
      </c>
    </row>
    <row r="4" spans="1:38" s="201" customFormat="1" ht="96" customHeight="1" thickBot="1" x14ac:dyDescent="0.45">
      <c r="A4" s="200"/>
      <c r="B4" s="318" t="s">
        <v>341</v>
      </c>
      <c r="C4" s="318" t="s">
        <v>349</v>
      </c>
      <c r="D4" s="470"/>
      <c r="E4" s="445"/>
      <c r="F4" s="319" t="s">
        <v>350</v>
      </c>
      <c r="G4" s="320" t="s">
        <v>351</v>
      </c>
      <c r="H4" s="419"/>
      <c r="I4" s="429" t="s">
        <v>343</v>
      </c>
      <c r="J4" s="430"/>
      <c r="K4" s="430"/>
      <c r="L4" s="430"/>
      <c r="M4" s="430"/>
      <c r="N4" s="431"/>
      <c r="O4" s="445"/>
      <c r="P4" s="441"/>
      <c r="Q4" s="321" t="s">
        <v>231</v>
      </c>
      <c r="R4" s="435"/>
      <c r="S4" s="322" t="s">
        <v>232</v>
      </c>
      <c r="T4" s="437"/>
      <c r="U4" s="439"/>
      <c r="V4" s="443"/>
      <c r="W4" s="445"/>
      <c r="X4" s="443"/>
      <c r="Y4" s="443"/>
      <c r="Z4" s="445"/>
      <c r="AA4" s="456"/>
      <c r="AB4" s="445"/>
      <c r="AC4" s="472"/>
      <c r="AD4" s="472"/>
      <c r="AE4" s="474"/>
      <c r="AF4" s="435"/>
      <c r="AG4" s="435"/>
      <c r="AH4" s="433"/>
      <c r="AI4" s="202"/>
    </row>
    <row r="5" spans="1:38" ht="35.1" customHeight="1" x14ac:dyDescent="0.35">
      <c r="A5" s="235">
        <v>1</v>
      </c>
      <c r="B5" s="463">
        <v>1</v>
      </c>
      <c r="C5" s="452"/>
      <c r="D5" s="236"/>
      <c r="E5" s="423"/>
      <c r="F5" s="423"/>
      <c r="G5" s="426"/>
      <c r="H5" s="449" t="e">
        <f>IF(VLOOKUP(G5,Trusselvurdering!$B$3:$P$28,15,FALSE)=0,VLOOKUP(G5,Trusselvurdering!$B$3:$P$28,14,FALSE),VLOOKUP(G5,Trusselvurdering!$B$3:$P$28,15,FALSE))</f>
        <v>#N/A</v>
      </c>
      <c r="I5" s="466"/>
      <c r="J5" s="467"/>
      <c r="K5" s="467"/>
      <c r="L5" s="467"/>
      <c r="M5" s="467"/>
      <c r="N5" s="468"/>
      <c r="O5" s="237"/>
      <c r="P5" s="423"/>
      <c r="Q5" s="452"/>
      <c r="R5" s="423"/>
      <c r="S5" s="452"/>
      <c r="T5" s="423"/>
      <c r="U5" s="449" t="e">
        <f>VLOOKUP(Risikovurdering_data!C3,Akseptkriterier!$C$33:$H$37,MATCH(Risikovurdering_data!D3,Akseptkriterier!$D$32:$H$32,0)+1,FALSE)</f>
        <v>#N/A</v>
      </c>
      <c r="V5" s="238">
        <f t="shared" ref="V5:V14" si="0">IF(W5="",0,1)</f>
        <v>0</v>
      </c>
      <c r="W5" s="239"/>
      <c r="X5" s="240" t="str">
        <f t="shared" ref="X5:X68" si="1">IF(W5="","",A5)</f>
        <v/>
      </c>
      <c r="Y5" s="240" t="str">
        <f>IF(V5=0,"",1)</f>
        <v/>
      </c>
      <c r="Z5" s="241"/>
      <c r="AA5" s="242" t="str">
        <f>IF(ISTEXT(W5),IF(ISTEXT(Z5),Z5,'Datasource 2'!$M$14),"")</f>
        <v/>
      </c>
      <c r="AB5" s="241"/>
      <c r="AC5" s="241" t="str">
        <f>IF(ISTEXT(W5),IF(ISTEXT(AB5),AB5,"Ikke angitt"),"")</f>
        <v/>
      </c>
      <c r="AD5" s="241" t="str">
        <f>IF(ISTEXT(W5),IF(ISBLANK(AE5),"Ikke angitt", AE5),"")</f>
        <v/>
      </c>
      <c r="AE5" s="243"/>
      <c r="AF5" s="423"/>
      <c r="AG5" s="423"/>
      <c r="AH5" s="446" t="e">
        <f>VLOOKUP(Risikovurdering_data!F3,Akseptkriterier!$C$33:$H$37,MATCH(Risikovurdering_data!G3,Akseptkriterier!$D$32:$H$32,0)+1,FALSE)</f>
        <v>#N/A</v>
      </c>
      <c r="AJ5" s="204"/>
      <c r="AK5" s="204"/>
    </row>
    <row r="6" spans="1:38" ht="35.1" customHeight="1" x14ac:dyDescent="0.35">
      <c r="A6" s="244">
        <f>$A5</f>
        <v>1</v>
      </c>
      <c r="B6" s="464"/>
      <c r="C6" s="453"/>
      <c r="D6" s="120"/>
      <c r="E6" s="424"/>
      <c r="F6" s="424"/>
      <c r="G6" s="427"/>
      <c r="H6" s="450"/>
      <c r="I6" s="457"/>
      <c r="J6" s="458"/>
      <c r="K6" s="458"/>
      <c r="L6" s="458"/>
      <c r="M6" s="458"/>
      <c r="N6" s="459"/>
      <c r="O6" s="245"/>
      <c r="P6" s="424"/>
      <c r="Q6" s="453"/>
      <c r="R6" s="424"/>
      <c r="S6" s="453"/>
      <c r="T6" s="424"/>
      <c r="U6" s="450"/>
      <c r="V6" s="246">
        <f t="shared" si="0"/>
        <v>0</v>
      </c>
      <c r="W6" s="124"/>
      <c r="X6" s="247" t="str">
        <f t="shared" si="1"/>
        <v/>
      </c>
      <c r="Y6" s="247" t="str">
        <f>IF(V6=1,V6+MAX(Y5),"")</f>
        <v/>
      </c>
      <c r="Z6" s="247"/>
      <c r="AA6" s="242" t="str">
        <f>IF(ISTEXT(W6),IF(ISTEXT(Z6),Z6,'Datasource 2'!$M$14),"")</f>
        <v/>
      </c>
      <c r="AB6" s="247"/>
      <c r="AC6" s="241" t="str">
        <f t="shared" ref="AC6:AC69" si="2">IF(ISTEXT(W6),IF(ISTEXT(AB6),AB6,"Ikke angitt"),"")</f>
        <v/>
      </c>
      <c r="AD6" s="241" t="str">
        <f t="shared" ref="AD6:AD69" si="3">IF(ISTEXT(W6),IF(ISBLANK(AE6),"Ikke angitt", AE6),"")</f>
        <v/>
      </c>
      <c r="AE6" s="248"/>
      <c r="AF6" s="424"/>
      <c r="AG6" s="424"/>
      <c r="AH6" s="447"/>
      <c r="AJ6" s="204"/>
      <c r="AK6" s="204"/>
    </row>
    <row r="7" spans="1:38" ht="35.1" customHeight="1" x14ac:dyDescent="0.35">
      <c r="A7" s="244">
        <v>1</v>
      </c>
      <c r="B7" s="464"/>
      <c r="C7" s="453"/>
      <c r="D7" s="120"/>
      <c r="E7" s="424"/>
      <c r="F7" s="424"/>
      <c r="G7" s="427"/>
      <c r="H7" s="450"/>
      <c r="I7" s="457"/>
      <c r="J7" s="458"/>
      <c r="K7" s="458"/>
      <c r="L7" s="458"/>
      <c r="M7" s="458"/>
      <c r="N7" s="459"/>
      <c r="O7" s="245"/>
      <c r="P7" s="424"/>
      <c r="Q7" s="453"/>
      <c r="R7" s="424"/>
      <c r="S7" s="453"/>
      <c r="T7" s="424"/>
      <c r="U7" s="450"/>
      <c r="V7" s="246">
        <f>IF(W7="",0,1)</f>
        <v>0</v>
      </c>
      <c r="W7" s="124"/>
      <c r="X7" s="247" t="str">
        <f t="shared" si="1"/>
        <v/>
      </c>
      <c r="Y7" s="247" t="str">
        <f>IF(V7=1,V7+MAX($Y$5:Y6),"")</f>
        <v/>
      </c>
      <c r="Z7" s="247"/>
      <c r="AA7" s="242" t="str">
        <f>IF(ISTEXT(W7),IF(ISTEXT(Z7),Z7,'Datasource 2'!$M$14),"")</f>
        <v/>
      </c>
      <c r="AB7" s="247"/>
      <c r="AC7" s="241" t="str">
        <f t="shared" si="2"/>
        <v/>
      </c>
      <c r="AD7" s="241" t="str">
        <f t="shared" si="3"/>
        <v/>
      </c>
      <c r="AE7" s="248"/>
      <c r="AF7" s="424"/>
      <c r="AG7" s="424"/>
      <c r="AH7" s="447"/>
      <c r="AJ7" s="204"/>
      <c r="AK7" s="204"/>
    </row>
    <row r="8" spans="1:38" ht="35.1" customHeight="1" x14ac:dyDescent="0.35">
      <c r="A8" s="244">
        <v>1</v>
      </c>
      <c r="B8" s="464"/>
      <c r="C8" s="453"/>
      <c r="D8" s="120"/>
      <c r="E8" s="424"/>
      <c r="F8" s="424"/>
      <c r="G8" s="427"/>
      <c r="H8" s="450"/>
      <c r="I8" s="457"/>
      <c r="J8" s="458"/>
      <c r="K8" s="458"/>
      <c r="L8" s="458"/>
      <c r="M8" s="458"/>
      <c r="N8" s="459"/>
      <c r="O8" s="245"/>
      <c r="P8" s="424"/>
      <c r="Q8" s="453"/>
      <c r="R8" s="424"/>
      <c r="S8" s="453"/>
      <c r="T8" s="424"/>
      <c r="U8" s="450"/>
      <c r="V8" s="246">
        <f t="shared" si="0"/>
        <v>0</v>
      </c>
      <c r="W8" s="124"/>
      <c r="X8" s="247" t="str">
        <f t="shared" si="1"/>
        <v/>
      </c>
      <c r="Y8" s="247" t="str">
        <f>IF(V8=1,V8+MAX($Y$5:Y7),"")</f>
        <v/>
      </c>
      <c r="Z8" s="247"/>
      <c r="AA8" s="242" t="str">
        <f>IF(ISTEXT(W8),IF(ISTEXT(Z8),Z8,'Datasource 2'!$M$14),"")</f>
        <v/>
      </c>
      <c r="AB8" s="247"/>
      <c r="AC8" s="241" t="str">
        <f t="shared" si="2"/>
        <v/>
      </c>
      <c r="AD8" s="241" t="str">
        <f t="shared" si="3"/>
        <v/>
      </c>
      <c r="AE8" s="248"/>
      <c r="AF8" s="424"/>
      <c r="AG8" s="424"/>
      <c r="AH8" s="447"/>
      <c r="AJ8" s="204"/>
      <c r="AK8" s="204"/>
    </row>
    <row r="9" spans="1:38" ht="35.1" customHeight="1" x14ac:dyDescent="0.35">
      <c r="A9" s="244">
        <v>1</v>
      </c>
      <c r="B9" s="464"/>
      <c r="C9" s="453"/>
      <c r="D9" s="120"/>
      <c r="E9" s="424"/>
      <c r="F9" s="424"/>
      <c r="G9" s="427"/>
      <c r="H9" s="450"/>
      <c r="I9" s="457"/>
      <c r="J9" s="458"/>
      <c r="K9" s="458"/>
      <c r="L9" s="458"/>
      <c r="M9" s="458"/>
      <c r="N9" s="459"/>
      <c r="O9" s="245"/>
      <c r="P9" s="424"/>
      <c r="Q9" s="453"/>
      <c r="R9" s="424"/>
      <c r="S9" s="453"/>
      <c r="T9" s="424"/>
      <c r="U9" s="450"/>
      <c r="V9" s="246">
        <f>IF(W9="",0,1)</f>
        <v>0</v>
      </c>
      <c r="W9" s="124"/>
      <c r="X9" s="247" t="str">
        <f t="shared" si="1"/>
        <v/>
      </c>
      <c r="Y9" s="247" t="str">
        <f>IF(V9=1,V9+MAX($Y$5:Y8),"")</f>
        <v/>
      </c>
      <c r="Z9" s="247"/>
      <c r="AA9" s="242" t="str">
        <f>IF(ISTEXT(W9),IF(ISTEXT(Z9),Z9,'Datasource 2'!$M$14),"")</f>
        <v/>
      </c>
      <c r="AB9" s="247"/>
      <c r="AC9" s="241" t="str">
        <f t="shared" si="2"/>
        <v/>
      </c>
      <c r="AD9" s="241" t="str">
        <f t="shared" si="3"/>
        <v/>
      </c>
      <c r="AE9" s="248"/>
      <c r="AF9" s="424"/>
      <c r="AG9" s="424"/>
      <c r="AH9" s="447"/>
      <c r="AJ9" s="204"/>
      <c r="AK9" s="204"/>
    </row>
    <row r="10" spans="1:38" ht="35.1" customHeight="1" x14ac:dyDescent="0.35">
      <c r="A10" s="244">
        <v>1</v>
      </c>
      <c r="B10" s="464"/>
      <c r="C10" s="453"/>
      <c r="D10" s="120"/>
      <c r="E10" s="424"/>
      <c r="F10" s="424"/>
      <c r="G10" s="427"/>
      <c r="H10" s="450"/>
      <c r="I10" s="457"/>
      <c r="J10" s="458"/>
      <c r="K10" s="458"/>
      <c r="L10" s="458"/>
      <c r="M10" s="458"/>
      <c r="N10" s="459"/>
      <c r="O10" s="245"/>
      <c r="P10" s="424"/>
      <c r="Q10" s="453"/>
      <c r="R10" s="424"/>
      <c r="S10" s="453"/>
      <c r="T10" s="424"/>
      <c r="U10" s="450"/>
      <c r="V10" s="246">
        <f t="shared" si="0"/>
        <v>0</v>
      </c>
      <c r="W10" s="124"/>
      <c r="X10" s="247" t="str">
        <f t="shared" si="1"/>
        <v/>
      </c>
      <c r="Y10" s="247" t="str">
        <f>IF(V10=1,V10+MAX($Y$5:Y9),"")</f>
        <v/>
      </c>
      <c r="Z10" s="247"/>
      <c r="AA10" s="242" t="str">
        <f>IF(ISTEXT(W10),IF(ISTEXT(Z10),Z10,'Datasource 2'!$M$14),"")</f>
        <v/>
      </c>
      <c r="AB10" s="247"/>
      <c r="AC10" s="241" t="str">
        <f t="shared" si="2"/>
        <v/>
      </c>
      <c r="AD10" s="241" t="str">
        <f t="shared" si="3"/>
        <v/>
      </c>
      <c r="AE10" s="248"/>
      <c r="AF10" s="424"/>
      <c r="AG10" s="424"/>
      <c r="AH10" s="447"/>
      <c r="AJ10" s="204"/>
      <c r="AK10" s="204"/>
    </row>
    <row r="11" spans="1:38" ht="35.1" customHeight="1" x14ac:dyDescent="0.35">
      <c r="A11" s="244">
        <v>1</v>
      </c>
      <c r="B11" s="464"/>
      <c r="C11" s="453"/>
      <c r="D11" s="120"/>
      <c r="E11" s="424"/>
      <c r="F11" s="424"/>
      <c r="G11" s="427"/>
      <c r="H11" s="450"/>
      <c r="I11" s="457"/>
      <c r="J11" s="458"/>
      <c r="K11" s="458"/>
      <c r="L11" s="458"/>
      <c r="M11" s="458"/>
      <c r="N11" s="459"/>
      <c r="O11" s="245"/>
      <c r="P11" s="424"/>
      <c r="Q11" s="453"/>
      <c r="R11" s="424"/>
      <c r="S11" s="453"/>
      <c r="T11" s="424"/>
      <c r="U11" s="450"/>
      <c r="V11" s="246">
        <f t="shared" si="0"/>
        <v>0</v>
      </c>
      <c r="W11" s="124"/>
      <c r="X11" s="247" t="str">
        <f t="shared" si="1"/>
        <v/>
      </c>
      <c r="Y11" s="247" t="str">
        <f>IF(V11=1,V11+MAX($Y$5:Y10),"")</f>
        <v/>
      </c>
      <c r="Z11" s="247"/>
      <c r="AA11" s="242" t="str">
        <f>IF(ISTEXT(W11),IF(ISTEXT(Z11),Z11,'Datasource 2'!$M$14),"")</f>
        <v/>
      </c>
      <c r="AB11" s="247"/>
      <c r="AC11" s="241" t="str">
        <f t="shared" si="2"/>
        <v/>
      </c>
      <c r="AD11" s="241" t="str">
        <f t="shared" si="3"/>
        <v/>
      </c>
      <c r="AE11" s="248"/>
      <c r="AF11" s="424"/>
      <c r="AG11" s="424"/>
      <c r="AH11" s="447"/>
      <c r="AJ11" s="204"/>
      <c r="AK11" s="204"/>
    </row>
    <row r="12" spans="1:38" ht="35.1" customHeight="1" x14ac:dyDescent="0.35">
      <c r="A12" s="244">
        <v>1</v>
      </c>
      <c r="B12" s="464"/>
      <c r="C12" s="453"/>
      <c r="D12" s="120"/>
      <c r="E12" s="424"/>
      <c r="F12" s="424"/>
      <c r="G12" s="427"/>
      <c r="H12" s="450"/>
      <c r="I12" s="457"/>
      <c r="J12" s="458"/>
      <c r="K12" s="458"/>
      <c r="L12" s="458"/>
      <c r="M12" s="458"/>
      <c r="N12" s="459"/>
      <c r="O12" s="245"/>
      <c r="P12" s="424"/>
      <c r="Q12" s="453"/>
      <c r="R12" s="424"/>
      <c r="S12" s="453"/>
      <c r="T12" s="424"/>
      <c r="U12" s="450"/>
      <c r="V12" s="246">
        <f t="shared" si="0"/>
        <v>0</v>
      </c>
      <c r="W12" s="124"/>
      <c r="X12" s="247" t="str">
        <f t="shared" si="1"/>
        <v/>
      </c>
      <c r="Y12" s="247" t="str">
        <f>IF(V12=1,V12+MAX($Y$5:Y11),"")</f>
        <v/>
      </c>
      <c r="Z12" s="247"/>
      <c r="AA12" s="242" t="str">
        <f>IF(ISTEXT(W12),IF(ISTEXT(Z12),Z12,'Datasource 2'!$M$14),"")</f>
        <v/>
      </c>
      <c r="AB12" s="247"/>
      <c r="AC12" s="241" t="str">
        <f t="shared" si="2"/>
        <v/>
      </c>
      <c r="AD12" s="241" t="str">
        <f t="shared" si="3"/>
        <v/>
      </c>
      <c r="AE12" s="248"/>
      <c r="AF12" s="424"/>
      <c r="AG12" s="424"/>
      <c r="AH12" s="447"/>
      <c r="AJ12" s="204"/>
      <c r="AK12" s="204"/>
    </row>
    <row r="13" spans="1:38" ht="35.1" customHeight="1" x14ac:dyDescent="0.35">
      <c r="A13" s="244">
        <v>1</v>
      </c>
      <c r="B13" s="464"/>
      <c r="C13" s="453"/>
      <c r="D13" s="120"/>
      <c r="E13" s="424"/>
      <c r="F13" s="424"/>
      <c r="G13" s="427"/>
      <c r="H13" s="450"/>
      <c r="I13" s="457"/>
      <c r="J13" s="458"/>
      <c r="K13" s="458"/>
      <c r="L13" s="458"/>
      <c r="M13" s="458"/>
      <c r="N13" s="459"/>
      <c r="O13" s="245"/>
      <c r="P13" s="424"/>
      <c r="Q13" s="453"/>
      <c r="R13" s="424"/>
      <c r="S13" s="453"/>
      <c r="T13" s="424"/>
      <c r="U13" s="450"/>
      <c r="V13" s="246">
        <f t="shared" si="0"/>
        <v>0</v>
      </c>
      <c r="W13" s="124"/>
      <c r="X13" s="247" t="str">
        <f t="shared" si="1"/>
        <v/>
      </c>
      <c r="Y13" s="247" t="str">
        <f>IF(V13=1,V13+MAX($Y$5:Y12),"")</f>
        <v/>
      </c>
      <c r="Z13" s="247"/>
      <c r="AA13" s="242" t="str">
        <f>IF(ISTEXT(W13),IF(ISTEXT(Z13),Z13,'Datasource 2'!$M$14),"")</f>
        <v/>
      </c>
      <c r="AB13" s="247"/>
      <c r="AC13" s="241" t="str">
        <f t="shared" si="2"/>
        <v/>
      </c>
      <c r="AD13" s="241" t="str">
        <f t="shared" si="3"/>
        <v/>
      </c>
      <c r="AE13" s="248"/>
      <c r="AF13" s="424"/>
      <c r="AG13" s="424"/>
      <c r="AH13" s="447"/>
      <c r="AJ13" s="204"/>
      <c r="AK13" s="204"/>
    </row>
    <row r="14" spans="1:38" ht="35.1" customHeight="1" thickBot="1" x14ac:dyDescent="0.4">
      <c r="A14" s="244">
        <v>1</v>
      </c>
      <c r="B14" s="465"/>
      <c r="C14" s="454"/>
      <c r="D14" s="249"/>
      <c r="E14" s="425"/>
      <c r="F14" s="425"/>
      <c r="G14" s="428"/>
      <c r="H14" s="451"/>
      <c r="I14" s="460"/>
      <c r="J14" s="461"/>
      <c r="K14" s="461"/>
      <c r="L14" s="461"/>
      <c r="M14" s="461"/>
      <c r="N14" s="462"/>
      <c r="O14" s="250"/>
      <c r="P14" s="425"/>
      <c r="Q14" s="454"/>
      <c r="R14" s="425"/>
      <c r="S14" s="454"/>
      <c r="T14" s="425"/>
      <c r="U14" s="451"/>
      <c r="V14" s="251">
        <f t="shared" si="0"/>
        <v>0</v>
      </c>
      <c r="W14" s="252"/>
      <c r="X14" s="253" t="str">
        <f t="shared" si="1"/>
        <v/>
      </c>
      <c r="Y14" s="253" t="str">
        <f>IF(V14=1,V14+MAX($Y$5:Y13),"")</f>
        <v/>
      </c>
      <c r="Z14" s="253"/>
      <c r="AA14" s="254" t="str">
        <f>IF(ISTEXT(W14),IF(ISTEXT(Z14),Z14,'Datasource 2'!$M$14),"")</f>
        <v/>
      </c>
      <c r="AB14" s="255"/>
      <c r="AC14" s="241" t="str">
        <f t="shared" si="2"/>
        <v/>
      </c>
      <c r="AD14" s="241" t="str">
        <f t="shared" si="3"/>
        <v/>
      </c>
      <c r="AE14" s="256"/>
      <c r="AF14" s="425"/>
      <c r="AG14" s="425"/>
      <c r="AH14" s="448"/>
      <c r="AJ14" s="204"/>
      <c r="AK14" s="204"/>
    </row>
    <row r="15" spans="1:38" ht="35.1" customHeight="1" x14ac:dyDescent="0.35">
      <c r="A15" s="205">
        <v>2</v>
      </c>
      <c r="B15" s="391">
        <v>2</v>
      </c>
      <c r="C15" s="364"/>
      <c r="D15" s="323"/>
      <c r="E15" s="361"/>
      <c r="F15" s="361"/>
      <c r="G15" s="373"/>
      <c r="H15" s="367" t="e">
        <f>IF(VLOOKUP(G15,Trusselvurdering!$B$3:$P$28,15,FALSE)=0,VLOOKUP(G15,Trusselvurdering!$B$3:$P$28,14,FALSE),VLOOKUP(G15,Trusselvurdering!$B$3:$P$28,15,FALSE))</f>
        <v>#N/A</v>
      </c>
      <c r="I15" s="394"/>
      <c r="J15" s="395"/>
      <c r="K15" s="395"/>
      <c r="L15" s="395"/>
      <c r="M15" s="395"/>
      <c r="N15" s="396"/>
      <c r="O15" s="324"/>
      <c r="P15" s="361"/>
      <c r="Q15" s="364"/>
      <c r="R15" s="361"/>
      <c r="S15" s="364"/>
      <c r="T15" s="361"/>
      <c r="U15" s="367" t="e">
        <f>VLOOKUP(Risikovurdering_data!C13,Akseptkriterier!$C$33:$H$37,MATCH(Risikovurdering_data!D13,Akseptkriterier!$D$32:$H$32,0)+1,FALSE)</f>
        <v>#N/A</v>
      </c>
      <c r="V15" s="325">
        <f t="shared" ref="V15:V24" si="4">IF(W15="",0,1)</f>
        <v>0</v>
      </c>
      <c r="W15" s="326"/>
      <c r="X15" s="327" t="str">
        <f t="shared" si="1"/>
        <v/>
      </c>
      <c r="Y15" s="327" t="str">
        <f>IF(V15=1,V15+MAX($Y$5:Y14),"")</f>
        <v/>
      </c>
      <c r="Z15" s="327"/>
      <c r="AA15" s="325" t="str">
        <f>IF(ISTEXT(W15),IF(ISTEXT(Z15),Z15,'Datasource 2'!$M$14),"")</f>
        <v/>
      </c>
      <c r="AB15" s="328"/>
      <c r="AC15" s="328" t="str">
        <f t="shared" si="2"/>
        <v/>
      </c>
      <c r="AD15" s="328" t="str">
        <f t="shared" si="3"/>
        <v/>
      </c>
      <c r="AE15" s="329"/>
      <c r="AF15" s="361"/>
      <c r="AG15" s="361"/>
      <c r="AH15" s="370" t="e">
        <f>VLOOKUP(Risikovurdering_data!F13,Akseptkriterier!$C$33:$H$37,MATCH(Risikovurdering_data!G13,Akseptkriterier!$D$32:$H$32,0)+1,FALSE)</f>
        <v>#N/A</v>
      </c>
      <c r="AJ15" s="204"/>
      <c r="AK15" s="204"/>
      <c r="AL15" s="204"/>
    </row>
    <row r="16" spans="1:38" ht="35.1" customHeight="1" x14ac:dyDescent="0.35">
      <c r="A16" s="205">
        <f>$A15</f>
        <v>2</v>
      </c>
      <c r="B16" s="392"/>
      <c r="C16" s="365"/>
      <c r="D16" s="330"/>
      <c r="E16" s="362"/>
      <c r="F16" s="362"/>
      <c r="G16" s="374"/>
      <c r="H16" s="368"/>
      <c r="I16" s="397"/>
      <c r="J16" s="398"/>
      <c r="K16" s="398"/>
      <c r="L16" s="398"/>
      <c r="M16" s="398"/>
      <c r="N16" s="399"/>
      <c r="O16" s="331"/>
      <c r="P16" s="362"/>
      <c r="Q16" s="365"/>
      <c r="R16" s="362"/>
      <c r="S16" s="365"/>
      <c r="T16" s="362"/>
      <c r="U16" s="368"/>
      <c r="V16" s="332">
        <f t="shared" si="4"/>
        <v>0</v>
      </c>
      <c r="W16" s="333"/>
      <c r="X16" s="334" t="str">
        <f t="shared" si="1"/>
        <v/>
      </c>
      <c r="Y16" s="334" t="str">
        <f>IF(V16=1,V16+MAX($Y$5:Y15),"")</f>
        <v/>
      </c>
      <c r="Z16" s="334"/>
      <c r="AA16" s="332" t="str">
        <f>IF(ISTEXT(W16),IF(ISTEXT(Z16),Z16,'Datasource 2'!$M$14),"")</f>
        <v/>
      </c>
      <c r="AB16" s="328"/>
      <c r="AC16" s="328" t="str">
        <f t="shared" si="2"/>
        <v/>
      </c>
      <c r="AD16" s="328" t="str">
        <f t="shared" si="3"/>
        <v/>
      </c>
      <c r="AE16" s="329"/>
      <c r="AF16" s="362"/>
      <c r="AG16" s="362"/>
      <c r="AH16" s="371"/>
      <c r="AJ16" s="204"/>
      <c r="AK16" s="204"/>
    </row>
    <row r="17" spans="1:38" ht="35.1" customHeight="1" x14ac:dyDescent="0.35">
      <c r="A17" s="205">
        <v>2</v>
      </c>
      <c r="B17" s="392"/>
      <c r="C17" s="365"/>
      <c r="D17" s="330"/>
      <c r="E17" s="362"/>
      <c r="F17" s="362"/>
      <c r="G17" s="374"/>
      <c r="H17" s="368"/>
      <c r="I17" s="397"/>
      <c r="J17" s="398"/>
      <c r="K17" s="398"/>
      <c r="L17" s="398"/>
      <c r="M17" s="398"/>
      <c r="N17" s="399"/>
      <c r="O17" s="331"/>
      <c r="P17" s="362"/>
      <c r="Q17" s="365"/>
      <c r="R17" s="362"/>
      <c r="S17" s="365"/>
      <c r="T17" s="362"/>
      <c r="U17" s="368"/>
      <c r="V17" s="332">
        <f t="shared" si="4"/>
        <v>0</v>
      </c>
      <c r="W17" s="333"/>
      <c r="X17" s="334" t="str">
        <f t="shared" si="1"/>
        <v/>
      </c>
      <c r="Y17" s="334" t="str">
        <f>IF(V17=1,V17+MAX($Y$5:Y16),"")</f>
        <v/>
      </c>
      <c r="Z17" s="334"/>
      <c r="AA17" s="332" t="str">
        <f>IF(ISTEXT(W17),IF(ISTEXT(Z17),Z17,'Datasource 2'!$M$14),"")</f>
        <v/>
      </c>
      <c r="AB17" s="328"/>
      <c r="AC17" s="328" t="str">
        <f t="shared" si="2"/>
        <v/>
      </c>
      <c r="AD17" s="328" t="str">
        <f t="shared" si="3"/>
        <v/>
      </c>
      <c r="AE17" s="329"/>
      <c r="AF17" s="362"/>
      <c r="AG17" s="362"/>
      <c r="AH17" s="371"/>
      <c r="AJ17" s="204"/>
      <c r="AK17" s="204"/>
    </row>
    <row r="18" spans="1:38" ht="35.1" customHeight="1" x14ac:dyDescent="0.35">
      <c r="A18" s="205">
        <v>2</v>
      </c>
      <c r="B18" s="392"/>
      <c r="C18" s="365"/>
      <c r="D18" s="330"/>
      <c r="E18" s="362"/>
      <c r="F18" s="362"/>
      <c r="G18" s="374"/>
      <c r="H18" s="368"/>
      <c r="I18" s="397"/>
      <c r="J18" s="398"/>
      <c r="K18" s="398"/>
      <c r="L18" s="398"/>
      <c r="M18" s="398"/>
      <c r="N18" s="399"/>
      <c r="O18" s="331"/>
      <c r="P18" s="362"/>
      <c r="Q18" s="365"/>
      <c r="R18" s="362"/>
      <c r="S18" s="365"/>
      <c r="T18" s="362"/>
      <c r="U18" s="368"/>
      <c r="V18" s="332">
        <f t="shared" si="4"/>
        <v>0</v>
      </c>
      <c r="W18" s="333"/>
      <c r="X18" s="334" t="str">
        <f t="shared" si="1"/>
        <v/>
      </c>
      <c r="Y18" s="334" t="str">
        <f>IF(V18=1,V18+MAX($Y$5:Y17),"")</f>
        <v/>
      </c>
      <c r="Z18" s="334"/>
      <c r="AA18" s="332" t="str">
        <f>IF(ISTEXT(W18),IF(ISTEXT(Z18),Z18,'Datasource 2'!$M$14),"")</f>
        <v/>
      </c>
      <c r="AB18" s="328"/>
      <c r="AC18" s="328" t="str">
        <f t="shared" si="2"/>
        <v/>
      </c>
      <c r="AD18" s="328" t="str">
        <f t="shared" si="3"/>
        <v/>
      </c>
      <c r="AE18" s="329"/>
      <c r="AF18" s="362"/>
      <c r="AG18" s="362"/>
      <c r="AH18" s="371"/>
      <c r="AJ18" s="204"/>
      <c r="AK18" s="204"/>
    </row>
    <row r="19" spans="1:38" ht="35.1" customHeight="1" x14ac:dyDescent="0.35">
      <c r="A19" s="205">
        <v>2</v>
      </c>
      <c r="B19" s="392"/>
      <c r="C19" s="365"/>
      <c r="D19" s="330"/>
      <c r="E19" s="362"/>
      <c r="F19" s="362"/>
      <c r="G19" s="374"/>
      <c r="H19" s="368"/>
      <c r="I19" s="397"/>
      <c r="J19" s="398"/>
      <c r="K19" s="398"/>
      <c r="L19" s="398"/>
      <c r="M19" s="398"/>
      <c r="N19" s="399"/>
      <c r="O19" s="331"/>
      <c r="P19" s="362"/>
      <c r="Q19" s="365"/>
      <c r="R19" s="362"/>
      <c r="S19" s="365"/>
      <c r="T19" s="362"/>
      <c r="U19" s="368"/>
      <c r="V19" s="332">
        <f t="shared" si="4"/>
        <v>0</v>
      </c>
      <c r="W19" s="333"/>
      <c r="X19" s="334" t="str">
        <f t="shared" si="1"/>
        <v/>
      </c>
      <c r="Y19" s="334" t="str">
        <f>IF(V19=1,V19+MAX($Y$5:Y18),"")</f>
        <v/>
      </c>
      <c r="Z19" s="334"/>
      <c r="AA19" s="332" t="str">
        <f>IF(ISTEXT(W19),IF(ISTEXT(Z19),Z19,'Datasource 2'!$M$14),"")</f>
        <v/>
      </c>
      <c r="AB19" s="328"/>
      <c r="AC19" s="328" t="str">
        <f t="shared" si="2"/>
        <v/>
      </c>
      <c r="AD19" s="328" t="str">
        <f t="shared" si="3"/>
        <v/>
      </c>
      <c r="AE19" s="329"/>
      <c r="AF19" s="362"/>
      <c r="AG19" s="362"/>
      <c r="AH19" s="371"/>
      <c r="AJ19" s="204"/>
      <c r="AK19" s="204"/>
    </row>
    <row r="20" spans="1:38" ht="35.1" customHeight="1" x14ac:dyDescent="0.35">
      <c r="A20" s="205">
        <v>2</v>
      </c>
      <c r="B20" s="392"/>
      <c r="C20" s="365"/>
      <c r="D20" s="330"/>
      <c r="E20" s="362"/>
      <c r="F20" s="362"/>
      <c r="G20" s="374"/>
      <c r="H20" s="368"/>
      <c r="I20" s="397"/>
      <c r="J20" s="398"/>
      <c r="K20" s="398"/>
      <c r="L20" s="398"/>
      <c r="M20" s="398"/>
      <c r="N20" s="399"/>
      <c r="O20" s="331"/>
      <c r="P20" s="362"/>
      <c r="Q20" s="365"/>
      <c r="R20" s="362"/>
      <c r="S20" s="365"/>
      <c r="T20" s="362"/>
      <c r="U20" s="368"/>
      <c r="V20" s="332">
        <f t="shared" si="4"/>
        <v>0</v>
      </c>
      <c r="W20" s="333"/>
      <c r="X20" s="334" t="str">
        <f t="shared" si="1"/>
        <v/>
      </c>
      <c r="Y20" s="334" t="str">
        <f>IF(V20=1,V20+MAX($Y$5:Y19),"")</f>
        <v/>
      </c>
      <c r="Z20" s="334"/>
      <c r="AA20" s="332" t="str">
        <f>IF(ISTEXT(W20),IF(ISTEXT(Z20),Z20,'Datasource 2'!$M$14),"")</f>
        <v/>
      </c>
      <c r="AB20" s="328"/>
      <c r="AC20" s="328" t="str">
        <f t="shared" si="2"/>
        <v/>
      </c>
      <c r="AD20" s="328" t="str">
        <f t="shared" si="3"/>
        <v/>
      </c>
      <c r="AE20" s="329"/>
      <c r="AF20" s="362"/>
      <c r="AG20" s="362"/>
      <c r="AH20" s="371"/>
      <c r="AJ20" s="204"/>
      <c r="AK20" s="204"/>
    </row>
    <row r="21" spans="1:38" ht="35.1" customHeight="1" x14ac:dyDescent="0.35">
      <c r="A21" s="205">
        <v>2</v>
      </c>
      <c r="B21" s="392"/>
      <c r="C21" s="365"/>
      <c r="D21" s="330"/>
      <c r="E21" s="362"/>
      <c r="F21" s="362"/>
      <c r="G21" s="374"/>
      <c r="H21" s="368"/>
      <c r="I21" s="397"/>
      <c r="J21" s="398"/>
      <c r="K21" s="398"/>
      <c r="L21" s="398"/>
      <c r="M21" s="398"/>
      <c r="N21" s="399"/>
      <c r="O21" s="331"/>
      <c r="P21" s="362"/>
      <c r="Q21" s="365"/>
      <c r="R21" s="362"/>
      <c r="S21" s="365"/>
      <c r="T21" s="362"/>
      <c r="U21" s="368"/>
      <c r="V21" s="332">
        <f t="shared" si="4"/>
        <v>0</v>
      </c>
      <c r="W21" s="333"/>
      <c r="X21" s="334" t="str">
        <f t="shared" si="1"/>
        <v/>
      </c>
      <c r="Y21" s="334" t="str">
        <f>IF(V21=1,V21+MAX($Y$5:Y20),"")</f>
        <v/>
      </c>
      <c r="Z21" s="334"/>
      <c r="AA21" s="332" t="str">
        <f>IF(ISTEXT(W21),IF(ISTEXT(Z21),Z21,'Datasource 2'!$M$14),"")</f>
        <v/>
      </c>
      <c r="AB21" s="328"/>
      <c r="AC21" s="328" t="str">
        <f t="shared" si="2"/>
        <v/>
      </c>
      <c r="AD21" s="328" t="str">
        <f t="shared" si="3"/>
        <v/>
      </c>
      <c r="AE21" s="329"/>
      <c r="AF21" s="362"/>
      <c r="AG21" s="362"/>
      <c r="AH21" s="371"/>
      <c r="AJ21" s="204"/>
      <c r="AK21" s="204"/>
    </row>
    <row r="22" spans="1:38" ht="35.1" customHeight="1" x14ac:dyDescent="0.35">
      <c r="A22" s="205">
        <v>2</v>
      </c>
      <c r="B22" s="392"/>
      <c r="C22" s="365"/>
      <c r="D22" s="330"/>
      <c r="E22" s="362"/>
      <c r="F22" s="362"/>
      <c r="G22" s="374"/>
      <c r="H22" s="368"/>
      <c r="I22" s="397"/>
      <c r="J22" s="398"/>
      <c r="K22" s="398"/>
      <c r="L22" s="398"/>
      <c r="M22" s="398"/>
      <c r="N22" s="399"/>
      <c r="O22" s="331"/>
      <c r="P22" s="362"/>
      <c r="Q22" s="365"/>
      <c r="R22" s="362"/>
      <c r="S22" s="365"/>
      <c r="T22" s="362"/>
      <c r="U22" s="368"/>
      <c r="V22" s="332">
        <f>IF(W22="",0,1)</f>
        <v>0</v>
      </c>
      <c r="W22" s="333"/>
      <c r="X22" s="334" t="str">
        <f t="shared" si="1"/>
        <v/>
      </c>
      <c r="Y22" s="334" t="str">
        <f>IF(V22=1,V22+MAX($Y$5:Y21),"")</f>
        <v/>
      </c>
      <c r="Z22" s="334"/>
      <c r="AA22" s="332" t="str">
        <f>IF(ISTEXT(W22),IF(ISTEXT(Z22),Z22,'Datasource 2'!$M$14),"")</f>
        <v/>
      </c>
      <c r="AB22" s="328"/>
      <c r="AC22" s="328" t="str">
        <f t="shared" si="2"/>
        <v/>
      </c>
      <c r="AD22" s="328" t="str">
        <f t="shared" si="3"/>
        <v/>
      </c>
      <c r="AE22" s="329"/>
      <c r="AF22" s="362"/>
      <c r="AG22" s="362"/>
      <c r="AH22" s="371"/>
      <c r="AJ22" s="204"/>
      <c r="AK22" s="204"/>
    </row>
    <row r="23" spans="1:38" ht="35.1" customHeight="1" x14ac:dyDescent="0.35">
      <c r="A23" s="205">
        <v>2</v>
      </c>
      <c r="B23" s="392"/>
      <c r="C23" s="365"/>
      <c r="D23" s="330"/>
      <c r="E23" s="362"/>
      <c r="F23" s="362"/>
      <c r="G23" s="374"/>
      <c r="H23" s="368"/>
      <c r="I23" s="397"/>
      <c r="J23" s="398"/>
      <c r="K23" s="398"/>
      <c r="L23" s="398"/>
      <c r="M23" s="398"/>
      <c r="N23" s="399"/>
      <c r="O23" s="331"/>
      <c r="P23" s="362"/>
      <c r="Q23" s="365"/>
      <c r="R23" s="362"/>
      <c r="S23" s="365"/>
      <c r="T23" s="362"/>
      <c r="U23" s="368"/>
      <c r="V23" s="332">
        <f>IF(W23="",0,1)</f>
        <v>0</v>
      </c>
      <c r="W23" s="333"/>
      <c r="X23" s="334" t="str">
        <f t="shared" si="1"/>
        <v/>
      </c>
      <c r="Y23" s="334" t="str">
        <f>IF(V23=1,V23+MAX($Y$5:Y22),"")</f>
        <v/>
      </c>
      <c r="Z23" s="334"/>
      <c r="AA23" s="332" t="str">
        <f>IF(ISTEXT(W23),IF(ISTEXT(Z23),Z23,'Datasource 2'!$M$14),"")</f>
        <v/>
      </c>
      <c r="AB23" s="328"/>
      <c r="AC23" s="328" t="str">
        <f t="shared" si="2"/>
        <v/>
      </c>
      <c r="AD23" s="328" t="str">
        <f t="shared" si="3"/>
        <v/>
      </c>
      <c r="AE23" s="329"/>
      <c r="AF23" s="362"/>
      <c r="AG23" s="362"/>
      <c r="AH23" s="371"/>
      <c r="AJ23" s="204"/>
      <c r="AK23" s="204"/>
    </row>
    <row r="24" spans="1:38" ht="35.1" customHeight="1" thickBot="1" x14ac:dyDescent="0.4">
      <c r="A24" s="205">
        <v>2</v>
      </c>
      <c r="B24" s="392"/>
      <c r="C24" s="366"/>
      <c r="D24" s="335"/>
      <c r="E24" s="363"/>
      <c r="F24" s="363"/>
      <c r="G24" s="375"/>
      <c r="H24" s="369"/>
      <c r="I24" s="400"/>
      <c r="J24" s="401"/>
      <c r="K24" s="401"/>
      <c r="L24" s="401"/>
      <c r="M24" s="401"/>
      <c r="N24" s="402"/>
      <c r="O24" s="336"/>
      <c r="P24" s="363"/>
      <c r="Q24" s="366"/>
      <c r="R24" s="363"/>
      <c r="S24" s="366"/>
      <c r="T24" s="363"/>
      <c r="U24" s="369"/>
      <c r="V24" s="337">
        <f t="shared" si="4"/>
        <v>0</v>
      </c>
      <c r="W24" s="338"/>
      <c r="X24" s="339" t="str">
        <f t="shared" si="1"/>
        <v/>
      </c>
      <c r="Y24" s="339" t="str">
        <f>IF(V24=1,V24+MAX($Y$5:Y23),"")</f>
        <v/>
      </c>
      <c r="Z24" s="339"/>
      <c r="AA24" s="337" t="str">
        <f>IF(ISTEXT(W24),IF(ISTEXT(Z24),Z24,'Datasource 2'!$M$14),"")</f>
        <v/>
      </c>
      <c r="AB24" s="339"/>
      <c r="AC24" s="328" t="str">
        <f t="shared" si="2"/>
        <v/>
      </c>
      <c r="AD24" s="328" t="str">
        <f t="shared" si="3"/>
        <v/>
      </c>
      <c r="AE24" s="340"/>
      <c r="AF24" s="363"/>
      <c r="AG24" s="363"/>
      <c r="AH24" s="372"/>
      <c r="AJ24" s="204"/>
      <c r="AK24" s="204"/>
    </row>
    <row r="25" spans="1:38" ht="35.1" customHeight="1" x14ac:dyDescent="0.35">
      <c r="A25" s="205">
        <v>3</v>
      </c>
      <c r="B25" s="413">
        <v>3</v>
      </c>
      <c r="C25" s="382"/>
      <c r="D25" s="257"/>
      <c r="E25" s="379"/>
      <c r="F25" s="379"/>
      <c r="G25" s="376"/>
      <c r="H25" s="385" t="e">
        <f>IF(VLOOKUP(G25,Trusselvurdering!$B$3:$P$28,15,FALSE)=0,VLOOKUP(G25,Trusselvurdering!$B$3:$P$28,14,FALSE),VLOOKUP(G25,Trusselvurdering!$B$3:$P$28,15,FALSE))</f>
        <v>#N/A</v>
      </c>
      <c r="I25" s="403"/>
      <c r="J25" s="404"/>
      <c r="K25" s="404"/>
      <c r="L25" s="404"/>
      <c r="M25" s="404"/>
      <c r="N25" s="405"/>
      <c r="O25" s="258"/>
      <c r="P25" s="379"/>
      <c r="Q25" s="382"/>
      <c r="R25" s="379"/>
      <c r="S25" s="382"/>
      <c r="T25" s="379"/>
      <c r="U25" s="385" t="e">
        <f>VLOOKUP(Risikovurdering_data!C23,Akseptkriterier!$C$33:$H$37,MATCH(Risikovurdering_data!D23,Akseptkriterier!$D$32:$H$32,0)+1,FALSE)</f>
        <v>#N/A</v>
      </c>
      <c r="V25" s="259">
        <f t="shared" ref="V25:V34" si="5">IF(W25="",0,1)</f>
        <v>0</v>
      </c>
      <c r="W25" s="260"/>
      <c r="X25" s="261" t="str">
        <f t="shared" si="1"/>
        <v/>
      </c>
      <c r="Y25" s="261" t="str">
        <f>IF(V25=1,V25+MAX($Y$5:Y24),"")</f>
        <v/>
      </c>
      <c r="Z25" s="261"/>
      <c r="AA25" s="259" t="str">
        <f>IF(ISTEXT(W25),IF(ISTEXT(Z25),Z25,'Datasource 2'!$M$14),"")</f>
        <v/>
      </c>
      <c r="AB25" s="261"/>
      <c r="AC25" s="261" t="str">
        <f t="shared" si="2"/>
        <v/>
      </c>
      <c r="AD25" s="261" t="str">
        <f t="shared" si="3"/>
        <v/>
      </c>
      <c r="AE25" s="262"/>
      <c r="AF25" s="379"/>
      <c r="AG25" s="379"/>
      <c r="AH25" s="388" t="e">
        <f>VLOOKUP(Risikovurdering_data!F23,Akseptkriterier!$C$33:$H$37,MATCH(Risikovurdering_data!G23,Akseptkriterier!$D$32:$H$32,0)+1,FALSE)</f>
        <v>#N/A</v>
      </c>
      <c r="AJ25" s="204"/>
      <c r="AK25" s="204"/>
      <c r="AL25" s="204"/>
    </row>
    <row r="26" spans="1:38" ht="35.1" customHeight="1" x14ac:dyDescent="0.35">
      <c r="A26" s="205">
        <f>$A25</f>
        <v>3</v>
      </c>
      <c r="B26" s="413"/>
      <c r="C26" s="383"/>
      <c r="D26" s="263"/>
      <c r="E26" s="380"/>
      <c r="F26" s="380"/>
      <c r="G26" s="377"/>
      <c r="H26" s="386"/>
      <c r="I26" s="406"/>
      <c r="J26" s="407"/>
      <c r="K26" s="407"/>
      <c r="L26" s="407"/>
      <c r="M26" s="407"/>
      <c r="N26" s="408"/>
      <c r="O26" s="264"/>
      <c r="P26" s="380"/>
      <c r="Q26" s="383"/>
      <c r="R26" s="380"/>
      <c r="S26" s="383"/>
      <c r="T26" s="380"/>
      <c r="U26" s="386"/>
      <c r="V26" s="265">
        <f t="shared" si="5"/>
        <v>0</v>
      </c>
      <c r="W26" s="266"/>
      <c r="X26" s="267" t="str">
        <f t="shared" si="1"/>
        <v/>
      </c>
      <c r="Y26" s="267" t="str">
        <f>IF(V26=1,V26+MAX($Y$5:Y25),"")</f>
        <v/>
      </c>
      <c r="Z26" s="267"/>
      <c r="AA26" s="265" t="str">
        <f>IF(ISTEXT(W26),IF(ISTEXT(Z26),Z26,'Datasource 2'!$M$14),"")</f>
        <v/>
      </c>
      <c r="AB26" s="261"/>
      <c r="AC26" s="261" t="str">
        <f t="shared" si="2"/>
        <v/>
      </c>
      <c r="AD26" s="261" t="str">
        <f t="shared" si="3"/>
        <v/>
      </c>
      <c r="AE26" s="262"/>
      <c r="AF26" s="380"/>
      <c r="AG26" s="380"/>
      <c r="AH26" s="389"/>
      <c r="AJ26" s="204"/>
      <c r="AK26" s="204"/>
    </row>
    <row r="27" spans="1:38" ht="35.1" customHeight="1" x14ac:dyDescent="0.35">
      <c r="A27" s="205">
        <v>3</v>
      </c>
      <c r="B27" s="413"/>
      <c r="C27" s="383"/>
      <c r="D27" s="263"/>
      <c r="E27" s="380"/>
      <c r="F27" s="380"/>
      <c r="G27" s="377"/>
      <c r="H27" s="386"/>
      <c r="I27" s="406"/>
      <c r="J27" s="407"/>
      <c r="K27" s="407"/>
      <c r="L27" s="407"/>
      <c r="M27" s="407"/>
      <c r="N27" s="408"/>
      <c r="O27" s="264"/>
      <c r="P27" s="380"/>
      <c r="Q27" s="383"/>
      <c r="R27" s="380"/>
      <c r="S27" s="383"/>
      <c r="T27" s="380"/>
      <c r="U27" s="386"/>
      <c r="V27" s="265">
        <f t="shared" si="5"/>
        <v>0</v>
      </c>
      <c r="W27" s="266"/>
      <c r="X27" s="267" t="str">
        <f t="shared" si="1"/>
        <v/>
      </c>
      <c r="Y27" s="267" t="str">
        <f>IF(V27=1,V27+MAX($Y$5:Y26),"")</f>
        <v/>
      </c>
      <c r="Z27" s="267"/>
      <c r="AA27" s="265" t="str">
        <f>IF(ISTEXT(W27),IF(ISTEXT(Z27),Z27,'Datasource 2'!$M$14),"")</f>
        <v/>
      </c>
      <c r="AB27" s="261"/>
      <c r="AC27" s="261" t="str">
        <f t="shared" si="2"/>
        <v/>
      </c>
      <c r="AD27" s="261" t="str">
        <f t="shared" si="3"/>
        <v/>
      </c>
      <c r="AE27" s="262"/>
      <c r="AF27" s="380"/>
      <c r="AG27" s="380"/>
      <c r="AH27" s="389"/>
      <c r="AJ27" s="204"/>
      <c r="AK27" s="204"/>
    </row>
    <row r="28" spans="1:38" ht="35.1" customHeight="1" x14ac:dyDescent="0.35">
      <c r="A28" s="205">
        <v>3</v>
      </c>
      <c r="B28" s="413"/>
      <c r="C28" s="383"/>
      <c r="D28" s="263"/>
      <c r="E28" s="380"/>
      <c r="F28" s="380"/>
      <c r="G28" s="377"/>
      <c r="H28" s="386"/>
      <c r="I28" s="406"/>
      <c r="J28" s="407"/>
      <c r="K28" s="407"/>
      <c r="L28" s="407"/>
      <c r="M28" s="407"/>
      <c r="N28" s="408"/>
      <c r="O28" s="264"/>
      <c r="P28" s="380"/>
      <c r="Q28" s="383"/>
      <c r="R28" s="380"/>
      <c r="S28" s="383"/>
      <c r="T28" s="380"/>
      <c r="U28" s="386"/>
      <c r="V28" s="265">
        <f t="shared" si="5"/>
        <v>0</v>
      </c>
      <c r="W28" s="266"/>
      <c r="X28" s="267" t="str">
        <f t="shared" si="1"/>
        <v/>
      </c>
      <c r="Y28" s="267" t="str">
        <f>IF(V28=1,V28+MAX($Y$5:Y27),"")</f>
        <v/>
      </c>
      <c r="Z28" s="267"/>
      <c r="AA28" s="265" t="str">
        <f>IF(ISTEXT(W28),IF(ISTEXT(Z28),Z28,'Datasource 2'!$M$14),"")</f>
        <v/>
      </c>
      <c r="AB28" s="261"/>
      <c r="AC28" s="261" t="str">
        <f t="shared" si="2"/>
        <v/>
      </c>
      <c r="AD28" s="261" t="str">
        <f t="shared" si="3"/>
        <v/>
      </c>
      <c r="AE28" s="262"/>
      <c r="AF28" s="380"/>
      <c r="AG28" s="380"/>
      <c r="AH28" s="389"/>
      <c r="AJ28" s="204"/>
      <c r="AK28" s="204"/>
    </row>
    <row r="29" spans="1:38" ht="35.1" customHeight="1" x14ac:dyDescent="0.35">
      <c r="A29" s="205">
        <v>3</v>
      </c>
      <c r="B29" s="413"/>
      <c r="C29" s="383"/>
      <c r="D29" s="263"/>
      <c r="E29" s="380"/>
      <c r="F29" s="380"/>
      <c r="G29" s="377"/>
      <c r="H29" s="386"/>
      <c r="I29" s="406"/>
      <c r="J29" s="407"/>
      <c r="K29" s="407"/>
      <c r="L29" s="407"/>
      <c r="M29" s="407"/>
      <c r="N29" s="408"/>
      <c r="O29" s="264"/>
      <c r="P29" s="380"/>
      <c r="Q29" s="383"/>
      <c r="R29" s="380"/>
      <c r="S29" s="383"/>
      <c r="T29" s="380"/>
      <c r="U29" s="386"/>
      <c r="V29" s="265">
        <f t="shared" si="5"/>
        <v>0</v>
      </c>
      <c r="W29" s="266"/>
      <c r="X29" s="267" t="str">
        <f t="shared" si="1"/>
        <v/>
      </c>
      <c r="Y29" s="267" t="str">
        <f>IF(V29=1,V29+MAX($Y$5:Y28),"")</f>
        <v/>
      </c>
      <c r="Z29" s="267"/>
      <c r="AA29" s="265" t="str">
        <f>IF(ISTEXT(W29),IF(ISTEXT(Z29),Z29,'Datasource 2'!$M$14),"")</f>
        <v/>
      </c>
      <c r="AB29" s="261"/>
      <c r="AC29" s="261" t="str">
        <f t="shared" si="2"/>
        <v/>
      </c>
      <c r="AD29" s="261" t="str">
        <f t="shared" si="3"/>
        <v/>
      </c>
      <c r="AE29" s="262"/>
      <c r="AF29" s="380"/>
      <c r="AG29" s="380"/>
      <c r="AH29" s="389"/>
      <c r="AJ29" s="204"/>
      <c r="AK29" s="204"/>
    </row>
    <row r="30" spans="1:38" ht="35.1" customHeight="1" x14ac:dyDescent="0.35">
      <c r="A30" s="205">
        <v>3</v>
      </c>
      <c r="B30" s="413"/>
      <c r="C30" s="383"/>
      <c r="D30" s="263"/>
      <c r="E30" s="380"/>
      <c r="F30" s="380"/>
      <c r="G30" s="377"/>
      <c r="H30" s="386"/>
      <c r="I30" s="406"/>
      <c r="J30" s="407"/>
      <c r="K30" s="407"/>
      <c r="L30" s="407"/>
      <c r="M30" s="407"/>
      <c r="N30" s="408"/>
      <c r="O30" s="264"/>
      <c r="P30" s="380"/>
      <c r="Q30" s="383"/>
      <c r="R30" s="380"/>
      <c r="S30" s="383"/>
      <c r="T30" s="380"/>
      <c r="U30" s="386"/>
      <c r="V30" s="265">
        <f t="shared" si="5"/>
        <v>0</v>
      </c>
      <c r="W30" s="266"/>
      <c r="X30" s="267" t="str">
        <f t="shared" si="1"/>
        <v/>
      </c>
      <c r="Y30" s="267" t="str">
        <f>IF(V30=1,V30+MAX($Y$5:Y29),"")</f>
        <v/>
      </c>
      <c r="Z30" s="267"/>
      <c r="AA30" s="265" t="str">
        <f>IF(ISTEXT(W30),IF(ISTEXT(Z30),Z30,'Datasource 2'!$M$14),"")</f>
        <v/>
      </c>
      <c r="AB30" s="261"/>
      <c r="AC30" s="261" t="str">
        <f t="shared" si="2"/>
        <v/>
      </c>
      <c r="AD30" s="261" t="str">
        <f t="shared" si="3"/>
        <v/>
      </c>
      <c r="AE30" s="262"/>
      <c r="AF30" s="380"/>
      <c r="AG30" s="380"/>
      <c r="AH30" s="389"/>
      <c r="AJ30" s="204"/>
      <c r="AK30" s="204"/>
    </row>
    <row r="31" spans="1:38" ht="35.1" customHeight="1" x14ac:dyDescent="0.35">
      <c r="A31" s="205">
        <v>3</v>
      </c>
      <c r="B31" s="413"/>
      <c r="C31" s="383"/>
      <c r="D31" s="263"/>
      <c r="E31" s="380"/>
      <c r="F31" s="380"/>
      <c r="G31" s="377"/>
      <c r="H31" s="386"/>
      <c r="I31" s="406"/>
      <c r="J31" s="407"/>
      <c r="K31" s="407"/>
      <c r="L31" s="407"/>
      <c r="M31" s="407"/>
      <c r="N31" s="408"/>
      <c r="O31" s="264"/>
      <c r="P31" s="380"/>
      <c r="Q31" s="383"/>
      <c r="R31" s="380"/>
      <c r="S31" s="383"/>
      <c r="T31" s="380"/>
      <c r="U31" s="386"/>
      <c r="V31" s="265">
        <f t="shared" si="5"/>
        <v>0</v>
      </c>
      <c r="W31" s="266"/>
      <c r="X31" s="267" t="str">
        <f t="shared" si="1"/>
        <v/>
      </c>
      <c r="Y31" s="267" t="str">
        <f>IF(V31=1,V31+MAX($Y$5:Y30),"")</f>
        <v/>
      </c>
      <c r="Z31" s="267"/>
      <c r="AA31" s="265" t="str">
        <f>IF(ISTEXT(W31),IF(ISTEXT(Z31),Z31,'Datasource 2'!$M$14),"")</f>
        <v/>
      </c>
      <c r="AB31" s="261"/>
      <c r="AC31" s="261" t="str">
        <f t="shared" si="2"/>
        <v/>
      </c>
      <c r="AD31" s="261" t="str">
        <f t="shared" si="3"/>
        <v/>
      </c>
      <c r="AE31" s="262"/>
      <c r="AF31" s="380"/>
      <c r="AG31" s="380"/>
      <c r="AH31" s="389"/>
      <c r="AJ31" s="204"/>
      <c r="AK31" s="204"/>
    </row>
    <row r="32" spans="1:38" ht="35.1" customHeight="1" x14ac:dyDescent="0.35">
      <c r="A32" s="205">
        <v>3</v>
      </c>
      <c r="B32" s="413"/>
      <c r="C32" s="383"/>
      <c r="D32" s="263"/>
      <c r="E32" s="380"/>
      <c r="F32" s="380"/>
      <c r="G32" s="377"/>
      <c r="H32" s="386"/>
      <c r="I32" s="406"/>
      <c r="J32" s="407"/>
      <c r="K32" s="407"/>
      <c r="L32" s="407"/>
      <c r="M32" s="407"/>
      <c r="N32" s="408"/>
      <c r="O32" s="264"/>
      <c r="P32" s="380"/>
      <c r="Q32" s="383"/>
      <c r="R32" s="380"/>
      <c r="S32" s="383"/>
      <c r="T32" s="380"/>
      <c r="U32" s="386"/>
      <c r="V32" s="265">
        <f t="shared" si="5"/>
        <v>0</v>
      </c>
      <c r="W32" s="266"/>
      <c r="X32" s="267" t="str">
        <f t="shared" si="1"/>
        <v/>
      </c>
      <c r="Y32" s="267" t="str">
        <f>IF(V32=1,V32+MAX($Y$5:Y31),"")</f>
        <v/>
      </c>
      <c r="Z32" s="267"/>
      <c r="AA32" s="265" t="str">
        <f>IF(ISTEXT(W32),IF(ISTEXT(Z32),Z32,'Datasource 2'!$M$14),"")</f>
        <v/>
      </c>
      <c r="AB32" s="261"/>
      <c r="AC32" s="261" t="str">
        <f t="shared" si="2"/>
        <v/>
      </c>
      <c r="AD32" s="261" t="str">
        <f t="shared" si="3"/>
        <v/>
      </c>
      <c r="AE32" s="262"/>
      <c r="AF32" s="380"/>
      <c r="AG32" s="380"/>
      <c r="AH32" s="389"/>
      <c r="AJ32" s="204"/>
      <c r="AK32" s="204"/>
    </row>
    <row r="33" spans="1:41" ht="35.1" customHeight="1" x14ac:dyDescent="0.35">
      <c r="A33" s="205">
        <v>3</v>
      </c>
      <c r="B33" s="413"/>
      <c r="C33" s="383"/>
      <c r="D33" s="263"/>
      <c r="E33" s="380"/>
      <c r="F33" s="380"/>
      <c r="G33" s="377"/>
      <c r="H33" s="386"/>
      <c r="I33" s="406"/>
      <c r="J33" s="407"/>
      <c r="K33" s="407"/>
      <c r="L33" s="407"/>
      <c r="M33" s="407"/>
      <c r="N33" s="408"/>
      <c r="O33" s="264"/>
      <c r="P33" s="380"/>
      <c r="Q33" s="383"/>
      <c r="R33" s="380"/>
      <c r="S33" s="383"/>
      <c r="T33" s="380"/>
      <c r="U33" s="386"/>
      <c r="V33" s="265">
        <f t="shared" si="5"/>
        <v>0</v>
      </c>
      <c r="W33" s="266"/>
      <c r="X33" s="267" t="str">
        <f t="shared" si="1"/>
        <v/>
      </c>
      <c r="Y33" s="267" t="str">
        <f>IF(V33=1,V33+MAX($Y$5:Y32),"")</f>
        <v/>
      </c>
      <c r="Z33" s="267"/>
      <c r="AA33" s="265" t="str">
        <f>IF(ISTEXT(W33),IF(ISTEXT(Z33),Z33,'Datasource 2'!$M$14),"")</f>
        <v/>
      </c>
      <c r="AB33" s="261"/>
      <c r="AC33" s="261" t="str">
        <f t="shared" si="2"/>
        <v/>
      </c>
      <c r="AD33" s="261" t="str">
        <f t="shared" si="3"/>
        <v/>
      </c>
      <c r="AE33" s="262"/>
      <c r="AF33" s="380"/>
      <c r="AG33" s="380"/>
      <c r="AH33" s="389"/>
      <c r="AJ33" s="204"/>
      <c r="AK33" s="204"/>
    </row>
    <row r="34" spans="1:41" ht="35.1" customHeight="1" thickBot="1" x14ac:dyDescent="0.4">
      <c r="A34" s="205">
        <v>3</v>
      </c>
      <c r="B34" s="414"/>
      <c r="C34" s="384"/>
      <c r="D34" s="268"/>
      <c r="E34" s="381"/>
      <c r="F34" s="381"/>
      <c r="G34" s="378"/>
      <c r="H34" s="387"/>
      <c r="I34" s="409"/>
      <c r="J34" s="410"/>
      <c r="K34" s="410"/>
      <c r="L34" s="410"/>
      <c r="M34" s="410"/>
      <c r="N34" s="411"/>
      <c r="O34" s="269"/>
      <c r="P34" s="381"/>
      <c r="Q34" s="384"/>
      <c r="R34" s="381"/>
      <c r="S34" s="384"/>
      <c r="T34" s="381"/>
      <c r="U34" s="387"/>
      <c r="V34" s="270">
        <f t="shared" si="5"/>
        <v>0</v>
      </c>
      <c r="W34" s="271"/>
      <c r="X34" s="272" t="str">
        <f t="shared" si="1"/>
        <v/>
      </c>
      <c r="Y34" s="272" t="str">
        <f>IF(V34=1,V34+MAX($Y$5:Y33),"")</f>
        <v/>
      </c>
      <c r="Z34" s="272"/>
      <c r="AA34" s="270" t="str">
        <f>IF(ISTEXT(W34),IF(ISTEXT(Z34),Z34,'Datasource 2'!$M$14),"")</f>
        <v/>
      </c>
      <c r="AB34" s="273"/>
      <c r="AC34" s="261" t="str">
        <f t="shared" si="2"/>
        <v/>
      </c>
      <c r="AD34" s="261" t="str">
        <f t="shared" si="3"/>
        <v/>
      </c>
      <c r="AE34" s="274"/>
      <c r="AF34" s="381"/>
      <c r="AG34" s="381"/>
      <c r="AH34" s="390"/>
      <c r="AJ34" s="204"/>
      <c r="AK34" s="204"/>
    </row>
    <row r="35" spans="1:41" ht="35.1" customHeight="1" x14ac:dyDescent="0.35">
      <c r="A35" s="205">
        <v>4</v>
      </c>
      <c r="B35" s="391">
        <v>4</v>
      </c>
      <c r="C35" s="364"/>
      <c r="D35" s="323"/>
      <c r="E35" s="361"/>
      <c r="F35" s="361"/>
      <c r="G35" s="373"/>
      <c r="H35" s="367" t="e">
        <f>IF(VLOOKUP(G35,Trusselvurdering!$B$3:$P$28,15,FALSE)=0,VLOOKUP(G35,Trusselvurdering!$B$3:$P$28,14,FALSE),VLOOKUP(G35,Trusselvurdering!$B$3:$P$28,15,FALSE))</f>
        <v>#N/A</v>
      </c>
      <c r="I35" s="394"/>
      <c r="J35" s="395"/>
      <c r="K35" s="395"/>
      <c r="L35" s="395"/>
      <c r="M35" s="395"/>
      <c r="N35" s="396"/>
      <c r="O35" s="324"/>
      <c r="P35" s="361"/>
      <c r="Q35" s="364"/>
      <c r="R35" s="361"/>
      <c r="S35" s="364"/>
      <c r="T35" s="361"/>
      <c r="U35" s="367" t="e">
        <f>VLOOKUP(Risikovurdering_data!C33,Akseptkriterier!$C$33:$H$37,MATCH(Risikovurdering_data!D33,Akseptkriterier!$D$32:$H$32,0)+1,FALSE)</f>
        <v>#N/A</v>
      </c>
      <c r="V35" s="325">
        <f t="shared" ref="V35:V44" si="6">IF(W35="",0,1)</f>
        <v>0</v>
      </c>
      <c r="W35" s="326"/>
      <c r="X35" s="327" t="str">
        <f t="shared" si="1"/>
        <v/>
      </c>
      <c r="Y35" s="327" t="str">
        <f>IF(V35=1,V35+MAX($Y$5:Y34),"")</f>
        <v/>
      </c>
      <c r="Z35" s="327"/>
      <c r="AA35" s="325" t="str">
        <f>IF(ISTEXT(W35),IF(ISTEXT(Z35),Z35,'Datasource 2'!$M$14),"")</f>
        <v/>
      </c>
      <c r="AB35" s="328"/>
      <c r="AC35" s="328" t="str">
        <f t="shared" si="2"/>
        <v/>
      </c>
      <c r="AD35" s="328" t="str">
        <f t="shared" si="3"/>
        <v/>
      </c>
      <c r="AE35" s="329"/>
      <c r="AF35" s="361"/>
      <c r="AG35" s="361"/>
      <c r="AH35" s="370" t="e">
        <f>VLOOKUP(Risikovurdering_data!F33,Akseptkriterier!$C$33:$H$37,MATCH(Risikovurdering_data!G33,Akseptkriterier!$D$32:$H$32,0)+1,FALSE)</f>
        <v>#N/A</v>
      </c>
      <c r="AJ35" s="204"/>
      <c r="AK35" s="204"/>
    </row>
    <row r="36" spans="1:41" ht="35.1" customHeight="1" x14ac:dyDescent="0.35">
      <c r="A36" s="205">
        <f>$A35</f>
        <v>4</v>
      </c>
      <c r="B36" s="392"/>
      <c r="C36" s="365"/>
      <c r="D36" s="330"/>
      <c r="E36" s="362"/>
      <c r="F36" s="362"/>
      <c r="G36" s="374"/>
      <c r="H36" s="368"/>
      <c r="I36" s="397"/>
      <c r="J36" s="398"/>
      <c r="K36" s="398"/>
      <c r="L36" s="398"/>
      <c r="M36" s="398"/>
      <c r="N36" s="399"/>
      <c r="O36" s="331"/>
      <c r="P36" s="362"/>
      <c r="Q36" s="365"/>
      <c r="R36" s="362"/>
      <c r="S36" s="365"/>
      <c r="T36" s="362"/>
      <c r="U36" s="368"/>
      <c r="V36" s="332">
        <f t="shared" si="6"/>
        <v>0</v>
      </c>
      <c r="W36" s="333"/>
      <c r="X36" s="334" t="str">
        <f t="shared" si="1"/>
        <v/>
      </c>
      <c r="Y36" s="334" t="str">
        <f>IF(V36=1,V36+MAX($Y$5:Y35),"")</f>
        <v/>
      </c>
      <c r="Z36" s="334"/>
      <c r="AA36" s="332" t="str">
        <f>IF(ISTEXT(W36),IF(ISTEXT(Z36),Z36,'Datasource 2'!$M$14),"")</f>
        <v/>
      </c>
      <c r="AB36" s="328"/>
      <c r="AC36" s="328" t="str">
        <f t="shared" si="2"/>
        <v/>
      </c>
      <c r="AD36" s="328" t="str">
        <f t="shared" si="3"/>
        <v/>
      </c>
      <c r="AE36" s="329"/>
      <c r="AF36" s="362"/>
      <c r="AG36" s="362"/>
      <c r="AH36" s="371"/>
      <c r="AJ36" s="204"/>
      <c r="AK36" s="204"/>
    </row>
    <row r="37" spans="1:41" ht="35.1" customHeight="1" x14ac:dyDescent="0.35">
      <c r="A37" s="205">
        <v>4</v>
      </c>
      <c r="B37" s="392"/>
      <c r="C37" s="365"/>
      <c r="D37" s="330"/>
      <c r="E37" s="362"/>
      <c r="F37" s="362"/>
      <c r="G37" s="374"/>
      <c r="H37" s="368"/>
      <c r="I37" s="397"/>
      <c r="J37" s="398"/>
      <c r="K37" s="398"/>
      <c r="L37" s="398"/>
      <c r="M37" s="398"/>
      <c r="N37" s="399"/>
      <c r="O37" s="331"/>
      <c r="P37" s="362"/>
      <c r="Q37" s="365"/>
      <c r="R37" s="362"/>
      <c r="S37" s="365"/>
      <c r="T37" s="362"/>
      <c r="U37" s="368"/>
      <c r="V37" s="332">
        <f t="shared" si="6"/>
        <v>0</v>
      </c>
      <c r="W37" s="333"/>
      <c r="X37" s="334" t="str">
        <f t="shared" si="1"/>
        <v/>
      </c>
      <c r="Y37" s="334" t="str">
        <f>IF(V37=1,V37+MAX($Y$5:Y36),"")</f>
        <v/>
      </c>
      <c r="Z37" s="334"/>
      <c r="AA37" s="332" t="str">
        <f>IF(ISTEXT(W37),IF(ISTEXT(Z37),Z37,'Datasource 2'!$M$14),"")</f>
        <v/>
      </c>
      <c r="AB37" s="328"/>
      <c r="AC37" s="328" t="str">
        <f t="shared" si="2"/>
        <v/>
      </c>
      <c r="AD37" s="328" t="str">
        <f t="shared" si="3"/>
        <v/>
      </c>
      <c r="AE37" s="329"/>
      <c r="AF37" s="362"/>
      <c r="AG37" s="362"/>
      <c r="AH37" s="371"/>
      <c r="AJ37" s="204"/>
      <c r="AK37" s="204"/>
    </row>
    <row r="38" spans="1:41" ht="35.1" customHeight="1" x14ac:dyDescent="0.35">
      <c r="A38" s="205">
        <v>4</v>
      </c>
      <c r="B38" s="392"/>
      <c r="C38" s="365"/>
      <c r="D38" s="330"/>
      <c r="E38" s="362"/>
      <c r="F38" s="362"/>
      <c r="G38" s="374"/>
      <c r="H38" s="368"/>
      <c r="I38" s="397"/>
      <c r="J38" s="398"/>
      <c r="K38" s="398"/>
      <c r="L38" s="398"/>
      <c r="M38" s="398"/>
      <c r="N38" s="399"/>
      <c r="O38" s="331"/>
      <c r="P38" s="362"/>
      <c r="Q38" s="365"/>
      <c r="R38" s="362"/>
      <c r="S38" s="365"/>
      <c r="T38" s="362"/>
      <c r="U38" s="368"/>
      <c r="V38" s="332">
        <f t="shared" si="6"/>
        <v>0</v>
      </c>
      <c r="W38" s="333"/>
      <c r="X38" s="334" t="str">
        <f t="shared" si="1"/>
        <v/>
      </c>
      <c r="Y38" s="334" t="str">
        <f>IF(V38=1,V38+MAX($Y$5:Y37),"")</f>
        <v/>
      </c>
      <c r="Z38" s="334"/>
      <c r="AA38" s="332" t="str">
        <f>IF(ISTEXT(W38),IF(ISTEXT(Z38),Z38,'Datasource 2'!$M$14),"")</f>
        <v/>
      </c>
      <c r="AB38" s="328"/>
      <c r="AC38" s="328" t="str">
        <f t="shared" si="2"/>
        <v/>
      </c>
      <c r="AD38" s="328" t="str">
        <f t="shared" si="3"/>
        <v/>
      </c>
      <c r="AE38" s="329"/>
      <c r="AF38" s="362"/>
      <c r="AG38" s="362"/>
      <c r="AH38" s="371"/>
      <c r="AJ38" s="204"/>
      <c r="AK38" s="204"/>
    </row>
    <row r="39" spans="1:41" ht="35.1" customHeight="1" x14ac:dyDescent="0.35">
      <c r="A39" s="205">
        <v>4</v>
      </c>
      <c r="B39" s="392"/>
      <c r="C39" s="365"/>
      <c r="D39" s="330"/>
      <c r="E39" s="362"/>
      <c r="F39" s="362"/>
      <c r="G39" s="374"/>
      <c r="H39" s="368"/>
      <c r="I39" s="397"/>
      <c r="J39" s="398"/>
      <c r="K39" s="398"/>
      <c r="L39" s="398"/>
      <c r="M39" s="398"/>
      <c r="N39" s="399"/>
      <c r="O39" s="331"/>
      <c r="P39" s="362"/>
      <c r="Q39" s="365"/>
      <c r="R39" s="362"/>
      <c r="S39" s="365"/>
      <c r="T39" s="362"/>
      <c r="U39" s="368"/>
      <c r="V39" s="332">
        <f t="shared" si="6"/>
        <v>0</v>
      </c>
      <c r="W39" s="333"/>
      <c r="X39" s="334" t="str">
        <f t="shared" si="1"/>
        <v/>
      </c>
      <c r="Y39" s="334" t="str">
        <f>IF(V39=1,V39+MAX($Y$5:Y38),"")</f>
        <v/>
      </c>
      <c r="Z39" s="334"/>
      <c r="AA39" s="332" t="str">
        <f>IF(ISTEXT(W39),IF(ISTEXT(Z39),Z39,'Datasource 2'!$M$14),"")</f>
        <v/>
      </c>
      <c r="AB39" s="328"/>
      <c r="AC39" s="328" t="str">
        <f t="shared" si="2"/>
        <v/>
      </c>
      <c r="AD39" s="328" t="str">
        <f t="shared" si="3"/>
        <v/>
      </c>
      <c r="AE39" s="329"/>
      <c r="AF39" s="362"/>
      <c r="AG39" s="362"/>
      <c r="AH39" s="371"/>
      <c r="AJ39" s="204"/>
      <c r="AK39" s="204"/>
    </row>
    <row r="40" spans="1:41" ht="35.1" customHeight="1" x14ac:dyDescent="0.35">
      <c r="A40" s="205">
        <v>4</v>
      </c>
      <c r="B40" s="392"/>
      <c r="C40" s="365"/>
      <c r="D40" s="330"/>
      <c r="E40" s="362"/>
      <c r="F40" s="362"/>
      <c r="G40" s="374"/>
      <c r="H40" s="368"/>
      <c r="I40" s="397"/>
      <c r="J40" s="398"/>
      <c r="K40" s="398"/>
      <c r="L40" s="398"/>
      <c r="M40" s="398"/>
      <c r="N40" s="399"/>
      <c r="O40" s="331"/>
      <c r="P40" s="362"/>
      <c r="Q40" s="365"/>
      <c r="R40" s="362"/>
      <c r="S40" s="365"/>
      <c r="T40" s="362"/>
      <c r="U40" s="368"/>
      <c r="V40" s="332">
        <f t="shared" si="6"/>
        <v>0</v>
      </c>
      <c r="W40" s="333"/>
      <c r="X40" s="334" t="str">
        <f t="shared" si="1"/>
        <v/>
      </c>
      <c r="Y40" s="334" t="str">
        <f>IF(V40=1,V40+MAX($Y$5:Y39),"")</f>
        <v/>
      </c>
      <c r="Z40" s="334"/>
      <c r="AA40" s="332" t="str">
        <f>IF(ISTEXT(W40),IF(ISTEXT(Z40),Z40,'Datasource 2'!$M$14),"")</f>
        <v/>
      </c>
      <c r="AB40" s="328"/>
      <c r="AC40" s="328" t="str">
        <f t="shared" si="2"/>
        <v/>
      </c>
      <c r="AD40" s="328" t="str">
        <f t="shared" si="3"/>
        <v/>
      </c>
      <c r="AE40" s="329"/>
      <c r="AF40" s="362"/>
      <c r="AG40" s="362"/>
      <c r="AH40" s="371"/>
      <c r="AJ40" s="204"/>
      <c r="AK40" s="204"/>
    </row>
    <row r="41" spans="1:41" ht="35.1" customHeight="1" x14ac:dyDescent="0.35">
      <c r="A41" s="205">
        <v>4</v>
      </c>
      <c r="B41" s="392"/>
      <c r="C41" s="365"/>
      <c r="D41" s="330"/>
      <c r="E41" s="362"/>
      <c r="F41" s="362"/>
      <c r="G41" s="374"/>
      <c r="H41" s="368"/>
      <c r="I41" s="397"/>
      <c r="J41" s="398"/>
      <c r="K41" s="398"/>
      <c r="L41" s="398"/>
      <c r="M41" s="398"/>
      <c r="N41" s="399"/>
      <c r="O41" s="331"/>
      <c r="P41" s="362"/>
      <c r="Q41" s="365"/>
      <c r="R41" s="362"/>
      <c r="S41" s="365"/>
      <c r="T41" s="362"/>
      <c r="U41" s="368"/>
      <c r="V41" s="332">
        <f t="shared" si="6"/>
        <v>0</v>
      </c>
      <c r="W41" s="333"/>
      <c r="X41" s="334" t="str">
        <f t="shared" si="1"/>
        <v/>
      </c>
      <c r="Y41" s="334" t="str">
        <f>IF(V41=1,V41+MAX($Y$5:Y40),"")</f>
        <v/>
      </c>
      <c r="Z41" s="334"/>
      <c r="AA41" s="332" t="str">
        <f>IF(ISTEXT(W41),IF(ISTEXT(Z41),Z41,'Datasource 2'!$M$14),"")</f>
        <v/>
      </c>
      <c r="AB41" s="328"/>
      <c r="AC41" s="328" t="str">
        <f t="shared" si="2"/>
        <v/>
      </c>
      <c r="AD41" s="328" t="str">
        <f t="shared" si="3"/>
        <v/>
      </c>
      <c r="AE41" s="329"/>
      <c r="AF41" s="362"/>
      <c r="AG41" s="362"/>
      <c r="AH41" s="371"/>
      <c r="AJ41" s="204"/>
      <c r="AK41" s="204"/>
    </row>
    <row r="42" spans="1:41" ht="35.1" customHeight="1" x14ac:dyDescent="0.35">
      <c r="A42" s="205">
        <v>4</v>
      </c>
      <c r="B42" s="392"/>
      <c r="C42" s="365"/>
      <c r="D42" s="330"/>
      <c r="E42" s="362"/>
      <c r="F42" s="362"/>
      <c r="G42" s="374"/>
      <c r="H42" s="368"/>
      <c r="I42" s="397"/>
      <c r="J42" s="398"/>
      <c r="K42" s="398"/>
      <c r="L42" s="398"/>
      <c r="M42" s="398"/>
      <c r="N42" s="399"/>
      <c r="O42" s="331"/>
      <c r="P42" s="362"/>
      <c r="Q42" s="365"/>
      <c r="R42" s="362"/>
      <c r="S42" s="365"/>
      <c r="T42" s="362"/>
      <c r="U42" s="368"/>
      <c r="V42" s="332">
        <f t="shared" si="6"/>
        <v>0</v>
      </c>
      <c r="W42" s="333"/>
      <c r="X42" s="334" t="str">
        <f t="shared" si="1"/>
        <v/>
      </c>
      <c r="Y42" s="334" t="str">
        <f>IF(V42=1,V42+MAX($Y$5:Y41),"")</f>
        <v/>
      </c>
      <c r="Z42" s="334"/>
      <c r="AA42" s="332" t="str">
        <f>IF(ISTEXT(W42),IF(ISTEXT(Z42),Z42,'Datasource 2'!$M$14),"")</f>
        <v/>
      </c>
      <c r="AB42" s="328"/>
      <c r="AC42" s="328" t="str">
        <f t="shared" si="2"/>
        <v/>
      </c>
      <c r="AD42" s="328" t="str">
        <f t="shared" si="3"/>
        <v/>
      </c>
      <c r="AE42" s="329"/>
      <c r="AF42" s="362"/>
      <c r="AG42" s="362"/>
      <c r="AH42" s="371"/>
      <c r="AJ42" s="204"/>
      <c r="AK42" s="204"/>
    </row>
    <row r="43" spans="1:41" ht="35.1" customHeight="1" x14ac:dyDescent="0.35">
      <c r="A43" s="205">
        <v>4</v>
      </c>
      <c r="B43" s="392"/>
      <c r="C43" s="365"/>
      <c r="D43" s="330"/>
      <c r="E43" s="362"/>
      <c r="F43" s="362"/>
      <c r="G43" s="374"/>
      <c r="H43" s="368"/>
      <c r="I43" s="397"/>
      <c r="J43" s="398"/>
      <c r="K43" s="398"/>
      <c r="L43" s="398"/>
      <c r="M43" s="398"/>
      <c r="N43" s="399"/>
      <c r="O43" s="331"/>
      <c r="P43" s="362"/>
      <c r="Q43" s="365"/>
      <c r="R43" s="362"/>
      <c r="S43" s="365"/>
      <c r="T43" s="362"/>
      <c r="U43" s="368"/>
      <c r="V43" s="332">
        <f t="shared" si="6"/>
        <v>0</v>
      </c>
      <c r="W43" s="333"/>
      <c r="X43" s="334" t="str">
        <f t="shared" si="1"/>
        <v/>
      </c>
      <c r="Y43" s="334" t="str">
        <f>IF(V43=1,V43+MAX($Y$5:Y42),"")</f>
        <v/>
      </c>
      <c r="Z43" s="334"/>
      <c r="AA43" s="332" t="str">
        <f>IF(ISTEXT(W43),IF(ISTEXT(Z43),Z43,'Datasource 2'!$M$14),"")</f>
        <v/>
      </c>
      <c r="AB43" s="328"/>
      <c r="AC43" s="328" t="str">
        <f t="shared" si="2"/>
        <v/>
      </c>
      <c r="AD43" s="328" t="str">
        <f t="shared" si="3"/>
        <v/>
      </c>
      <c r="AE43" s="329"/>
      <c r="AF43" s="362"/>
      <c r="AG43" s="362"/>
      <c r="AH43" s="371"/>
      <c r="AJ43" s="204"/>
      <c r="AK43" s="204"/>
    </row>
    <row r="44" spans="1:41" ht="35.1" customHeight="1" thickBot="1" x14ac:dyDescent="0.4">
      <c r="A44" s="205">
        <v>4</v>
      </c>
      <c r="B44" s="393"/>
      <c r="C44" s="366"/>
      <c r="D44" s="335"/>
      <c r="E44" s="363"/>
      <c r="F44" s="363"/>
      <c r="G44" s="375"/>
      <c r="H44" s="369"/>
      <c r="I44" s="400"/>
      <c r="J44" s="401"/>
      <c r="K44" s="401"/>
      <c r="L44" s="401"/>
      <c r="M44" s="401"/>
      <c r="N44" s="402"/>
      <c r="O44" s="336"/>
      <c r="P44" s="363"/>
      <c r="Q44" s="366"/>
      <c r="R44" s="363"/>
      <c r="S44" s="366"/>
      <c r="T44" s="363"/>
      <c r="U44" s="369"/>
      <c r="V44" s="337">
        <f t="shared" si="6"/>
        <v>0</v>
      </c>
      <c r="W44" s="338"/>
      <c r="X44" s="339" t="str">
        <f t="shared" si="1"/>
        <v/>
      </c>
      <c r="Y44" s="339" t="str">
        <f>IF(V44=1,V44+MAX($Y$5:Y43),"")</f>
        <v/>
      </c>
      <c r="Z44" s="339"/>
      <c r="AA44" s="337" t="str">
        <f>IF(ISTEXT(W44),IF(ISTEXT(Z44),Z44,'Datasource 2'!$M$14),"")</f>
        <v/>
      </c>
      <c r="AB44" s="339"/>
      <c r="AC44" s="328" t="str">
        <f t="shared" si="2"/>
        <v/>
      </c>
      <c r="AD44" s="328" t="str">
        <f t="shared" si="3"/>
        <v/>
      </c>
      <c r="AE44" s="340"/>
      <c r="AF44" s="363"/>
      <c r="AG44" s="363"/>
      <c r="AH44" s="372"/>
      <c r="AJ44" s="204"/>
      <c r="AK44" s="204"/>
    </row>
    <row r="45" spans="1:41" ht="35.1" customHeight="1" x14ac:dyDescent="0.35">
      <c r="A45" s="205">
        <v>5</v>
      </c>
      <c r="B45" s="412">
        <v>5</v>
      </c>
      <c r="C45" s="382"/>
      <c r="D45" s="257"/>
      <c r="E45" s="379"/>
      <c r="F45" s="379"/>
      <c r="G45" s="376"/>
      <c r="H45" s="385" t="e">
        <f>IF(VLOOKUP(G45,Trusselvurdering!$B$3:$P$28,15,FALSE)=0,VLOOKUP(G45,Trusselvurdering!$B$3:$P$28,14,FALSE),VLOOKUP(G45,Trusselvurdering!$B$3:$P$28,15,FALSE))</f>
        <v>#N/A</v>
      </c>
      <c r="I45" s="403"/>
      <c r="J45" s="404"/>
      <c r="K45" s="404"/>
      <c r="L45" s="404"/>
      <c r="M45" s="404"/>
      <c r="N45" s="405"/>
      <c r="O45" s="258"/>
      <c r="P45" s="379"/>
      <c r="Q45" s="382"/>
      <c r="R45" s="379"/>
      <c r="S45" s="382"/>
      <c r="T45" s="379"/>
      <c r="U45" s="385" t="e">
        <f>VLOOKUP(Risikovurdering_data!C43,Akseptkriterier!$C$33:$H$37,MATCH(Risikovurdering_data!D43,Akseptkriterier!$D$32:$H$32,0)+1,FALSE)</f>
        <v>#N/A</v>
      </c>
      <c r="V45" s="259">
        <f t="shared" ref="V45:V54" si="7">IF(W45="",0,1)</f>
        <v>0</v>
      </c>
      <c r="W45" s="260"/>
      <c r="X45" s="261" t="str">
        <f t="shared" si="1"/>
        <v/>
      </c>
      <c r="Y45" s="261" t="str">
        <f>IF(V45=1,V45+MAX($Y$5:Y44),"")</f>
        <v/>
      </c>
      <c r="Z45" s="261"/>
      <c r="AA45" s="259" t="str">
        <f>IF(ISTEXT(W45),IF(ISTEXT(Z45),Z45,'Datasource 2'!$M$14),"")</f>
        <v/>
      </c>
      <c r="AB45" s="261"/>
      <c r="AC45" s="261" t="str">
        <f t="shared" si="2"/>
        <v/>
      </c>
      <c r="AD45" s="261" t="str">
        <f t="shared" si="3"/>
        <v/>
      </c>
      <c r="AE45" s="262"/>
      <c r="AF45" s="379"/>
      <c r="AG45" s="379"/>
      <c r="AH45" s="388" t="e">
        <f>VLOOKUP(Risikovurdering_data!F43,Akseptkriterier!$C$33:$H$37,MATCH(Risikovurdering_data!G43,Akseptkriterier!$D$32:$H$32,0)+1,FALSE)</f>
        <v>#N/A</v>
      </c>
      <c r="AJ45" s="204"/>
      <c r="AK45" s="204"/>
      <c r="AL45" s="204"/>
      <c r="AO45" s="127"/>
    </row>
    <row r="46" spans="1:41" ht="35.1" customHeight="1" x14ac:dyDescent="0.35">
      <c r="A46" s="205">
        <f>$A45</f>
        <v>5</v>
      </c>
      <c r="B46" s="413"/>
      <c r="C46" s="383"/>
      <c r="D46" s="263"/>
      <c r="E46" s="380"/>
      <c r="F46" s="380"/>
      <c r="G46" s="377"/>
      <c r="H46" s="386"/>
      <c r="I46" s="406"/>
      <c r="J46" s="407"/>
      <c r="K46" s="407"/>
      <c r="L46" s="407"/>
      <c r="M46" s="407"/>
      <c r="N46" s="408"/>
      <c r="O46" s="264"/>
      <c r="P46" s="380"/>
      <c r="Q46" s="383"/>
      <c r="R46" s="380"/>
      <c r="S46" s="383"/>
      <c r="T46" s="380"/>
      <c r="U46" s="386"/>
      <c r="V46" s="265">
        <f t="shared" si="7"/>
        <v>0</v>
      </c>
      <c r="W46" s="266"/>
      <c r="X46" s="267" t="str">
        <f t="shared" si="1"/>
        <v/>
      </c>
      <c r="Y46" s="267" t="str">
        <f>IF(V46=1,V46+MAX($Y$5:Y45),"")</f>
        <v/>
      </c>
      <c r="Z46" s="267"/>
      <c r="AA46" s="265" t="str">
        <f>IF(ISTEXT(W46),IF(ISTEXT(Z46),Z46,'Datasource 2'!$M$14),"")</f>
        <v/>
      </c>
      <c r="AB46" s="261"/>
      <c r="AC46" s="261" t="str">
        <f t="shared" si="2"/>
        <v/>
      </c>
      <c r="AD46" s="261" t="str">
        <f t="shared" si="3"/>
        <v/>
      </c>
      <c r="AE46" s="262"/>
      <c r="AF46" s="380"/>
      <c r="AG46" s="380"/>
      <c r="AH46" s="389"/>
      <c r="AJ46" s="204"/>
      <c r="AK46" s="204"/>
    </row>
    <row r="47" spans="1:41" ht="35.1" customHeight="1" x14ac:dyDescent="0.35">
      <c r="A47" s="205">
        <f t="shared" ref="A47:A54" si="8">$A46</f>
        <v>5</v>
      </c>
      <c r="B47" s="413"/>
      <c r="C47" s="383"/>
      <c r="D47" s="263"/>
      <c r="E47" s="380"/>
      <c r="F47" s="380"/>
      <c r="G47" s="377"/>
      <c r="H47" s="386"/>
      <c r="I47" s="406"/>
      <c r="J47" s="407"/>
      <c r="K47" s="407"/>
      <c r="L47" s="407"/>
      <c r="M47" s="407"/>
      <c r="N47" s="408"/>
      <c r="O47" s="264"/>
      <c r="P47" s="380"/>
      <c r="Q47" s="383"/>
      <c r="R47" s="380"/>
      <c r="S47" s="383"/>
      <c r="T47" s="380"/>
      <c r="U47" s="386"/>
      <c r="V47" s="265">
        <f t="shared" si="7"/>
        <v>0</v>
      </c>
      <c r="W47" s="266"/>
      <c r="X47" s="267" t="str">
        <f t="shared" si="1"/>
        <v/>
      </c>
      <c r="Y47" s="267" t="str">
        <f>IF(V47=1,V47+MAX($Y$5:Y46),"")</f>
        <v/>
      </c>
      <c r="Z47" s="267"/>
      <c r="AA47" s="265" t="str">
        <f>IF(ISTEXT(W47),IF(ISTEXT(Z47),Z47,'Datasource 2'!$M$14),"")</f>
        <v/>
      </c>
      <c r="AB47" s="261"/>
      <c r="AC47" s="261" t="str">
        <f t="shared" si="2"/>
        <v/>
      </c>
      <c r="AD47" s="261" t="str">
        <f t="shared" si="3"/>
        <v/>
      </c>
      <c r="AE47" s="262"/>
      <c r="AF47" s="380"/>
      <c r="AG47" s="380"/>
      <c r="AH47" s="389"/>
      <c r="AJ47" s="204"/>
      <c r="AK47" s="204"/>
    </row>
    <row r="48" spans="1:41" ht="35.1" customHeight="1" x14ac:dyDescent="0.35">
      <c r="A48" s="205">
        <f t="shared" si="8"/>
        <v>5</v>
      </c>
      <c r="B48" s="413"/>
      <c r="C48" s="383"/>
      <c r="D48" s="263"/>
      <c r="E48" s="380"/>
      <c r="F48" s="380"/>
      <c r="G48" s="377"/>
      <c r="H48" s="386"/>
      <c r="I48" s="406"/>
      <c r="J48" s="407"/>
      <c r="K48" s="407"/>
      <c r="L48" s="407"/>
      <c r="M48" s="407"/>
      <c r="N48" s="408"/>
      <c r="O48" s="264"/>
      <c r="P48" s="380"/>
      <c r="Q48" s="383"/>
      <c r="R48" s="380"/>
      <c r="S48" s="383"/>
      <c r="T48" s="380"/>
      <c r="U48" s="386"/>
      <c r="V48" s="265">
        <f t="shared" si="7"/>
        <v>0</v>
      </c>
      <c r="W48" s="266"/>
      <c r="X48" s="267" t="str">
        <f t="shared" si="1"/>
        <v/>
      </c>
      <c r="Y48" s="267" t="str">
        <f>IF(V48=1,V48+MAX($Y$5:Y47),"")</f>
        <v/>
      </c>
      <c r="Z48" s="267"/>
      <c r="AA48" s="265" t="str">
        <f>IF(ISTEXT(W48),IF(ISTEXT(Z48),Z48,'Datasource 2'!$M$14),"")</f>
        <v/>
      </c>
      <c r="AB48" s="261"/>
      <c r="AC48" s="261" t="str">
        <f t="shared" si="2"/>
        <v/>
      </c>
      <c r="AD48" s="261" t="str">
        <f t="shared" si="3"/>
        <v/>
      </c>
      <c r="AE48" s="262"/>
      <c r="AF48" s="380"/>
      <c r="AG48" s="380"/>
      <c r="AH48" s="389"/>
      <c r="AJ48" s="204"/>
      <c r="AK48" s="204"/>
    </row>
    <row r="49" spans="1:37" ht="35.1" customHeight="1" x14ac:dyDescent="0.35">
      <c r="A49" s="205">
        <f t="shared" si="8"/>
        <v>5</v>
      </c>
      <c r="B49" s="413"/>
      <c r="C49" s="383"/>
      <c r="D49" s="263"/>
      <c r="E49" s="380"/>
      <c r="F49" s="380"/>
      <c r="G49" s="377"/>
      <c r="H49" s="386"/>
      <c r="I49" s="406"/>
      <c r="J49" s="407"/>
      <c r="K49" s="407"/>
      <c r="L49" s="407"/>
      <c r="M49" s="407"/>
      <c r="N49" s="408"/>
      <c r="O49" s="264"/>
      <c r="P49" s="380"/>
      <c r="Q49" s="383"/>
      <c r="R49" s="380"/>
      <c r="S49" s="383"/>
      <c r="T49" s="380"/>
      <c r="U49" s="386"/>
      <c r="V49" s="265">
        <f t="shared" si="7"/>
        <v>0</v>
      </c>
      <c r="W49" s="266"/>
      <c r="X49" s="267" t="str">
        <f t="shared" si="1"/>
        <v/>
      </c>
      <c r="Y49" s="267" t="str">
        <f>IF(V49=1,V49+MAX($Y$5:Y48),"")</f>
        <v/>
      </c>
      <c r="Z49" s="267"/>
      <c r="AA49" s="265" t="str">
        <f>IF(ISTEXT(W49),IF(ISTEXT(Z49),Z49,'Datasource 2'!$M$14),"")</f>
        <v/>
      </c>
      <c r="AB49" s="261"/>
      <c r="AC49" s="261" t="str">
        <f t="shared" si="2"/>
        <v/>
      </c>
      <c r="AD49" s="261" t="str">
        <f t="shared" si="3"/>
        <v/>
      </c>
      <c r="AE49" s="262"/>
      <c r="AF49" s="380"/>
      <c r="AG49" s="380"/>
      <c r="AH49" s="389"/>
      <c r="AJ49" s="204"/>
      <c r="AK49" s="204"/>
    </row>
    <row r="50" spans="1:37" ht="35.1" customHeight="1" x14ac:dyDescent="0.35">
      <c r="A50" s="205">
        <f t="shared" si="8"/>
        <v>5</v>
      </c>
      <c r="B50" s="413"/>
      <c r="C50" s="383"/>
      <c r="D50" s="263"/>
      <c r="E50" s="380"/>
      <c r="F50" s="380"/>
      <c r="G50" s="377"/>
      <c r="H50" s="386"/>
      <c r="I50" s="406"/>
      <c r="J50" s="407"/>
      <c r="K50" s="407"/>
      <c r="L50" s="407"/>
      <c r="M50" s="407"/>
      <c r="N50" s="408"/>
      <c r="O50" s="264"/>
      <c r="P50" s="380"/>
      <c r="Q50" s="383"/>
      <c r="R50" s="380"/>
      <c r="S50" s="383"/>
      <c r="T50" s="380"/>
      <c r="U50" s="386"/>
      <c r="V50" s="265">
        <f t="shared" si="7"/>
        <v>0</v>
      </c>
      <c r="W50" s="266"/>
      <c r="X50" s="267" t="str">
        <f t="shared" si="1"/>
        <v/>
      </c>
      <c r="Y50" s="267" t="str">
        <f>IF(V50=1,V50+MAX($Y$5:Y49),"")</f>
        <v/>
      </c>
      <c r="Z50" s="267"/>
      <c r="AA50" s="265" t="str">
        <f>IF(ISTEXT(W50),IF(ISTEXT(Z50),Z50,'Datasource 2'!$M$14),"")</f>
        <v/>
      </c>
      <c r="AB50" s="261"/>
      <c r="AC50" s="261" t="str">
        <f t="shared" si="2"/>
        <v/>
      </c>
      <c r="AD50" s="261" t="str">
        <f t="shared" si="3"/>
        <v/>
      </c>
      <c r="AE50" s="262"/>
      <c r="AF50" s="380"/>
      <c r="AG50" s="380"/>
      <c r="AH50" s="389"/>
      <c r="AJ50" s="204"/>
      <c r="AK50" s="204"/>
    </row>
    <row r="51" spans="1:37" ht="35.1" customHeight="1" x14ac:dyDescent="0.35">
      <c r="A51" s="205">
        <f t="shared" si="8"/>
        <v>5</v>
      </c>
      <c r="B51" s="413"/>
      <c r="C51" s="383"/>
      <c r="D51" s="263"/>
      <c r="E51" s="380"/>
      <c r="F51" s="380"/>
      <c r="G51" s="377"/>
      <c r="H51" s="386"/>
      <c r="I51" s="406"/>
      <c r="J51" s="407"/>
      <c r="K51" s="407"/>
      <c r="L51" s="407"/>
      <c r="M51" s="407"/>
      <c r="N51" s="408"/>
      <c r="O51" s="264"/>
      <c r="P51" s="380"/>
      <c r="Q51" s="383"/>
      <c r="R51" s="380"/>
      <c r="S51" s="383"/>
      <c r="T51" s="380"/>
      <c r="U51" s="386"/>
      <c r="V51" s="265">
        <f t="shared" si="7"/>
        <v>0</v>
      </c>
      <c r="W51" s="266"/>
      <c r="X51" s="267" t="str">
        <f t="shared" si="1"/>
        <v/>
      </c>
      <c r="Y51" s="267" t="str">
        <f>IF(V51=1,V51+MAX($Y$5:Y50),"")</f>
        <v/>
      </c>
      <c r="Z51" s="267"/>
      <c r="AA51" s="265" t="str">
        <f>IF(ISTEXT(W51),IF(ISTEXT(Z51),Z51,'Datasource 2'!$M$14),"")</f>
        <v/>
      </c>
      <c r="AB51" s="261"/>
      <c r="AC51" s="261" t="str">
        <f t="shared" si="2"/>
        <v/>
      </c>
      <c r="AD51" s="261" t="str">
        <f t="shared" si="3"/>
        <v/>
      </c>
      <c r="AE51" s="262"/>
      <c r="AF51" s="380"/>
      <c r="AG51" s="380"/>
      <c r="AH51" s="389"/>
      <c r="AJ51" s="204"/>
      <c r="AK51" s="204"/>
    </row>
    <row r="52" spans="1:37" ht="35.1" customHeight="1" x14ac:dyDescent="0.35">
      <c r="A52" s="205">
        <f t="shared" si="8"/>
        <v>5</v>
      </c>
      <c r="B52" s="413"/>
      <c r="C52" s="383"/>
      <c r="D52" s="263"/>
      <c r="E52" s="380"/>
      <c r="F52" s="380"/>
      <c r="G52" s="377"/>
      <c r="H52" s="386"/>
      <c r="I52" s="406"/>
      <c r="J52" s="407"/>
      <c r="K52" s="407"/>
      <c r="L52" s="407"/>
      <c r="M52" s="407"/>
      <c r="N52" s="408"/>
      <c r="O52" s="264"/>
      <c r="P52" s="380"/>
      <c r="Q52" s="383"/>
      <c r="R52" s="380"/>
      <c r="S52" s="383"/>
      <c r="T52" s="380"/>
      <c r="U52" s="386"/>
      <c r="V52" s="265">
        <f t="shared" si="7"/>
        <v>0</v>
      </c>
      <c r="W52" s="266"/>
      <c r="X52" s="267" t="str">
        <f t="shared" si="1"/>
        <v/>
      </c>
      <c r="Y52" s="267" t="str">
        <f>IF(V52=1,V52+MAX($Y$5:Y51),"")</f>
        <v/>
      </c>
      <c r="Z52" s="267"/>
      <c r="AA52" s="265" t="str">
        <f>IF(ISTEXT(W52),IF(ISTEXT(Z52),Z52,'Datasource 2'!$M$14),"")</f>
        <v/>
      </c>
      <c r="AB52" s="261"/>
      <c r="AC52" s="261" t="str">
        <f t="shared" si="2"/>
        <v/>
      </c>
      <c r="AD52" s="261" t="str">
        <f t="shared" si="3"/>
        <v/>
      </c>
      <c r="AE52" s="262"/>
      <c r="AF52" s="380"/>
      <c r="AG52" s="380"/>
      <c r="AH52" s="389"/>
      <c r="AJ52" s="204"/>
      <c r="AK52" s="204"/>
    </row>
    <row r="53" spans="1:37" ht="35.1" customHeight="1" x14ac:dyDescent="0.35">
      <c r="A53" s="205">
        <f t="shared" si="8"/>
        <v>5</v>
      </c>
      <c r="B53" s="413"/>
      <c r="C53" s="383"/>
      <c r="D53" s="263"/>
      <c r="E53" s="380"/>
      <c r="F53" s="380"/>
      <c r="G53" s="377"/>
      <c r="H53" s="386"/>
      <c r="I53" s="406"/>
      <c r="J53" s="407"/>
      <c r="K53" s="407"/>
      <c r="L53" s="407"/>
      <c r="M53" s="407"/>
      <c r="N53" s="408"/>
      <c r="O53" s="264"/>
      <c r="P53" s="380"/>
      <c r="Q53" s="383"/>
      <c r="R53" s="380"/>
      <c r="S53" s="383"/>
      <c r="T53" s="380"/>
      <c r="U53" s="386"/>
      <c r="V53" s="265">
        <f t="shared" si="7"/>
        <v>0</v>
      </c>
      <c r="W53" s="266"/>
      <c r="X53" s="267" t="str">
        <f t="shared" si="1"/>
        <v/>
      </c>
      <c r="Y53" s="267" t="str">
        <f>IF(V53=1,V53+MAX($Y$5:Y52),"")</f>
        <v/>
      </c>
      <c r="Z53" s="267"/>
      <c r="AA53" s="265" t="str">
        <f>IF(ISTEXT(W53),IF(ISTEXT(Z53),Z53,'Datasource 2'!$M$14),"")</f>
        <v/>
      </c>
      <c r="AB53" s="261"/>
      <c r="AC53" s="261" t="str">
        <f t="shared" si="2"/>
        <v/>
      </c>
      <c r="AD53" s="261" t="str">
        <f t="shared" si="3"/>
        <v/>
      </c>
      <c r="AE53" s="262"/>
      <c r="AF53" s="380"/>
      <c r="AG53" s="380"/>
      <c r="AH53" s="389"/>
      <c r="AJ53" s="204"/>
      <c r="AK53" s="204"/>
    </row>
    <row r="54" spans="1:37" ht="35.1" customHeight="1" thickBot="1" x14ac:dyDescent="0.4">
      <c r="A54" s="205">
        <f t="shared" si="8"/>
        <v>5</v>
      </c>
      <c r="B54" s="414"/>
      <c r="C54" s="384"/>
      <c r="D54" s="268"/>
      <c r="E54" s="381"/>
      <c r="F54" s="381"/>
      <c r="G54" s="378"/>
      <c r="H54" s="387"/>
      <c r="I54" s="409"/>
      <c r="J54" s="410"/>
      <c r="K54" s="410"/>
      <c r="L54" s="410"/>
      <c r="M54" s="410"/>
      <c r="N54" s="411"/>
      <c r="O54" s="269"/>
      <c r="P54" s="381"/>
      <c r="Q54" s="384"/>
      <c r="R54" s="381"/>
      <c r="S54" s="384"/>
      <c r="T54" s="381"/>
      <c r="U54" s="387"/>
      <c r="V54" s="270">
        <f t="shared" si="7"/>
        <v>0</v>
      </c>
      <c r="W54" s="271"/>
      <c r="X54" s="272" t="str">
        <f t="shared" si="1"/>
        <v/>
      </c>
      <c r="Y54" s="272" t="str">
        <f>IF(V54=1,V54+MAX($Y$5:Y53),"")</f>
        <v/>
      </c>
      <c r="Z54" s="272"/>
      <c r="AA54" s="270" t="str">
        <f>IF(ISTEXT(W54),IF(ISTEXT(Z54),Z54,'Datasource 2'!$M$14),"")</f>
        <v/>
      </c>
      <c r="AB54" s="273"/>
      <c r="AC54" s="261" t="str">
        <f t="shared" si="2"/>
        <v/>
      </c>
      <c r="AD54" s="261" t="str">
        <f t="shared" si="3"/>
        <v/>
      </c>
      <c r="AE54" s="274"/>
      <c r="AF54" s="381"/>
      <c r="AG54" s="381"/>
      <c r="AH54" s="390"/>
      <c r="AJ54" s="204"/>
      <c r="AK54" s="204"/>
    </row>
    <row r="55" spans="1:37" ht="35.1" customHeight="1" x14ac:dyDescent="0.35">
      <c r="A55" s="205">
        <v>6</v>
      </c>
      <c r="B55" s="391">
        <v>6</v>
      </c>
      <c r="C55" s="364"/>
      <c r="D55" s="323"/>
      <c r="E55" s="361"/>
      <c r="F55" s="361"/>
      <c r="G55" s="373"/>
      <c r="H55" s="367" t="e">
        <f>IF(VLOOKUP(G55,Trusselvurdering!$B$3:$P$28,15,FALSE)=0,VLOOKUP(G55,Trusselvurdering!$B$3:$P$28,14,FALSE),VLOOKUP(G55,Trusselvurdering!$B$3:$P$28,15,FALSE))</f>
        <v>#N/A</v>
      </c>
      <c r="I55" s="394"/>
      <c r="J55" s="395"/>
      <c r="K55" s="395"/>
      <c r="L55" s="395"/>
      <c r="M55" s="395"/>
      <c r="N55" s="396"/>
      <c r="O55" s="324"/>
      <c r="P55" s="361"/>
      <c r="Q55" s="364"/>
      <c r="R55" s="361"/>
      <c r="S55" s="364"/>
      <c r="T55" s="361"/>
      <c r="U55" s="367" t="e">
        <f>VLOOKUP(Risikovurdering_data!C53,Akseptkriterier!$C$33:$H$37,MATCH(Risikovurdering_data!D53,Akseptkriterier!$D$32:$H$32,0)+1,FALSE)</f>
        <v>#N/A</v>
      </c>
      <c r="V55" s="325">
        <f t="shared" ref="V55:V64" si="9">IF(W55="",0,1)</f>
        <v>0</v>
      </c>
      <c r="W55" s="326"/>
      <c r="X55" s="327" t="str">
        <f t="shared" si="1"/>
        <v/>
      </c>
      <c r="Y55" s="327" t="str">
        <f>IF(V55=1,V55+MAX($Y$5:Y54),"")</f>
        <v/>
      </c>
      <c r="Z55" s="327"/>
      <c r="AA55" s="325" t="str">
        <f>IF(ISTEXT(W55),IF(ISTEXT(Z55),Z55,'Datasource 2'!$M$14),"")</f>
        <v/>
      </c>
      <c r="AB55" s="328"/>
      <c r="AC55" s="328" t="str">
        <f t="shared" si="2"/>
        <v/>
      </c>
      <c r="AD55" s="328" t="str">
        <f t="shared" si="3"/>
        <v/>
      </c>
      <c r="AE55" s="329"/>
      <c r="AF55" s="361"/>
      <c r="AG55" s="361"/>
      <c r="AH55" s="370" t="e">
        <f>VLOOKUP(Risikovurdering_data!F53,Akseptkriterier!$C$33:$H$37,MATCH(Risikovurdering_data!G53,Akseptkriterier!$D$32:$H$32,0)+1,FALSE)</f>
        <v>#N/A</v>
      </c>
    </row>
    <row r="56" spans="1:37" ht="35.1" customHeight="1" x14ac:dyDescent="0.35">
      <c r="A56" s="205">
        <f>$A55</f>
        <v>6</v>
      </c>
      <c r="B56" s="392"/>
      <c r="C56" s="365"/>
      <c r="D56" s="330"/>
      <c r="E56" s="362"/>
      <c r="F56" s="362"/>
      <c r="G56" s="374"/>
      <c r="H56" s="368"/>
      <c r="I56" s="397"/>
      <c r="J56" s="398"/>
      <c r="K56" s="398"/>
      <c r="L56" s="398"/>
      <c r="M56" s="398"/>
      <c r="N56" s="399"/>
      <c r="O56" s="331"/>
      <c r="P56" s="362"/>
      <c r="Q56" s="365"/>
      <c r="R56" s="362"/>
      <c r="S56" s="365"/>
      <c r="T56" s="362"/>
      <c r="U56" s="368"/>
      <c r="V56" s="332">
        <f t="shared" si="9"/>
        <v>0</v>
      </c>
      <c r="W56" s="333"/>
      <c r="X56" s="334" t="str">
        <f t="shared" si="1"/>
        <v/>
      </c>
      <c r="Y56" s="334" t="str">
        <f>IF(V56=1,V56+MAX($Y$5:Y55),"")</f>
        <v/>
      </c>
      <c r="Z56" s="334"/>
      <c r="AA56" s="332" t="str">
        <f>IF(ISTEXT(W56),IF(ISTEXT(Z56),Z56,'Datasource 2'!$M$14),"")</f>
        <v/>
      </c>
      <c r="AB56" s="328"/>
      <c r="AC56" s="328" t="str">
        <f t="shared" si="2"/>
        <v/>
      </c>
      <c r="AD56" s="328" t="str">
        <f t="shared" si="3"/>
        <v/>
      </c>
      <c r="AE56" s="329"/>
      <c r="AF56" s="362"/>
      <c r="AG56" s="362"/>
      <c r="AH56" s="371"/>
    </row>
    <row r="57" spans="1:37" ht="35.1" customHeight="1" x14ac:dyDescent="0.35">
      <c r="A57" s="205">
        <f t="shared" ref="A57:A64" si="10">$A56</f>
        <v>6</v>
      </c>
      <c r="B57" s="392"/>
      <c r="C57" s="365"/>
      <c r="D57" s="330"/>
      <c r="E57" s="362"/>
      <c r="F57" s="362"/>
      <c r="G57" s="374"/>
      <c r="H57" s="368"/>
      <c r="I57" s="397"/>
      <c r="J57" s="398"/>
      <c r="K57" s="398"/>
      <c r="L57" s="398"/>
      <c r="M57" s="398"/>
      <c r="N57" s="399"/>
      <c r="O57" s="331"/>
      <c r="P57" s="362"/>
      <c r="Q57" s="365"/>
      <c r="R57" s="362"/>
      <c r="S57" s="365"/>
      <c r="T57" s="362"/>
      <c r="U57" s="368"/>
      <c r="V57" s="332">
        <f t="shared" si="9"/>
        <v>0</v>
      </c>
      <c r="W57" s="333"/>
      <c r="X57" s="334" t="str">
        <f t="shared" si="1"/>
        <v/>
      </c>
      <c r="Y57" s="334" t="str">
        <f>IF(V57=1,V57+MAX($Y$5:Y56),"")</f>
        <v/>
      </c>
      <c r="Z57" s="334"/>
      <c r="AA57" s="332" t="str">
        <f>IF(ISTEXT(W57),IF(ISTEXT(Z57),Z57,'Datasource 2'!$M$14),"")</f>
        <v/>
      </c>
      <c r="AB57" s="328"/>
      <c r="AC57" s="328" t="str">
        <f t="shared" si="2"/>
        <v/>
      </c>
      <c r="AD57" s="328" t="str">
        <f t="shared" si="3"/>
        <v/>
      </c>
      <c r="AE57" s="329"/>
      <c r="AF57" s="362"/>
      <c r="AG57" s="362"/>
      <c r="AH57" s="371"/>
    </row>
    <row r="58" spans="1:37" ht="35.1" customHeight="1" x14ac:dyDescent="0.35">
      <c r="A58" s="205">
        <f t="shared" si="10"/>
        <v>6</v>
      </c>
      <c r="B58" s="392"/>
      <c r="C58" s="365"/>
      <c r="D58" s="330"/>
      <c r="E58" s="362"/>
      <c r="F58" s="362"/>
      <c r="G58" s="374"/>
      <c r="H58" s="368"/>
      <c r="I58" s="397"/>
      <c r="J58" s="398"/>
      <c r="K58" s="398"/>
      <c r="L58" s="398"/>
      <c r="M58" s="398"/>
      <c r="N58" s="399"/>
      <c r="O58" s="331"/>
      <c r="P58" s="362"/>
      <c r="Q58" s="365"/>
      <c r="R58" s="362"/>
      <c r="S58" s="365"/>
      <c r="T58" s="362"/>
      <c r="U58" s="368"/>
      <c r="V58" s="332">
        <f t="shared" si="9"/>
        <v>0</v>
      </c>
      <c r="W58" s="333"/>
      <c r="X58" s="334" t="str">
        <f t="shared" si="1"/>
        <v/>
      </c>
      <c r="Y58" s="334" t="str">
        <f>IF(V58=1,V58+MAX($Y$5:Y57),"")</f>
        <v/>
      </c>
      <c r="Z58" s="334"/>
      <c r="AA58" s="332" t="str">
        <f>IF(ISTEXT(W58),IF(ISTEXT(Z58),Z58,'Datasource 2'!$M$14),"")</f>
        <v/>
      </c>
      <c r="AB58" s="328"/>
      <c r="AC58" s="328" t="str">
        <f t="shared" si="2"/>
        <v/>
      </c>
      <c r="AD58" s="328" t="str">
        <f t="shared" si="3"/>
        <v/>
      </c>
      <c r="AE58" s="329"/>
      <c r="AF58" s="362"/>
      <c r="AG58" s="362"/>
      <c r="AH58" s="371"/>
    </row>
    <row r="59" spans="1:37" ht="35.1" customHeight="1" x14ac:dyDescent="0.35">
      <c r="A59" s="205">
        <f t="shared" si="10"/>
        <v>6</v>
      </c>
      <c r="B59" s="392"/>
      <c r="C59" s="365"/>
      <c r="D59" s="330"/>
      <c r="E59" s="362"/>
      <c r="F59" s="362"/>
      <c r="G59" s="374"/>
      <c r="H59" s="368"/>
      <c r="I59" s="397"/>
      <c r="J59" s="398"/>
      <c r="K59" s="398"/>
      <c r="L59" s="398"/>
      <c r="M59" s="398"/>
      <c r="N59" s="399"/>
      <c r="O59" s="331"/>
      <c r="P59" s="362"/>
      <c r="Q59" s="365"/>
      <c r="R59" s="362"/>
      <c r="S59" s="365"/>
      <c r="T59" s="362"/>
      <c r="U59" s="368"/>
      <c r="V59" s="332">
        <f t="shared" si="9"/>
        <v>0</v>
      </c>
      <c r="W59" s="333"/>
      <c r="X59" s="334" t="str">
        <f t="shared" si="1"/>
        <v/>
      </c>
      <c r="Y59" s="334" t="str">
        <f>IF(V59=1,V59+MAX($Y$5:Y58),"")</f>
        <v/>
      </c>
      <c r="Z59" s="334"/>
      <c r="AA59" s="332" t="str">
        <f>IF(ISTEXT(W59),IF(ISTEXT(Z59),Z59,'Datasource 2'!$M$14),"")</f>
        <v/>
      </c>
      <c r="AB59" s="328"/>
      <c r="AC59" s="328" t="str">
        <f t="shared" si="2"/>
        <v/>
      </c>
      <c r="AD59" s="328" t="str">
        <f t="shared" si="3"/>
        <v/>
      </c>
      <c r="AE59" s="329"/>
      <c r="AF59" s="362"/>
      <c r="AG59" s="362"/>
      <c r="AH59" s="371"/>
    </row>
    <row r="60" spans="1:37" ht="35.1" customHeight="1" x14ac:dyDescent="0.35">
      <c r="A60" s="205">
        <f t="shared" si="10"/>
        <v>6</v>
      </c>
      <c r="B60" s="392"/>
      <c r="C60" s="365"/>
      <c r="D60" s="330"/>
      <c r="E60" s="362"/>
      <c r="F60" s="362"/>
      <c r="G60" s="374"/>
      <c r="H60" s="368"/>
      <c r="I60" s="397"/>
      <c r="J60" s="398"/>
      <c r="K60" s="398"/>
      <c r="L60" s="398"/>
      <c r="M60" s="398"/>
      <c r="N60" s="399"/>
      <c r="O60" s="331"/>
      <c r="P60" s="362"/>
      <c r="Q60" s="365"/>
      <c r="R60" s="362"/>
      <c r="S60" s="365"/>
      <c r="T60" s="362"/>
      <c r="U60" s="368"/>
      <c r="V60" s="332">
        <f t="shared" si="9"/>
        <v>0</v>
      </c>
      <c r="W60" s="333"/>
      <c r="X60" s="334" t="str">
        <f t="shared" si="1"/>
        <v/>
      </c>
      <c r="Y60" s="334" t="str">
        <f>IF(V60=1,V60+MAX($Y$5:Y59),"")</f>
        <v/>
      </c>
      <c r="Z60" s="334"/>
      <c r="AA60" s="332" t="str">
        <f>IF(ISTEXT(W60),IF(ISTEXT(Z60),Z60,'Datasource 2'!$M$14),"")</f>
        <v/>
      </c>
      <c r="AB60" s="328"/>
      <c r="AC60" s="328" t="str">
        <f t="shared" si="2"/>
        <v/>
      </c>
      <c r="AD60" s="328" t="str">
        <f t="shared" si="3"/>
        <v/>
      </c>
      <c r="AE60" s="329"/>
      <c r="AF60" s="362"/>
      <c r="AG60" s="362"/>
      <c r="AH60" s="371"/>
    </row>
    <row r="61" spans="1:37" ht="35.1" customHeight="1" x14ac:dyDescent="0.35">
      <c r="A61" s="205">
        <f t="shared" si="10"/>
        <v>6</v>
      </c>
      <c r="B61" s="392"/>
      <c r="C61" s="365"/>
      <c r="D61" s="330"/>
      <c r="E61" s="362"/>
      <c r="F61" s="362"/>
      <c r="G61" s="374"/>
      <c r="H61" s="368"/>
      <c r="I61" s="397"/>
      <c r="J61" s="398"/>
      <c r="K61" s="398"/>
      <c r="L61" s="398"/>
      <c r="M61" s="398"/>
      <c r="N61" s="399"/>
      <c r="O61" s="331"/>
      <c r="P61" s="362"/>
      <c r="Q61" s="365"/>
      <c r="R61" s="362"/>
      <c r="S61" s="365"/>
      <c r="T61" s="362"/>
      <c r="U61" s="368"/>
      <c r="V61" s="332">
        <f t="shared" si="9"/>
        <v>0</v>
      </c>
      <c r="W61" s="333"/>
      <c r="X61" s="334" t="str">
        <f t="shared" si="1"/>
        <v/>
      </c>
      <c r="Y61" s="334" t="str">
        <f>IF(V61=1,V61+MAX($Y$5:Y60),"")</f>
        <v/>
      </c>
      <c r="Z61" s="334"/>
      <c r="AA61" s="332" t="str">
        <f>IF(ISTEXT(W61),IF(ISTEXT(Z61),Z61,'Datasource 2'!$M$14),"")</f>
        <v/>
      </c>
      <c r="AB61" s="328"/>
      <c r="AC61" s="328" t="str">
        <f t="shared" si="2"/>
        <v/>
      </c>
      <c r="AD61" s="328" t="str">
        <f t="shared" si="3"/>
        <v/>
      </c>
      <c r="AE61" s="329"/>
      <c r="AF61" s="362"/>
      <c r="AG61" s="362"/>
      <c r="AH61" s="371"/>
    </row>
    <row r="62" spans="1:37" ht="35.1" customHeight="1" x14ac:dyDescent="0.35">
      <c r="A62" s="205">
        <f t="shared" si="10"/>
        <v>6</v>
      </c>
      <c r="B62" s="392"/>
      <c r="C62" s="365"/>
      <c r="D62" s="330"/>
      <c r="E62" s="362"/>
      <c r="F62" s="362"/>
      <c r="G62" s="374"/>
      <c r="H62" s="368"/>
      <c r="I62" s="397"/>
      <c r="J62" s="398"/>
      <c r="K62" s="398"/>
      <c r="L62" s="398"/>
      <c r="M62" s="398"/>
      <c r="N62" s="399"/>
      <c r="O62" s="331"/>
      <c r="P62" s="362"/>
      <c r="Q62" s="365"/>
      <c r="R62" s="362"/>
      <c r="S62" s="365"/>
      <c r="T62" s="362"/>
      <c r="U62" s="368"/>
      <c r="V62" s="332">
        <f t="shared" si="9"/>
        <v>0</v>
      </c>
      <c r="W62" s="333"/>
      <c r="X62" s="334" t="str">
        <f t="shared" si="1"/>
        <v/>
      </c>
      <c r="Y62" s="334" t="str">
        <f>IF(V62=1,V62+MAX($Y$5:Y61),"")</f>
        <v/>
      </c>
      <c r="Z62" s="334"/>
      <c r="AA62" s="332" t="str">
        <f>IF(ISTEXT(W62),IF(ISTEXT(Z62),Z62,'Datasource 2'!$M$14),"")</f>
        <v/>
      </c>
      <c r="AB62" s="328"/>
      <c r="AC62" s="328" t="str">
        <f t="shared" si="2"/>
        <v/>
      </c>
      <c r="AD62" s="328" t="str">
        <f t="shared" si="3"/>
        <v/>
      </c>
      <c r="AE62" s="329"/>
      <c r="AF62" s="362"/>
      <c r="AG62" s="362"/>
      <c r="AH62" s="371"/>
    </row>
    <row r="63" spans="1:37" ht="35.1" customHeight="1" x14ac:dyDescent="0.35">
      <c r="A63" s="205">
        <f t="shared" si="10"/>
        <v>6</v>
      </c>
      <c r="B63" s="392"/>
      <c r="C63" s="365"/>
      <c r="D63" s="330"/>
      <c r="E63" s="362"/>
      <c r="F63" s="362"/>
      <c r="G63" s="374"/>
      <c r="H63" s="368"/>
      <c r="I63" s="397"/>
      <c r="J63" s="398"/>
      <c r="K63" s="398"/>
      <c r="L63" s="398"/>
      <c r="M63" s="398"/>
      <c r="N63" s="399"/>
      <c r="O63" s="331"/>
      <c r="P63" s="362"/>
      <c r="Q63" s="365"/>
      <c r="R63" s="362"/>
      <c r="S63" s="365"/>
      <c r="T63" s="362"/>
      <c r="U63" s="368"/>
      <c r="V63" s="332">
        <f t="shared" si="9"/>
        <v>0</v>
      </c>
      <c r="W63" s="333"/>
      <c r="X63" s="334" t="str">
        <f t="shared" si="1"/>
        <v/>
      </c>
      <c r="Y63" s="334" t="str">
        <f>IF(V63=1,V63+MAX($Y$5:Y62),"")</f>
        <v/>
      </c>
      <c r="Z63" s="334"/>
      <c r="AA63" s="332" t="str">
        <f>IF(ISTEXT(W63),IF(ISTEXT(Z63),Z63,'Datasource 2'!$M$14),"")</f>
        <v/>
      </c>
      <c r="AB63" s="328"/>
      <c r="AC63" s="328" t="str">
        <f t="shared" si="2"/>
        <v/>
      </c>
      <c r="AD63" s="328" t="str">
        <f t="shared" si="3"/>
        <v/>
      </c>
      <c r="AE63" s="329"/>
      <c r="AF63" s="362"/>
      <c r="AG63" s="362"/>
      <c r="AH63" s="371"/>
    </row>
    <row r="64" spans="1:37" ht="35.1" customHeight="1" thickBot="1" x14ac:dyDescent="0.4">
      <c r="A64" s="205">
        <f t="shared" si="10"/>
        <v>6</v>
      </c>
      <c r="B64" s="393"/>
      <c r="C64" s="366"/>
      <c r="D64" s="335"/>
      <c r="E64" s="363"/>
      <c r="F64" s="363"/>
      <c r="G64" s="375"/>
      <c r="H64" s="369"/>
      <c r="I64" s="400"/>
      <c r="J64" s="401"/>
      <c r="K64" s="401"/>
      <c r="L64" s="401"/>
      <c r="M64" s="401"/>
      <c r="N64" s="402"/>
      <c r="O64" s="336"/>
      <c r="P64" s="363"/>
      <c r="Q64" s="366"/>
      <c r="R64" s="363"/>
      <c r="S64" s="366"/>
      <c r="T64" s="363"/>
      <c r="U64" s="369"/>
      <c r="V64" s="337">
        <f t="shared" si="9"/>
        <v>0</v>
      </c>
      <c r="W64" s="338"/>
      <c r="X64" s="339" t="str">
        <f t="shared" si="1"/>
        <v/>
      </c>
      <c r="Y64" s="339" t="str">
        <f>IF(V64=1,V64+MAX($Y$5:Y63),"")</f>
        <v/>
      </c>
      <c r="Z64" s="339"/>
      <c r="AA64" s="337" t="str">
        <f>IF(ISTEXT(W64),IF(ISTEXT(Z64),Z64,'Datasource 2'!$M$14),"")</f>
        <v/>
      </c>
      <c r="AB64" s="339"/>
      <c r="AC64" s="328" t="str">
        <f t="shared" si="2"/>
        <v/>
      </c>
      <c r="AD64" s="328" t="str">
        <f t="shared" si="3"/>
        <v/>
      </c>
      <c r="AE64" s="340"/>
      <c r="AF64" s="363"/>
      <c r="AG64" s="363"/>
      <c r="AH64" s="372"/>
    </row>
    <row r="65" spans="1:34" ht="35.1" customHeight="1" x14ac:dyDescent="0.35">
      <c r="A65" s="205">
        <v>7</v>
      </c>
      <c r="B65" s="412">
        <v>7</v>
      </c>
      <c r="C65" s="382"/>
      <c r="D65" s="257"/>
      <c r="E65" s="379"/>
      <c r="F65" s="379"/>
      <c r="G65" s="376"/>
      <c r="H65" s="385" t="e">
        <f>IF(VLOOKUP(G65,Trusselvurdering!$B$3:$P$28,15,FALSE)=0,VLOOKUP(G65,Trusselvurdering!$B$3:$P$28,14,FALSE),VLOOKUP(G65,Trusselvurdering!$B$3:$P$28,15,FALSE))</f>
        <v>#N/A</v>
      </c>
      <c r="I65" s="403"/>
      <c r="J65" s="404"/>
      <c r="K65" s="404"/>
      <c r="L65" s="404"/>
      <c r="M65" s="404"/>
      <c r="N65" s="405"/>
      <c r="O65" s="258"/>
      <c r="P65" s="379"/>
      <c r="Q65" s="382"/>
      <c r="R65" s="379"/>
      <c r="S65" s="382"/>
      <c r="T65" s="379"/>
      <c r="U65" s="385" t="e">
        <f>VLOOKUP(Risikovurdering_data!C63,Akseptkriterier!$C$33:$H$37,MATCH(Risikovurdering_data!D63,Akseptkriterier!$D$32:$H$32,0)+1,FALSE)</f>
        <v>#N/A</v>
      </c>
      <c r="V65" s="259">
        <f t="shared" ref="V65:V74" si="11">IF(W65="",0,1)</f>
        <v>0</v>
      </c>
      <c r="W65" s="260"/>
      <c r="X65" s="261" t="str">
        <f t="shared" si="1"/>
        <v/>
      </c>
      <c r="Y65" s="261" t="str">
        <f>IF(V65=1,V65+MAX($Y$5:Y64),"")</f>
        <v/>
      </c>
      <c r="Z65" s="261"/>
      <c r="AA65" s="259" t="str">
        <f>IF(ISTEXT(W65),IF(ISTEXT(Z65),Z65,'Datasource 2'!$M$14),"")</f>
        <v/>
      </c>
      <c r="AB65" s="261"/>
      <c r="AC65" s="261" t="str">
        <f t="shared" si="2"/>
        <v/>
      </c>
      <c r="AD65" s="261" t="str">
        <f t="shared" si="3"/>
        <v/>
      </c>
      <c r="AE65" s="262"/>
      <c r="AF65" s="379"/>
      <c r="AG65" s="379"/>
      <c r="AH65" s="388" t="e">
        <f>VLOOKUP(Risikovurdering_data!F63,Akseptkriterier!$C$33:$H$37,MATCH(Risikovurdering_data!G63,Akseptkriterier!$D$32:$H$32,0)+1,FALSE)</f>
        <v>#N/A</v>
      </c>
    </row>
    <row r="66" spans="1:34" ht="35.1" customHeight="1" x14ac:dyDescent="0.35">
      <c r="A66" s="205">
        <f>$A65</f>
        <v>7</v>
      </c>
      <c r="B66" s="413"/>
      <c r="C66" s="383"/>
      <c r="D66" s="263"/>
      <c r="E66" s="380"/>
      <c r="F66" s="380"/>
      <c r="G66" s="377"/>
      <c r="H66" s="386"/>
      <c r="I66" s="406"/>
      <c r="J66" s="407"/>
      <c r="K66" s="407"/>
      <c r="L66" s="407"/>
      <c r="M66" s="407"/>
      <c r="N66" s="408"/>
      <c r="O66" s="264"/>
      <c r="P66" s="380"/>
      <c r="Q66" s="383"/>
      <c r="R66" s="380"/>
      <c r="S66" s="383"/>
      <c r="T66" s="380"/>
      <c r="U66" s="386"/>
      <c r="V66" s="265">
        <f t="shared" si="11"/>
        <v>0</v>
      </c>
      <c r="W66" s="266"/>
      <c r="X66" s="267" t="str">
        <f t="shared" si="1"/>
        <v/>
      </c>
      <c r="Y66" s="267" t="str">
        <f>IF(V66=1,V66+MAX($Y$5:Y65),"")</f>
        <v/>
      </c>
      <c r="Z66" s="267"/>
      <c r="AA66" s="265" t="str">
        <f>IF(ISTEXT(W66),IF(ISTEXT(Z66),Z66,'Datasource 2'!$M$14),"")</f>
        <v/>
      </c>
      <c r="AB66" s="261"/>
      <c r="AC66" s="261" t="str">
        <f t="shared" si="2"/>
        <v/>
      </c>
      <c r="AD66" s="261" t="str">
        <f t="shared" si="3"/>
        <v/>
      </c>
      <c r="AE66" s="262"/>
      <c r="AF66" s="380"/>
      <c r="AG66" s="380"/>
      <c r="AH66" s="389"/>
    </row>
    <row r="67" spans="1:34" ht="35.1" customHeight="1" x14ac:dyDescent="0.35">
      <c r="A67" s="205">
        <f t="shared" ref="A67:A74" si="12">$A66</f>
        <v>7</v>
      </c>
      <c r="B67" s="413"/>
      <c r="C67" s="383"/>
      <c r="D67" s="263"/>
      <c r="E67" s="380"/>
      <c r="F67" s="380"/>
      <c r="G67" s="377"/>
      <c r="H67" s="386"/>
      <c r="I67" s="406"/>
      <c r="J67" s="407"/>
      <c r="K67" s="407"/>
      <c r="L67" s="407"/>
      <c r="M67" s="407"/>
      <c r="N67" s="408"/>
      <c r="O67" s="264"/>
      <c r="P67" s="380"/>
      <c r="Q67" s="383"/>
      <c r="R67" s="380"/>
      <c r="S67" s="383"/>
      <c r="T67" s="380"/>
      <c r="U67" s="386"/>
      <c r="V67" s="265">
        <f t="shared" si="11"/>
        <v>0</v>
      </c>
      <c r="W67" s="266"/>
      <c r="X67" s="267" t="str">
        <f t="shared" si="1"/>
        <v/>
      </c>
      <c r="Y67" s="267" t="str">
        <f>IF(V67=1,V67+MAX($Y$5:Y66),"")</f>
        <v/>
      </c>
      <c r="Z67" s="267"/>
      <c r="AA67" s="265" t="str">
        <f>IF(ISTEXT(W67),IF(ISTEXT(Z67),Z67,'Datasource 2'!$M$14),"")</f>
        <v/>
      </c>
      <c r="AB67" s="261"/>
      <c r="AC67" s="261" t="str">
        <f t="shared" si="2"/>
        <v/>
      </c>
      <c r="AD67" s="261" t="str">
        <f t="shared" si="3"/>
        <v/>
      </c>
      <c r="AE67" s="262"/>
      <c r="AF67" s="380"/>
      <c r="AG67" s="380"/>
      <c r="AH67" s="389"/>
    </row>
    <row r="68" spans="1:34" ht="35.1" customHeight="1" x14ac:dyDescent="0.35">
      <c r="A68" s="205">
        <f t="shared" si="12"/>
        <v>7</v>
      </c>
      <c r="B68" s="413"/>
      <c r="C68" s="383"/>
      <c r="D68" s="263"/>
      <c r="E68" s="380"/>
      <c r="F68" s="380"/>
      <c r="G68" s="377"/>
      <c r="H68" s="386"/>
      <c r="I68" s="406"/>
      <c r="J68" s="407"/>
      <c r="K68" s="407"/>
      <c r="L68" s="407"/>
      <c r="M68" s="407"/>
      <c r="N68" s="408"/>
      <c r="O68" s="264"/>
      <c r="P68" s="380"/>
      <c r="Q68" s="383"/>
      <c r="R68" s="380"/>
      <c r="S68" s="383"/>
      <c r="T68" s="380"/>
      <c r="U68" s="386"/>
      <c r="V68" s="265">
        <f t="shared" si="11"/>
        <v>0</v>
      </c>
      <c r="W68" s="266"/>
      <c r="X68" s="267" t="str">
        <f t="shared" si="1"/>
        <v/>
      </c>
      <c r="Y68" s="267" t="str">
        <f>IF(V68=1,V68+MAX($Y$5:Y67),"")</f>
        <v/>
      </c>
      <c r="Z68" s="267"/>
      <c r="AA68" s="265" t="str">
        <f>IF(ISTEXT(W68),IF(ISTEXT(Z68),Z68,'Datasource 2'!$M$14),"")</f>
        <v/>
      </c>
      <c r="AB68" s="261"/>
      <c r="AC68" s="261" t="str">
        <f t="shared" si="2"/>
        <v/>
      </c>
      <c r="AD68" s="261" t="str">
        <f t="shared" si="3"/>
        <v/>
      </c>
      <c r="AE68" s="262"/>
      <c r="AF68" s="380"/>
      <c r="AG68" s="380"/>
      <c r="AH68" s="389"/>
    </row>
    <row r="69" spans="1:34" ht="35.1" customHeight="1" x14ac:dyDescent="0.35">
      <c r="A69" s="205">
        <f t="shared" si="12"/>
        <v>7</v>
      </c>
      <c r="B69" s="413"/>
      <c r="C69" s="383"/>
      <c r="D69" s="263"/>
      <c r="E69" s="380"/>
      <c r="F69" s="380"/>
      <c r="G69" s="377"/>
      <c r="H69" s="386"/>
      <c r="I69" s="406"/>
      <c r="J69" s="407"/>
      <c r="K69" s="407"/>
      <c r="L69" s="407"/>
      <c r="M69" s="407"/>
      <c r="N69" s="408"/>
      <c r="O69" s="264"/>
      <c r="P69" s="380"/>
      <c r="Q69" s="383"/>
      <c r="R69" s="380"/>
      <c r="S69" s="383"/>
      <c r="T69" s="380"/>
      <c r="U69" s="386"/>
      <c r="V69" s="265">
        <f t="shared" si="11"/>
        <v>0</v>
      </c>
      <c r="W69" s="266"/>
      <c r="X69" s="267" t="str">
        <f t="shared" ref="X69:X132" si="13">IF(W69="","",A69)</f>
        <v/>
      </c>
      <c r="Y69" s="267" t="str">
        <f>IF(V69=1,V69+MAX($Y$5:Y68),"")</f>
        <v/>
      </c>
      <c r="Z69" s="267"/>
      <c r="AA69" s="265" t="str">
        <f>IF(ISTEXT(W69),IF(ISTEXT(Z69),Z69,'Datasource 2'!$M$14),"")</f>
        <v/>
      </c>
      <c r="AB69" s="261"/>
      <c r="AC69" s="261" t="str">
        <f t="shared" si="2"/>
        <v/>
      </c>
      <c r="AD69" s="261" t="str">
        <f t="shared" si="3"/>
        <v/>
      </c>
      <c r="AE69" s="262"/>
      <c r="AF69" s="380"/>
      <c r="AG69" s="380"/>
      <c r="AH69" s="389"/>
    </row>
    <row r="70" spans="1:34" ht="35.1" customHeight="1" x14ac:dyDescent="0.35">
      <c r="A70" s="205">
        <f t="shared" si="12"/>
        <v>7</v>
      </c>
      <c r="B70" s="413"/>
      <c r="C70" s="383"/>
      <c r="D70" s="263"/>
      <c r="E70" s="380"/>
      <c r="F70" s="380"/>
      <c r="G70" s="377"/>
      <c r="H70" s="386"/>
      <c r="I70" s="406"/>
      <c r="J70" s="407"/>
      <c r="K70" s="407"/>
      <c r="L70" s="407"/>
      <c r="M70" s="407"/>
      <c r="N70" s="408"/>
      <c r="O70" s="264"/>
      <c r="P70" s="380"/>
      <c r="Q70" s="383"/>
      <c r="R70" s="380"/>
      <c r="S70" s="383"/>
      <c r="T70" s="380"/>
      <c r="U70" s="386"/>
      <c r="V70" s="265">
        <f t="shared" si="11"/>
        <v>0</v>
      </c>
      <c r="W70" s="266"/>
      <c r="X70" s="267" t="str">
        <f t="shared" si="13"/>
        <v/>
      </c>
      <c r="Y70" s="267" t="str">
        <f>IF(V70=1,V70+MAX($Y$5:Y69),"")</f>
        <v/>
      </c>
      <c r="Z70" s="267"/>
      <c r="AA70" s="265" t="str">
        <f>IF(ISTEXT(W70),IF(ISTEXT(Z70),Z70,'Datasource 2'!$M$14),"")</f>
        <v/>
      </c>
      <c r="AB70" s="261"/>
      <c r="AC70" s="261" t="str">
        <f t="shared" ref="AC70:AC133" si="14">IF(ISTEXT(W70),IF(ISTEXT(AB70),AB70,"Ikke angitt"),"")</f>
        <v/>
      </c>
      <c r="AD70" s="261" t="str">
        <f t="shared" ref="AD70:AD133" si="15">IF(ISTEXT(W70),IF(ISBLANK(AE70),"Ikke angitt", AE70),"")</f>
        <v/>
      </c>
      <c r="AE70" s="262"/>
      <c r="AF70" s="380"/>
      <c r="AG70" s="380"/>
      <c r="AH70" s="389"/>
    </row>
    <row r="71" spans="1:34" ht="35.1" customHeight="1" x14ac:dyDescent="0.35">
      <c r="A71" s="205">
        <f t="shared" si="12"/>
        <v>7</v>
      </c>
      <c r="B71" s="413"/>
      <c r="C71" s="383"/>
      <c r="D71" s="263"/>
      <c r="E71" s="380"/>
      <c r="F71" s="380"/>
      <c r="G71" s="377"/>
      <c r="H71" s="386"/>
      <c r="I71" s="406"/>
      <c r="J71" s="407"/>
      <c r="K71" s="407"/>
      <c r="L71" s="407"/>
      <c r="M71" s="407"/>
      <c r="N71" s="408"/>
      <c r="O71" s="264"/>
      <c r="P71" s="380"/>
      <c r="Q71" s="383"/>
      <c r="R71" s="380"/>
      <c r="S71" s="383"/>
      <c r="T71" s="380"/>
      <c r="U71" s="386"/>
      <c r="V71" s="265">
        <f t="shared" si="11"/>
        <v>0</v>
      </c>
      <c r="W71" s="266"/>
      <c r="X71" s="267" t="str">
        <f t="shared" si="13"/>
        <v/>
      </c>
      <c r="Y71" s="267" t="str">
        <f>IF(V71=1,V71+MAX($Y$5:Y70),"")</f>
        <v/>
      </c>
      <c r="Z71" s="267"/>
      <c r="AA71" s="265" t="str">
        <f>IF(ISTEXT(W71),IF(ISTEXT(Z71),Z71,'Datasource 2'!$M$14),"")</f>
        <v/>
      </c>
      <c r="AB71" s="261"/>
      <c r="AC71" s="261" t="str">
        <f t="shared" si="14"/>
        <v/>
      </c>
      <c r="AD71" s="261" t="str">
        <f t="shared" si="15"/>
        <v/>
      </c>
      <c r="AE71" s="262"/>
      <c r="AF71" s="380"/>
      <c r="AG71" s="380"/>
      <c r="AH71" s="389"/>
    </row>
    <row r="72" spans="1:34" ht="35.1" customHeight="1" x14ac:dyDescent="0.35">
      <c r="A72" s="205">
        <f t="shared" si="12"/>
        <v>7</v>
      </c>
      <c r="B72" s="413"/>
      <c r="C72" s="383"/>
      <c r="D72" s="263"/>
      <c r="E72" s="380"/>
      <c r="F72" s="380"/>
      <c r="G72" s="377"/>
      <c r="H72" s="386"/>
      <c r="I72" s="406"/>
      <c r="J72" s="407"/>
      <c r="K72" s="407"/>
      <c r="L72" s="407"/>
      <c r="M72" s="407"/>
      <c r="N72" s="408"/>
      <c r="O72" s="264"/>
      <c r="P72" s="380"/>
      <c r="Q72" s="383"/>
      <c r="R72" s="380"/>
      <c r="S72" s="383"/>
      <c r="T72" s="380"/>
      <c r="U72" s="386"/>
      <c r="V72" s="265">
        <f t="shared" si="11"/>
        <v>0</v>
      </c>
      <c r="W72" s="266"/>
      <c r="X72" s="267" t="str">
        <f t="shared" si="13"/>
        <v/>
      </c>
      <c r="Y72" s="267" t="str">
        <f>IF(V72=1,V72+MAX($Y$5:Y71),"")</f>
        <v/>
      </c>
      <c r="Z72" s="267"/>
      <c r="AA72" s="265" t="str">
        <f>IF(ISTEXT(W72),IF(ISTEXT(Z72),Z72,'Datasource 2'!$M$14),"")</f>
        <v/>
      </c>
      <c r="AB72" s="261"/>
      <c r="AC72" s="261" t="str">
        <f t="shared" si="14"/>
        <v/>
      </c>
      <c r="AD72" s="261" t="str">
        <f t="shared" si="15"/>
        <v/>
      </c>
      <c r="AE72" s="262"/>
      <c r="AF72" s="380"/>
      <c r="AG72" s="380"/>
      <c r="AH72" s="389"/>
    </row>
    <row r="73" spans="1:34" ht="35.1" customHeight="1" x14ac:dyDescent="0.35">
      <c r="A73" s="205">
        <f t="shared" si="12"/>
        <v>7</v>
      </c>
      <c r="B73" s="413"/>
      <c r="C73" s="383"/>
      <c r="D73" s="263"/>
      <c r="E73" s="380"/>
      <c r="F73" s="380"/>
      <c r="G73" s="377"/>
      <c r="H73" s="386"/>
      <c r="I73" s="406"/>
      <c r="J73" s="407"/>
      <c r="K73" s="407"/>
      <c r="L73" s="407"/>
      <c r="M73" s="407"/>
      <c r="N73" s="408"/>
      <c r="O73" s="264"/>
      <c r="P73" s="380"/>
      <c r="Q73" s="383"/>
      <c r="R73" s="380"/>
      <c r="S73" s="383"/>
      <c r="T73" s="380"/>
      <c r="U73" s="386"/>
      <c r="V73" s="265">
        <f t="shared" si="11"/>
        <v>0</v>
      </c>
      <c r="W73" s="266"/>
      <c r="X73" s="267" t="str">
        <f t="shared" si="13"/>
        <v/>
      </c>
      <c r="Y73" s="267" t="str">
        <f>IF(V73=1,V73+MAX($Y$5:Y72),"")</f>
        <v/>
      </c>
      <c r="Z73" s="267"/>
      <c r="AA73" s="265" t="str">
        <f>IF(ISTEXT(W73),IF(ISTEXT(Z73),Z73,'Datasource 2'!$M$14),"")</f>
        <v/>
      </c>
      <c r="AB73" s="261"/>
      <c r="AC73" s="261" t="str">
        <f t="shared" si="14"/>
        <v/>
      </c>
      <c r="AD73" s="261" t="str">
        <f t="shared" si="15"/>
        <v/>
      </c>
      <c r="AE73" s="262"/>
      <c r="AF73" s="380"/>
      <c r="AG73" s="380"/>
      <c r="AH73" s="389"/>
    </row>
    <row r="74" spans="1:34" ht="35.1" customHeight="1" thickBot="1" x14ac:dyDescent="0.4">
      <c r="A74" s="205">
        <f t="shared" si="12"/>
        <v>7</v>
      </c>
      <c r="B74" s="414"/>
      <c r="C74" s="384"/>
      <c r="D74" s="268"/>
      <c r="E74" s="381"/>
      <c r="F74" s="381"/>
      <c r="G74" s="378"/>
      <c r="H74" s="387"/>
      <c r="I74" s="409"/>
      <c r="J74" s="410"/>
      <c r="K74" s="410"/>
      <c r="L74" s="410"/>
      <c r="M74" s="410"/>
      <c r="N74" s="411"/>
      <c r="O74" s="269"/>
      <c r="P74" s="381"/>
      <c r="Q74" s="384"/>
      <c r="R74" s="381"/>
      <c r="S74" s="384"/>
      <c r="T74" s="381"/>
      <c r="U74" s="387"/>
      <c r="V74" s="270">
        <f t="shared" si="11"/>
        <v>0</v>
      </c>
      <c r="W74" s="271"/>
      <c r="X74" s="272" t="str">
        <f t="shared" si="13"/>
        <v/>
      </c>
      <c r="Y74" s="272" t="str">
        <f>IF(V74=1,V74+MAX($Y$5:Y73),"")</f>
        <v/>
      </c>
      <c r="Z74" s="272"/>
      <c r="AA74" s="270" t="str">
        <f>IF(ISTEXT(W74),IF(ISTEXT(Z74),Z74,'Datasource 2'!$M$14),"")</f>
        <v/>
      </c>
      <c r="AB74" s="273"/>
      <c r="AC74" s="261" t="str">
        <f t="shared" si="14"/>
        <v/>
      </c>
      <c r="AD74" s="261" t="str">
        <f t="shared" si="15"/>
        <v/>
      </c>
      <c r="AE74" s="274"/>
      <c r="AF74" s="381"/>
      <c r="AG74" s="381"/>
      <c r="AH74" s="390"/>
    </row>
    <row r="75" spans="1:34" ht="35.1" customHeight="1" x14ac:dyDescent="0.35">
      <c r="A75" s="205">
        <v>8</v>
      </c>
      <c r="B75" s="391">
        <v>8</v>
      </c>
      <c r="C75" s="364"/>
      <c r="D75" s="323"/>
      <c r="E75" s="361"/>
      <c r="F75" s="361"/>
      <c r="G75" s="373"/>
      <c r="H75" s="367" t="e">
        <f>IF(VLOOKUP(G75,Trusselvurdering!$B$3:$P$28,15,FALSE)=0,VLOOKUP(G75,Trusselvurdering!$B$3:$P$28,14,FALSE),VLOOKUP(G75,Trusselvurdering!$B$3:$P$28,15,FALSE))</f>
        <v>#N/A</v>
      </c>
      <c r="I75" s="394"/>
      <c r="J75" s="395"/>
      <c r="K75" s="395"/>
      <c r="L75" s="395"/>
      <c r="M75" s="395"/>
      <c r="N75" s="396"/>
      <c r="O75" s="324"/>
      <c r="P75" s="361"/>
      <c r="Q75" s="364"/>
      <c r="R75" s="361"/>
      <c r="S75" s="364"/>
      <c r="T75" s="361"/>
      <c r="U75" s="367" t="e">
        <f>VLOOKUP(Risikovurdering_data!C73,Akseptkriterier!$C$33:$H$37,MATCH(Risikovurdering_data!D73,Akseptkriterier!$D$32:$H$32,0)+1,FALSE)</f>
        <v>#N/A</v>
      </c>
      <c r="V75" s="325">
        <f t="shared" ref="V75:V84" si="16">IF(W75="",0,1)</f>
        <v>0</v>
      </c>
      <c r="W75" s="326"/>
      <c r="X75" s="327" t="str">
        <f t="shared" si="13"/>
        <v/>
      </c>
      <c r="Y75" s="327" t="str">
        <f>IF(V75=1,V75+MAX($Y$5:Y74),"")</f>
        <v/>
      </c>
      <c r="Z75" s="327"/>
      <c r="AA75" s="325" t="str">
        <f>IF(ISTEXT(W75),IF(ISTEXT(Z75),Z75,'Datasource 2'!$M$14),"")</f>
        <v/>
      </c>
      <c r="AB75" s="328"/>
      <c r="AC75" s="328" t="str">
        <f t="shared" si="14"/>
        <v/>
      </c>
      <c r="AD75" s="328" t="str">
        <f t="shared" si="15"/>
        <v/>
      </c>
      <c r="AE75" s="329"/>
      <c r="AF75" s="361"/>
      <c r="AG75" s="361"/>
      <c r="AH75" s="370" t="e">
        <f>VLOOKUP(Risikovurdering_data!F73,Akseptkriterier!$C$33:$H$37,MATCH(Risikovurdering_data!G73,Akseptkriterier!$D$32:$H$32,0)+1,FALSE)</f>
        <v>#N/A</v>
      </c>
    </row>
    <row r="76" spans="1:34" ht="35.1" customHeight="1" x14ac:dyDescent="0.35">
      <c r="A76" s="205">
        <f>$A75</f>
        <v>8</v>
      </c>
      <c r="B76" s="392"/>
      <c r="C76" s="365"/>
      <c r="D76" s="330"/>
      <c r="E76" s="362"/>
      <c r="F76" s="362"/>
      <c r="G76" s="374"/>
      <c r="H76" s="368"/>
      <c r="I76" s="397"/>
      <c r="J76" s="398"/>
      <c r="K76" s="398"/>
      <c r="L76" s="398"/>
      <c r="M76" s="398"/>
      <c r="N76" s="399"/>
      <c r="O76" s="331"/>
      <c r="P76" s="362"/>
      <c r="Q76" s="365"/>
      <c r="R76" s="362"/>
      <c r="S76" s="365"/>
      <c r="T76" s="362"/>
      <c r="U76" s="368"/>
      <c r="V76" s="332">
        <f t="shared" si="16"/>
        <v>0</v>
      </c>
      <c r="W76" s="333"/>
      <c r="X76" s="334" t="str">
        <f t="shared" si="13"/>
        <v/>
      </c>
      <c r="Y76" s="334" t="str">
        <f>IF(V76=1,V76+MAX($Y$5:Y75),"")</f>
        <v/>
      </c>
      <c r="Z76" s="334"/>
      <c r="AA76" s="332" t="str">
        <f>IF(ISTEXT(W76),IF(ISTEXT(Z76),Z76,'Datasource 2'!$M$14),"")</f>
        <v/>
      </c>
      <c r="AB76" s="328"/>
      <c r="AC76" s="328" t="str">
        <f t="shared" si="14"/>
        <v/>
      </c>
      <c r="AD76" s="328" t="str">
        <f t="shared" si="15"/>
        <v/>
      </c>
      <c r="AE76" s="329"/>
      <c r="AF76" s="362"/>
      <c r="AG76" s="362"/>
      <c r="AH76" s="371"/>
    </row>
    <row r="77" spans="1:34" ht="35.1" customHeight="1" x14ac:dyDescent="0.35">
      <c r="A77" s="205">
        <f t="shared" ref="A77:A84" si="17">$A76</f>
        <v>8</v>
      </c>
      <c r="B77" s="392"/>
      <c r="C77" s="365"/>
      <c r="D77" s="330"/>
      <c r="E77" s="362"/>
      <c r="F77" s="362"/>
      <c r="G77" s="374"/>
      <c r="H77" s="368"/>
      <c r="I77" s="397"/>
      <c r="J77" s="398"/>
      <c r="K77" s="398"/>
      <c r="L77" s="398"/>
      <c r="M77" s="398"/>
      <c r="N77" s="399"/>
      <c r="O77" s="331"/>
      <c r="P77" s="362"/>
      <c r="Q77" s="365"/>
      <c r="R77" s="362"/>
      <c r="S77" s="365"/>
      <c r="T77" s="362"/>
      <c r="U77" s="368"/>
      <c r="V77" s="332">
        <f t="shared" si="16"/>
        <v>0</v>
      </c>
      <c r="W77" s="333"/>
      <c r="X77" s="334" t="str">
        <f t="shared" si="13"/>
        <v/>
      </c>
      <c r="Y77" s="334" t="str">
        <f>IF(V77=1,V77+MAX($Y$5:Y76),"")</f>
        <v/>
      </c>
      <c r="Z77" s="334"/>
      <c r="AA77" s="332" t="str">
        <f>IF(ISTEXT(W77),IF(ISTEXT(Z77),Z77,'Datasource 2'!$M$14),"")</f>
        <v/>
      </c>
      <c r="AB77" s="328"/>
      <c r="AC77" s="328" t="str">
        <f t="shared" si="14"/>
        <v/>
      </c>
      <c r="AD77" s="328" t="str">
        <f t="shared" si="15"/>
        <v/>
      </c>
      <c r="AE77" s="329"/>
      <c r="AF77" s="362"/>
      <c r="AG77" s="362"/>
      <c r="AH77" s="371"/>
    </row>
    <row r="78" spans="1:34" ht="35.1" customHeight="1" x14ac:dyDescent="0.35">
      <c r="A78" s="205">
        <f t="shared" si="17"/>
        <v>8</v>
      </c>
      <c r="B78" s="392"/>
      <c r="C78" s="365"/>
      <c r="D78" s="330"/>
      <c r="E78" s="362"/>
      <c r="F78" s="362"/>
      <c r="G78" s="374"/>
      <c r="H78" s="368"/>
      <c r="I78" s="397"/>
      <c r="J78" s="398"/>
      <c r="K78" s="398"/>
      <c r="L78" s="398"/>
      <c r="M78" s="398"/>
      <c r="N78" s="399"/>
      <c r="O78" s="331"/>
      <c r="P78" s="362"/>
      <c r="Q78" s="365"/>
      <c r="R78" s="362"/>
      <c r="S78" s="365"/>
      <c r="T78" s="362"/>
      <c r="U78" s="368"/>
      <c r="V78" s="332">
        <f t="shared" si="16"/>
        <v>0</v>
      </c>
      <c r="W78" s="333"/>
      <c r="X78" s="334" t="str">
        <f t="shared" si="13"/>
        <v/>
      </c>
      <c r="Y78" s="334" t="str">
        <f>IF(V78=1,V78+MAX($Y$5:Y77),"")</f>
        <v/>
      </c>
      <c r="Z78" s="334"/>
      <c r="AA78" s="332" t="str">
        <f>IF(ISTEXT(W78),IF(ISTEXT(Z78),Z78,'Datasource 2'!$M$14),"")</f>
        <v/>
      </c>
      <c r="AB78" s="328"/>
      <c r="AC78" s="328" t="str">
        <f t="shared" si="14"/>
        <v/>
      </c>
      <c r="AD78" s="328" t="str">
        <f t="shared" si="15"/>
        <v/>
      </c>
      <c r="AE78" s="329"/>
      <c r="AF78" s="362"/>
      <c r="AG78" s="362"/>
      <c r="AH78" s="371"/>
    </row>
    <row r="79" spans="1:34" ht="35.1" customHeight="1" x14ac:dyDescent="0.35">
      <c r="A79" s="205">
        <f t="shared" si="17"/>
        <v>8</v>
      </c>
      <c r="B79" s="392"/>
      <c r="C79" s="365"/>
      <c r="D79" s="330"/>
      <c r="E79" s="362"/>
      <c r="F79" s="362"/>
      <c r="G79" s="374"/>
      <c r="H79" s="368"/>
      <c r="I79" s="397"/>
      <c r="J79" s="398"/>
      <c r="K79" s="398"/>
      <c r="L79" s="398"/>
      <c r="M79" s="398"/>
      <c r="N79" s="399"/>
      <c r="O79" s="331"/>
      <c r="P79" s="362"/>
      <c r="Q79" s="365"/>
      <c r="R79" s="362"/>
      <c r="S79" s="365"/>
      <c r="T79" s="362"/>
      <c r="U79" s="368"/>
      <c r="V79" s="332">
        <f t="shared" si="16"/>
        <v>0</v>
      </c>
      <c r="W79" s="333"/>
      <c r="X79" s="334" t="str">
        <f t="shared" si="13"/>
        <v/>
      </c>
      <c r="Y79" s="334" t="str">
        <f>IF(V79=1,V79+MAX($Y$5:Y78),"")</f>
        <v/>
      </c>
      <c r="Z79" s="334"/>
      <c r="AA79" s="332" t="str">
        <f>IF(ISTEXT(W79),IF(ISTEXT(Z79),Z79,'Datasource 2'!$M$14),"")</f>
        <v/>
      </c>
      <c r="AB79" s="328"/>
      <c r="AC79" s="328" t="str">
        <f t="shared" si="14"/>
        <v/>
      </c>
      <c r="AD79" s="328" t="str">
        <f t="shared" si="15"/>
        <v/>
      </c>
      <c r="AE79" s="329"/>
      <c r="AF79" s="362"/>
      <c r="AG79" s="362"/>
      <c r="AH79" s="371"/>
    </row>
    <row r="80" spans="1:34" ht="35.1" customHeight="1" x14ac:dyDescent="0.35">
      <c r="A80" s="205">
        <f t="shared" si="17"/>
        <v>8</v>
      </c>
      <c r="B80" s="392"/>
      <c r="C80" s="365"/>
      <c r="D80" s="330"/>
      <c r="E80" s="362"/>
      <c r="F80" s="362"/>
      <c r="G80" s="374"/>
      <c r="H80" s="368"/>
      <c r="I80" s="397"/>
      <c r="J80" s="398"/>
      <c r="K80" s="398"/>
      <c r="L80" s="398"/>
      <c r="M80" s="398"/>
      <c r="N80" s="399"/>
      <c r="O80" s="331"/>
      <c r="P80" s="362"/>
      <c r="Q80" s="365"/>
      <c r="R80" s="362"/>
      <c r="S80" s="365"/>
      <c r="T80" s="362"/>
      <c r="U80" s="368"/>
      <c r="V80" s="332">
        <f t="shared" si="16"/>
        <v>0</v>
      </c>
      <c r="W80" s="333"/>
      <c r="X80" s="334" t="str">
        <f t="shared" si="13"/>
        <v/>
      </c>
      <c r="Y80" s="334" t="str">
        <f>IF(V80=1,V80+MAX($Y$5:Y79),"")</f>
        <v/>
      </c>
      <c r="Z80" s="334"/>
      <c r="AA80" s="332" t="str">
        <f>IF(ISTEXT(W80),IF(ISTEXT(Z80),Z80,'Datasource 2'!$M$14),"")</f>
        <v/>
      </c>
      <c r="AB80" s="328"/>
      <c r="AC80" s="328" t="str">
        <f t="shared" si="14"/>
        <v/>
      </c>
      <c r="AD80" s="328" t="str">
        <f t="shared" si="15"/>
        <v/>
      </c>
      <c r="AE80" s="329"/>
      <c r="AF80" s="362"/>
      <c r="AG80" s="362"/>
      <c r="AH80" s="371"/>
    </row>
    <row r="81" spans="1:34" ht="35.1" customHeight="1" x14ac:dyDescent="0.35">
      <c r="A81" s="205">
        <f t="shared" si="17"/>
        <v>8</v>
      </c>
      <c r="B81" s="392"/>
      <c r="C81" s="365"/>
      <c r="D81" s="330"/>
      <c r="E81" s="362"/>
      <c r="F81" s="362"/>
      <c r="G81" s="374"/>
      <c r="H81" s="368"/>
      <c r="I81" s="397"/>
      <c r="J81" s="398"/>
      <c r="K81" s="398"/>
      <c r="L81" s="398"/>
      <c r="M81" s="398"/>
      <c r="N81" s="399"/>
      <c r="O81" s="331"/>
      <c r="P81" s="362"/>
      <c r="Q81" s="365"/>
      <c r="R81" s="362"/>
      <c r="S81" s="365"/>
      <c r="T81" s="362"/>
      <c r="U81" s="368"/>
      <c r="V81" s="332">
        <f t="shared" si="16"/>
        <v>0</v>
      </c>
      <c r="W81" s="333"/>
      <c r="X81" s="334" t="str">
        <f t="shared" si="13"/>
        <v/>
      </c>
      <c r="Y81" s="334" t="str">
        <f>IF(V81=1,V81+MAX($Y$5:Y80),"")</f>
        <v/>
      </c>
      <c r="Z81" s="334"/>
      <c r="AA81" s="332" t="str">
        <f>IF(ISTEXT(W81),IF(ISTEXT(Z81),Z81,'Datasource 2'!$M$14),"")</f>
        <v/>
      </c>
      <c r="AB81" s="328"/>
      <c r="AC81" s="328" t="str">
        <f t="shared" si="14"/>
        <v/>
      </c>
      <c r="AD81" s="328" t="str">
        <f t="shared" si="15"/>
        <v/>
      </c>
      <c r="AE81" s="329"/>
      <c r="AF81" s="362"/>
      <c r="AG81" s="362"/>
      <c r="AH81" s="371"/>
    </row>
    <row r="82" spans="1:34" ht="35.1" customHeight="1" x14ac:dyDescent="0.35">
      <c r="A82" s="205">
        <f t="shared" si="17"/>
        <v>8</v>
      </c>
      <c r="B82" s="392"/>
      <c r="C82" s="365"/>
      <c r="D82" s="330"/>
      <c r="E82" s="362"/>
      <c r="F82" s="362"/>
      <c r="G82" s="374"/>
      <c r="H82" s="368"/>
      <c r="I82" s="397"/>
      <c r="J82" s="398"/>
      <c r="K82" s="398"/>
      <c r="L82" s="398"/>
      <c r="M82" s="398"/>
      <c r="N82" s="399"/>
      <c r="O82" s="331"/>
      <c r="P82" s="362"/>
      <c r="Q82" s="365"/>
      <c r="R82" s="362"/>
      <c r="S82" s="365"/>
      <c r="T82" s="362"/>
      <c r="U82" s="368"/>
      <c r="V82" s="332">
        <f t="shared" si="16"/>
        <v>0</v>
      </c>
      <c r="W82" s="333"/>
      <c r="X82" s="334" t="str">
        <f t="shared" si="13"/>
        <v/>
      </c>
      <c r="Y82" s="334" t="str">
        <f>IF(V82=1,V82+MAX($Y$5:Y81),"")</f>
        <v/>
      </c>
      <c r="Z82" s="334"/>
      <c r="AA82" s="332" t="str">
        <f>IF(ISTEXT(W82),IF(ISTEXT(Z82),Z82,'Datasource 2'!$M$14),"")</f>
        <v/>
      </c>
      <c r="AB82" s="328"/>
      <c r="AC82" s="328" t="str">
        <f t="shared" si="14"/>
        <v/>
      </c>
      <c r="AD82" s="328" t="str">
        <f t="shared" si="15"/>
        <v/>
      </c>
      <c r="AE82" s="329"/>
      <c r="AF82" s="362"/>
      <c r="AG82" s="362"/>
      <c r="AH82" s="371"/>
    </row>
    <row r="83" spans="1:34" ht="35.1" customHeight="1" x14ac:dyDescent="0.35">
      <c r="A83" s="205">
        <f t="shared" si="17"/>
        <v>8</v>
      </c>
      <c r="B83" s="392"/>
      <c r="C83" s="365"/>
      <c r="D83" s="330"/>
      <c r="E83" s="362"/>
      <c r="F83" s="362"/>
      <c r="G83" s="374"/>
      <c r="H83" s="368"/>
      <c r="I83" s="397"/>
      <c r="J83" s="398"/>
      <c r="K83" s="398"/>
      <c r="L83" s="398"/>
      <c r="M83" s="398"/>
      <c r="N83" s="399"/>
      <c r="O83" s="331"/>
      <c r="P83" s="362"/>
      <c r="Q83" s="365"/>
      <c r="R83" s="362"/>
      <c r="S83" s="365"/>
      <c r="T83" s="362"/>
      <c r="U83" s="368"/>
      <c r="V83" s="332">
        <f t="shared" si="16"/>
        <v>0</v>
      </c>
      <c r="W83" s="333"/>
      <c r="X83" s="334" t="str">
        <f t="shared" si="13"/>
        <v/>
      </c>
      <c r="Y83" s="334" t="str">
        <f>IF(V83=1,V83+MAX($Y$5:Y82),"")</f>
        <v/>
      </c>
      <c r="Z83" s="334"/>
      <c r="AA83" s="332" t="str">
        <f>IF(ISTEXT(W83),IF(ISTEXT(Z83),Z83,'Datasource 2'!$M$14),"")</f>
        <v/>
      </c>
      <c r="AB83" s="328"/>
      <c r="AC83" s="328" t="str">
        <f t="shared" si="14"/>
        <v/>
      </c>
      <c r="AD83" s="328" t="str">
        <f t="shared" si="15"/>
        <v/>
      </c>
      <c r="AE83" s="329"/>
      <c r="AF83" s="362"/>
      <c r="AG83" s="362"/>
      <c r="AH83" s="371"/>
    </row>
    <row r="84" spans="1:34" ht="35.1" customHeight="1" thickBot="1" x14ac:dyDescent="0.4">
      <c r="A84" s="205">
        <f t="shared" si="17"/>
        <v>8</v>
      </c>
      <c r="B84" s="393"/>
      <c r="C84" s="366"/>
      <c r="D84" s="335"/>
      <c r="E84" s="363"/>
      <c r="F84" s="363"/>
      <c r="G84" s="375"/>
      <c r="H84" s="369"/>
      <c r="I84" s="400"/>
      <c r="J84" s="401"/>
      <c r="K84" s="401"/>
      <c r="L84" s="401"/>
      <c r="M84" s="401"/>
      <c r="N84" s="402"/>
      <c r="O84" s="336"/>
      <c r="P84" s="363"/>
      <c r="Q84" s="366"/>
      <c r="R84" s="363"/>
      <c r="S84" s="366"/>
      <c r="T84" s="363"/>
      <c r="U84" s="369"/>
      <c r="V84" s="337">
        <f t="shared" si="16"/>
        <v>0</v>
      </c>
      <c r="W84" s="338"/>
      <c r="X84" s="339" t="str">
        <f t="shared" si="13"/>
        <v/>
      </c>
      <c r="Y84" s="339" t="str">
        <f>IF(V84=1,V84+MAX($Y$5:Y83),"")</f>
        <v/>
      </c>
      <c r="Z84" s="339"/>
      <c r="AA84" s="337" t="str">
        <f>IF(ISTEXT(W84),IF(ISTEXT(Z84),Z84,'Datasource 2'!$M$14),"")</f>
        <v/>
      </c>
      <c r="AB84" s="339"/>
      <c r="AC84" s="328" t="str">
        <f t="shared" si="14"/>
        <v/>
      </c>
      <c r="AD84" s="328" t="str">
        <f t="shared" si="15"/>
        <v/>
      </c>
      <c r="AE84" s="340"/>
      <c r="AF84" s="363"/>
      <c r="AG84" s="363"/>
      <c r="AH84" s="372"/>
    </row>
    <row r="85" spans="1:34" ht="35.1" customHeight="1" x14ac:dyDescent="0.35">
      <c r="A85" s="205">
        <v>9</v>
      </c>
      <c r="B85" s="412">
        <v>9</v>
      </c>
      <c r="C85" s="382"/>
      <c r="D85" s="257"/>
      <c r="E85" s="379"/>
      <c r="F85" s="379"/>
      <c r="G85" s="376"/>
      <c r="H85" s="385" t="e">
        <f>IF(VLOOKUP(G85,Trusselvurdering!$B$3:$P$28,15,FALSE)=0,VLOOKUP(G85,Trusselvurdering!$B$3:$P$28,14,FALSE),VLOOKUP(G85,Trusselvurdering!$B$3:$P$28,15,FALSE))</f>
        <v>#N/A</v>
      </c>
      <c r="I85" s="403"/>
      <c r="J85" s="404"/>
      <c r="K85" s="404"/>
      <c r="L85" s="404"/>
      <c r="M85" s="404"/>
      <c r="N85" s="405"/>
      <c r="O85" s="258"/>
      <c r="P85" s="379"/>
      <c r="Q85" s="382"/>
      <c r="R85" s="379"/>
      <c r="S85" s="382"/>
      <c r="T85" s="379"/>
      <c r="U85" s="385" t="e">
        <f>VLOOKUP(Risikovurdering_data!C83,Akseptkriterier!$C$33:$H$37,MATCH(Risikovurdering_data!D83,Akseptkriterier!$D$32:$H$32,0)+1,FALSE)</f>
        <v>#N/A</v>
      </c>
      <c r="V85" s="259">
        <f t="shared" ref="V85:V94" si="18">IF(W85="",0,1)</f>
        <v>0</v>
      </c>
      <c r="W85" s="260"/>
      <c r="X85" s="261" t="str">
        <f t="shared" si="13"/>
        <v/>
      </c>
      <c r="Y85" s="261" t="str">
        <f>IF(V85=1,V85+MAX($Y$5:Y84),"")</f>
        <v/>
      </c>
      <c r="Z85" s="261"/>
      <c r="AA85" s="259" t="str">
        <f>IF(ISTEXT(W85),IF(ISTEXT(Z85),Z85,'Datasource 2'!$M$14),"")</f>
        <v/>
      </c>
      <c r="AB85" s="261"/>
      <c r="AC85" s="261" t="str">
        <f t="shared" si="14"/>
        <v/>
      </c>
      <c r="AD85" s="261" t="str">
        <f t="shared" si="15"/>
        <v/>
      </c>
      <c r="AE85" s="262"/>
      <c r="AF85" s="379"/>
      <c r="AG85" s="379"/>
      <c r="AH85" s="388" t="e">
        <f>VLOOKUP(Risikovurdering_data!F83,Akseptkriterier!$C$33:$H$37,MATCH(Risikovurdering_data!G83,Akseptkriterier!$D$32:$H$32,0)+1,FALSE)</f>
        <v>#N/A</v>
      </c>
    </row>
    <row r="86" spans="1:34" ht="35.1" customHeight="1" x14ac:dyDescent="0.35">
      <c r="A86" s="205">
        <f>$A85</f>
        <v>9</v>
      </c>
      <c r="B86" s="413"/>
      <c r="C86" s="383"/>
      <c r="D86" s="263"/>
      <c r="E86" s="380"/>
      <c r="F86" s="380"/>
      <c r="G86" s="377"/>
      <c r="H86" s="386"/>
      <c r="I86" s="406"/>
      <c r="J86" s="407"/>
      <c r="K86" s="407"/>
      <c r="L86" s="407"/>
      <c r="M86" s="407"/>
      <c r="N86" s="408"/>
      <c r="O86" s="264"/>
      <c r="P86" s="380"/>
      <c r="Q86" s="383"/>
      <c r="R86" s="380"/>
      <c r="S86" s="383"/>
      <c r="T86" s="380"/>
      <c r="U86" s="386"/>
      <c r="V86" s="265">
        <f t="shared" si="18"/>
        <v>0</v>
      </c>
      <c r="W86" s="266"/>
      <c r="X86" s="267" t="str">
        <f t="shared" si="13"/>
        <v/>
      </c>
      <c r="Y86" s="267" t="str">
        <f>IF(V86=1,V86+MAX($Y$5:Y85),"")</f>
        <v/>
      </c>
      <c r="Z86" s="267"/>
      <c r="AA86" s="265" t="str">
        <f>IF(ISTEXT(W86),IF(ISTEXT(Z86),Z86,'Datasource 2'!$M$14),"")</f>
        <v/>
      </c>
      <c r="AB86" s="261"/>
      <c r="AC86" s="261" t="str">
        <f t="shared" si="14"/>
        <v/>
      </c>
      <c r="AD86" s="261" t="str">
        <f t="shared" si="15"/>
        <v/>
      </c>
      <c r="AE86" s="262"/>
      <c r="AF86" s="380"/>
      <c r="AG86" s="380"/>
      <c r="AH86" s="389"/>
    </row>
    <row r="87" spans="1:34" ht="35.1" customHeight="1" x14ac:dyDescent="0.35">
      <c r="A87" s="205">
        <f t="shared" ref="A87:A94" si="19">$A86</f>
        <v>9</v>
      </c>
      <c r="B87" s="413"/>
      <c r="C87" s="383"/>
      <c r="D87" s="263"/>
      <c r="E87" s="380"/>
      <c r="F87" s="380"/>
      <c r="G87" s="377"/>
      <c r="H87" s="386"/>
      <c r="I87" s="406"/>
      <c r="J87" s="407"/>
      <c r="K87" s="407"/>
      <c r="L87" s="407"/>
      <c r="M87" s="407"/>
      <c r="N87" s="408"/>
      <c r="O87" s="264"/>
      <c r="P87" s="380"/>
      <c r="Q87" s="383"/>
      <c r="R87" s="380"/>
      <c r="S87" s="383"/>
      <c r="T87" s="380"/>
      <c r="U87" s="386"/>
      <c r="V87" s="265">
        <f t="shared" si="18"/>
        <v>0</v>
      </c>
      <c r="W87" s="266"/>
      <c r="X87" s="267" t="str">
        <f t="shared" si="13"/>
        <v/>
      </c>
      <c r="Y87" s="267" t="str">
        <f>IF(V87=1,V87+MAX($Y$5:Y86),"")</f>
        <v/>
      </c>
      <c r="Z87" s="267"/>
      <c r="AA87" s="265" t="str">
        <f>IF(ISTEXT(W87),IF(ISTEXT(Z87),Z87,'Datasource 2'!$M$14),"")</f>
        <v/>
      </c>
      <c r="AB87" s="261"/>
      <c r="AC87" s="261" t="str">
        <f t="shared" si="14"/>
        <v/>
      </c>
      <c r="AD87" s="261" t="str">
        <f t="shared" si="15"/>
        <v/>
      </c>
      <c r="AE87" s="262"/>
      <c r="AF87" s="380"/>
      <c r="AG87" s="380"/>
      <c r="AH87" s="389"/>
    </row>
    <row r="88" spans="1:34" ht="35.1" customHeight="1" x14ac:dyDescent="0.35">
      <c r="A88" s="205">
        <f t="shared" si="19"/>
        <v>9</v>
      </c>
      <c r="B88" s="413"/>
      <c r="C88" s="383"/>
      <c r="D88" s="263"/>
      <c r="E88" s="380"/>
      <c r="F88" s="380"/>
      <c r="G88" s="377"/>
      <c r="H88" s="386"/>
      <c r="I88" s="406"/>
      <c r="J88" s="407"/>
      <c r="K88" s="407"/>
      <c r="L88" s="407"/>
      <c r="M88" s="407"/>
      <c r="N88" s="408"/>
      <c r="O88" s="264"/>
      <c r="P88" s="380"/>
      <c r="Q88" s="383"/>
      <c r="R88" s="380"/>
      <c r="S88" s="383"/>
      <c r="T88" s="380"/>
      <c r="U88" s="386"/>
      <c r="V88" s="265">
        <f t="shared" si="18"/>
        <v>0</v>
      </c>
      <c r="W88" s="266"/>
      <c r="X88" s="267" t="str">
        <f t="shared" si="13"/>
        <v/>
      </c>
      <c r="Y88" s="267" t="str">
        <f>IF(V88=1,V88+MAX($Y$5:Y87),"")</f>
        <v/>
      </c>
      <c r="Z88" s="267"/>
      <c r="AA88" s="265" t="str">
        <f>IF(ISTEXT(W88),IF(ISTEXT(Z88),Z88,'Datasource 2'!$M$14),"")</f>
        <v/>
      </c>
      <c r="AB88" s="261"/>
      <c r="AC88" s="261" t="str">
        <f t="shared" si="14"/>
        <v/>
      </c>
      <c r="AD88" s="261" t="str">
        <f t="shared" si="15"/>
        <v/>
      </c>
      <c r="AE88" s="262"/>
      <c r="AF88" s="380"/>
      <c r="AG88" s="380"/>
      <c r="AH88" s="389"/>
    </row>
    <row r="89" spans="1:34" ht="35.1" customHeight="1" x14ac:dyDescent="0.35">
      <c r="A89" s="205">
        <f t="shared" si="19"/>
        <v>9</v>
      </c>
      <c r="B89" s="413"/>
      <c r="C89" s="383"/>
      <c r="D89" s="263"/>
      <c r="E89" s="380"/>
      <c r="F89" s="380"/>
      <c r="G89" s="377"/>
      <c r="H89" s="386"/>
      <c r="I89" s="406"/>
      <c r="J89" s="407"/>
      <c r="K89" s="407"/>
      <c r="L89" s="407"/>
      <c r="M89" s="407"/>
      <c r="N89" s="408"/>
      <c r="O89" s="264"/>
      <c r="P89" s="380"/>
      <c r="Q89" s="383"/>
      <c r="R89" s="380"/>
      <c r="S89" s="383"/>
      <c r="T89" s="380"/>
      <c r="U89" s="386"/>
      <c r="V89" s="265">
        <f t="shared" si="18"/>
        <v>0</v>
      </c>
      <c r="W89" s="266"/>
      <c r="X89" s="267" t="str">
        <f t="shared" si="13"/>
        <v/>
      </c>
      <c r="Y89" s="267" t="str">
        <f>IF(V89=1,V89+MAX($Y$5:Y88),"")</f>
        <v/>
      </c>
      <c r="Z89" s="267"/>
      <c r="AA89" s="265" t="str">
        <f>IF(ISTEXT(W89),IF(ISTEXT(Z89),Z89,'Datasource 2'!$M$14),"")</f>
        <v/>
      </c>
      <c r="AB89" s="261"/>
      <c r="AC89" s="261" t="str">
        <f t="shared" si="14"/>
        <v/>
      </c>
      <c r="AD89" s="261" t="str">
        <f t="shared" si="15"/>
        <v/>
      </c>
      <c r="AE89" s="262"/>
      <c r="AF89" s="380"/>
      <c r="AG89" s="380"/>
      <c r="AH89" s="389"/>
    </row>
    <row r="90" spans="1:34" ht="35.1" customHeight="1" x14ac:dyDescent="0.35">
      <c r="A90" s="205">
        <f t="shared" si="19"/>
        <v>9</v>
      </c>
      <c r="B90" s="413"/>
      <c r="C90" s="383"/>
      <c r="D90" s="263"/>
      <c r="E90" s="380"/>
      <c r="F90" s="380"/>
      <c r="G90" s="377"/>
      <c r="H90" s="386"/>
      <c r="I90" s="406"/>
      <c r="J90" s="407"/>
      <c r="K90" s="407"/>
      <c r="L90" s="407"/>
      <c r="M90" s="407"/>
      <c r="N90" s="408"/>
      <c r="O90" s="264"/>
      <c r="P90" s="380"/>
      <c r="Q90" s="383"/>
      <c r="R90" s="380"/>
      <c r="S90" s="383"/>
      <c r="T90" s="380"/>
      <c r="U90" s="386"/>
      <c r="V90" s="265">
        <f t="shared" si="18"/>
        <v>0</v>
      </c>
      <c r="W90" s="266"/>
      <c r="X90" s="267" t="str">
        <f t="shared" si="13"/>
        <v/>
      </c>
      <c r="Y90" s="267" t="str">
        <f>IF(V90=1,V90+MAX($Y$5:Y89),"")</f>
        <v/>
      </c>
      <c r="Z90" s="267"/>
      <c r="AA90" s="265" t="str">
        <f>IF(ISTEXT(W90),IF(ISTEXT(Z90),Z90,'Datasource 2'!$M$14),"")</f>
        <v/>
      </c>
      <c r="AB90" s="261"/>
      <c r="AC90" s="261" t="str">
        <f t="shared" si="14"/>
        <v/>
      </c>
      <c r="AD90" s="261" t="str">
        <f t="shared" si="15"/>
        <v/>
      </c>
      <c r="AE90" s="262"/>
      <c r="AF90" s="380"/>
      <c r="AG90" s="380"/>
      <c r="AH90" s="389"/>
    </row>
    <row r="91" spans="1:34" ht="35.1" customHeight="1" x14ac:dyDescent="0.35">
      <c r="A91" s="205">
        <f t="shared" si="19"/>
        <v>9</v>
      </c>
      <c r="B91" s="413"/>
      <c r="C91" s="383"/>
      <c r="D91" s="263"/>
      <c r="E91" s="380"/>
      <c r="F91" s="380"/>
      <c r="G91" s="377"/>
      <c r="H91" s="386"/>
      <c r="I91" s="406"/>
      <c r="J91" s="407"/>
      <c r="K91" s="407"/>
      <c r="L91" s="407"/>
      <c r="M91" s="407"/>
      <c r="N91" s="408"/>
      <c r="O91" s="264"/>
      <c r="P91" s="380"/>
      <c r="Q91" s="383"/>
      <c r="R91" s="380"/>
      <c r="S91" s="383"/>
      <c r="T91" s="380"/>
      <c r="U91" s="386"/>
      <c r="V91" s="265">
        <f t="shared" si="18"/>
        <v>0</v>
      </c>
      <c r="W91" s="266"/>
      <c r="X91" s="267" t="str">
        <f t="shared" si="13"/>
        <v/>
      </c>
      <c r="Y91" s="267" t="str">
        <f>IF(V91=1,V91+MAX($Y$5:Y90),"")</f>
        <v/>
      </c>
      <c r="Z91" s="267"/>
      <c r="AA91" s="265" t="str">
        <f>IF(ISTEXT(W91),IF(ISTEXT(Z91),Z91,'Datasource 2'!$M$14),"")</f>
        <v/>
      </c>
      <c r="AB91" s="261"/>
      <c r="AC91" s="261" t="str">
        <f t="shared" si="14"/>
        <v/>
      </c>
      <c r="AD91" s="261" t="str">
        <f t="shared" si="15"/>
        <v/>
      </c>
      <c r="AE91" s="262"/>
      <c r="AF91" s="380"/>
      <c r="AG91" s="380"/>
      <c r="AH91" s="389"/>
    </row>
    <row r="92" spans="1:34" ht="35.1" customHeight="1" x14ac:dyDescent="0.35">
      <c r="A92" s="205">
        <f t="shared" si="19"/>
        <v>9</v>
      </c>
      <c r="B92" s="413"/>
      <c r="C92" s="383"/>
      <c r="D92" s="263"/>
      <c r="E92" s="380"/>
      <c r="F92" s="380"/>
      <c r="G92" s="377"/>
      <c r="H92" s="386"/>
      <c r="I92" s="406"/>
      <c r="J92" s="407"/>
      <c r="K92" s="407"/>
      <c r="L92" s="407"/>
      <c r="M92" s="407"/>
      <c r="N92" s="408"/>
      <c r="O92" s="264"/>
      <c r="P92" s="380"/>
      <c r="Q92" s="383"/>
      <c r="R92" s="380"/>
      <c r="S92" s="383"/>
      <c r="T92" s="380"/>
      <c r="U92" s="386"/>
      <c r="V92" s="265">
        <f t="shared" si="18"/>
        <v>0</v>
      </c>
      <c r="W92" s="266"/>
      <c r="X92" s="267" t="str">
        <f t="shared" si="13"/>
        <v/>
      </c>
      <c r="Y92" s="267" t="str">
        <f>IF(V92=1,V92+MAX($Y$5:Y91),"")</f>
        <v/>
      </c>
      <c r="Z92" s="267"/>
      <c r="AA92" s="265" t="str">
        <f>IF(ISTEXT(W92),IF(ISTEXT(Z92),Z92,'Datasource 2'!$M$14),"")</f>
        <v/>
      </c>
      <c r="AB92" s="261"/>
      <c r="AC92" s="261" t="str">
        <f t="shared" si="14"/>
        <v/>
      </c>
      <c r="AD92" s="261" t="str">
        <f t="shared" si="15"/>
        <v/>
      </c>
      <c r="AE92" s="262"/>
      <c r="AF92" s="380"/>
      <c r="AG92" s="380"/>
      <c r="AH92" s="389"/>
    </row>
    <row r="93" spans="1:34" ht="35.1" customHeight="1" x14ac:dyDescent="0.35">
      <c r="A93" s="205">
        <f t="shared" si="19"/>
        <v>9</v>
      </c>
      <c r="B93" s="413"/>
      <c r="C93" s="383"/>
      <c r="D93" s="263"/>
      <c r="E93" s="380"/>
      <c r="F93" s="380"/>
      <c r="G93" s="377"/>
      <c r="H93" s="386"/>
      <c r="I93" s="406"/>
      <c r="J93" s="407"/>
      <c r="K93" s="407"/>
      <c r="L93" s="407"/>
      <c r="M93" s="407"/>
      <c r="N93" s="408"/>
      <c r="O93" s="264"/>
      <c r="P93" s="380"/>
      <c r="Q93" s="383"/>
      <c r="R93" s="380"/>
      <c r="S93" s="383"/>
      <c r="T93" s="380"/>
      <c r="U93" s="386"/>
      <c r="V93" s="265">
        <f t="shared" si="18"/>
        <v>0</v>
      </c>
      <c r="W93" s="266"/>
      <c r="X93" s="267" t="str">
        <f t="shared" si="13"/>
        <v/>
      </c>
      <c r="Y93" s="267" t="str">
        <f>IF(V93=1,V93+MAX($Y$5:Y92),"")</f>
        <v/>
      </c>
      <c r="Z93" s="267"/>
      <c r="AA93" s="265" t="str">
        <f>IF(ISTEXT(W93),IF(ISTEXT(Z93),Z93,'Datasource 2'!$M$14),"")</f>
        <v/>
      </c>
      <c r="AB93" s="261"/>
      <c r="AC93" s="261" t="str">
        <f t="shared" si="14"/>
        <v/>
      </c>
      <c r="AD93" s="261" t="str">
        <f t="shared" si="15"/>
        <v/>
      </c>
      <c r="AE93" s="262"/>
      <c r="AF93" s="380"/>
      <c r="AG93" s="380"/>
      <c r="AH93" s="389"/>
    </row>
    <row r="94" spans="1:34" ht="35.1" customHeight="1" thickBot="1" x14ac:dyDescent="0.4">
      <c r="A94" s="205">
        <f t="shared" si="19"/>
        <v>9</v>
      </c>
      <c r="B94" s="414"/>
      <c r="C94" s="384"/>
      <c r="D94" s="268"/>
      <c r="E94" s="381"/>
      <c r="F94" s="381"/>
      <c r="G94" s="378"/>
      <c r="H94" s="387"/>
      <c r="I94" s="409"/>
      <c r="J94" s="410"/>
      <c r="K94" s="410"/>
      <c r="L94" s="410"/>
      <c r="M94" s="410"/>
      <c r="N94" s="411"/>
      <c r="O94" s="269"/>
      <c r="P94" s="381"/>
      <c r="Q94" s="384"/>
      <c r="R94" s="381"/>
      <c r="S94" s="384"/>
      <c r="T94" s="381"/>
      <c r="U94" s="387"/>
      <c r="V94" s="270">
        <f t="shared" si="18"/>
        <v>0</v>
      </c>
      <c r="W94" s="271"/>
      <c r="X94" s="272" t="str">
        <f t="shared" si="13"/>
        <v/>
      </c>
      <c r="Y94" s="272" t="str">
        <f>IF(V94=1,V94+MAX($Y$5:Y93),"")</f>
        <v/>
      </c>
      <c r="Z94" s="272"/>
      <c r="AA94" s="270" t="str">
        <f>IF(ISTEXT(W94),IF(ISTEXT(Z94),Z94,'Datasource 2'!$M$14),"")</f>
        <v/>
      </c>
      <c r="AB94" s="273"/>
      <c r="AC94" s="261" t="str">
        <f t="shared" si="14"/>
        <v/>
      </c>
      <c r="AD94" s="261" t="str">
        <f t="shared" si="15"/>
        <v/>
      </c>
      <c r="AE94" s="274"/>
      <c r="AF94" s="381"/>
      <c r="AG94" s="381"/>
      <c r="AH94" s="390"/>
    </row>
    <row r="95" spans="1:34" ht="35.1" customHeight="1" x14ac:dyDescent="0.35">
      <c r="A95" s="205">
        <v>10</v>
      </c>
      <c r="B95" s="391">
        <v>10</v>
      </c>
      <c r="C95" s="364"/>
      <c r="D95" s="323"/>
      <c r="E95" s="361"/>
      <c r="F95" s="361"/>
      <c r="G95" s="373"/>
      <c r="H95" s="367" t="e">
        <f>IF(VLOOKUP(G95,Trusselvurdering!$B$3:$P$28,15,FALSE)=0,VLOOKUP(G95,Trusselvurdering!$B$3:$P$28,14,FALSE),VLOOKUP(G95,Trusselvurdering!$B$3:$P$28,15,FALSE))</f>
        <v>#N/A</v>
      </c>
      <c r="I95" s="394"/>
      <c r="J95" s="395"/>
      <c r="K95" s="395"/>
      <c r="L95" s="395"/>
      <c r="M95" s="395"/>
      <c r="N95" s="396"/>
      <c r="O95" s="324"/>
      <c r="P95" s="361"/>
      <c r="Q95" s="364"/>
      <c r="R95" s="361"/>
      <c r="S95" s="364"/>
      <c r="T95" s="361"/>
      <c r="U95" s="367" t="e">
        <f>VLOOKUP(Risikovurdering_data!C93,Akseptkriterier!$C$33:$H$37,MATCH(Risikovurdering_data!D93,Akseptkriterier!$D$32:$H$32,0)+1,FALSE)</f>
        <v>#N/A</v>
      </c>
      <c r="V95" s="325">
        <f t="shared" ref="V95:V104" si="20">IF(W95="",0,1)</f>
        <v>0</v>
      </c>
      <c r="W95" s="326"/>
      <c r="X95" s="327" t="str">
        <f t="shared" si="13"/>
        <v/>
      </c>
      <c r="Y95" s="327" t="str">
        <f>IF(V95=1,V95+MAX($Y$5:Y94),"")</f>
        <v/>
      </c>
      <c r="Z95" s="327"/>
      <c r="AA95" s="325" t="str">
        <f>IF(ISTEXT(W95),IF(ISTEXT(Z95),Z95,'Datasource 2'!$M$14),"")</f>
        <v/>
      </c>
      <c r="AB95" s="328"/>
      <c r="AC95" s="328" t="str">
        <f t="shared" si="14"/>
        <v/>
      </c>
      <c r="AD95" s="328" t="str">
        <f t="shared" si="15"/>
        <v/>
      </c>
      <c r="AE95" s="329"/>
      <c r="AF95" s="361"/>
      <c r="AG95" s="361"/>
      <c r="AH95" s="370" t="e">
        <f>VLOOKUP(Risikovurdering_data!F93,Akseptkriterier!$C$33:$H$37,MATCH(Risikovurdering_data!G93,Akseptkriterier!$D$32:$H$32,0)+1,FALSE)</f>
        <v>#N/A</v>
      </c>
    </row>
    <row r="96" spans="1:34" ht="35.1" customHeight="1" x14ac:dyDescent="0.35">
      <c r="A96" s="205">
        <f>$A95</f>
        <v>10</v>
      </c>
      <c r="B96" s="392"/>
      <c r="C96" s="365"/>
      <c r="D96" s="330"/>
      <c r="E96" s="362"/>
      <c r="F96" s="362"/>
      <c r="G96" s="374"/>
      <c r="H96" s="368"/>
      <c r="I96" s="397"/>
      <c r="J96" s="398"/>
      <c r="K96" s="398"/>
      <c r="L96" s="398"/>
      <c r="M96" s="398"/>
      <c r="N96" s="399"/>
      <c r="O96" s="331"/>
      <c r="P96" s="362"/>
      <c r="Q96" s="365"/>
      <c r="R96" s="362"/>
      <c r="S96" s="365"/>
      <c r="T96" s="362"/>
      <c r="U96" s="368"/>
      <c r="V96" s="332">
        <f t="shared" si="20"/>
        <v>0</v>
      </c>
      <c r="W96" s="333"/>
      <c r="X96" s="334" t="str">
        <f t="shared" si="13"/>
        <v/>
      </c>
      <c r="Y96" s="334" t="str">
        <f>IF(V96=1,V96+MAX($Y$5:Y95),"")</f>
        <v/>
      </c>
      <c r="Z96" s="334"/>
      <c r="AA96" s="332" t="str">
        <f>IF(ISTEXT(W96),IF(ISTEXT(Z96),Z96,'Datasource 2'!$M$14),"")</f>
        <v/>
      </c>
      <c r="AB96" s="328"/>
      <c r="AC96" s="328" t="str">
        <f t="shared" si="14"/>
        <v/>
      </c>
      <c r="AD96" s="328" t="str">
        <f t="shared" si="15"/>
        <v/>
      </c>
      <c r="AE96" s="329"/>
      <c r="AF96" s="362"/>
      <c r="AG96" s="362"/>
      <c r="AH96" s="371"/>
    </row>
    <row r="97" spans="1:34" ht="35.1" customHeight="1" x14ac:dyDescent="0.35">
      <c r="A97" s="205">
        <f t="shared" ref="A97:A104" si="21">$A96</f>
        <v>10</v>
      </c>
      <c r="B97" s="392"/>
      <c r="C97" s="365"/>
      <c r="D97" s="330"/>
      <c r="E97" s="362"/>
      <c r="F97" s="362"/>
      <c r="G97" s="374"/>
      <c r="H97" s="368"/>
      <c r="I97" s="397"/>
      <c r="J97" s="398"/>
      <c r="K97" s="398"/>
      <c r="L97" s="398"/>
      <c r="M97" s="398"/>
      <c r="N97" s="399"/>
      <c r="O97" s="331"/>
      <c r="P97" s="362"/>
      <c r="Q97" s="365"/>
      <c r="R97" s="362"/>
      <c r="S97" s="365"/>
      <c r="T97" s="362"/>
      <c r="U97" s="368"/>
      <c r="V97" s="332">
        <f t="shared" si="20"/>
        <v>0</v>
      </c>
      <c r="W97" s="333"/>
      <c r="X97" s="334" t="str">
        <f t="shared" si="13"/>
        <v/>
      </c>
      <c r="Y97" s="334" t="str">
        <f>IF(V97=1,V97+MAX($Y$5:Y96),"")</f>
        <v/>
      </c>
      <c r="Z97" s="334"/>
      <c r="AA97" s="332" t="str">
        <f>IF(ISTEXT(W97),IF(ISTEXT(Z97),Z97,'Datasource 2'!$M$14),"")</f>
        <v/>
      </c>
      <c r="AB97" s="328"/>
      <c r="AC97" s="328" t="str">
        <f t="shared" si="14"/>
        <v/>
      </c>
      <c r="AD97" s="328" t="str">
        <f t="shared" si="15"/>
        <v/>
      </c>
      <c r="AE97" s="329"/>
      <c r="AF97" s="362"/>
      <c r="AG97" s="362"/>
      <c r="AH97" s="371"/>
    </row>
    <row r="98" spans="1:34" ht="35.1" customHeight="1" x14ac:dyDescent="0.35">
      <c r="A98" s="205">
        <f t="shared" si="21"/>
        <v>10</v>
      </c>
      <c r="B98" s="392"/>
      <c r="C98" s="365"/>
      <c r="D98" s="330"/>
      <c r="E98" s="362"/>
      <c r="F98" s="362"/>
      <c r="G98" s="374"/>
      <c r="H98" s="368"/>
      <c r="I98" s="397"/>
      <c r="J98" s="398"/>
      <c r="K98" s="398"/>
      <c r="L98" s="398"/>
      <c r="M98" s="398"/>
      <c r="N98" s="399"/>
      <c r="O98" s="331"/>
      <c r="P98" s="362"/>
      <c r="Q98" s="365"/>
      <c r="R98" s="362"/>
      <c r="S98" s="365"/>
      <c r="T98" s="362"/>
      <c r="U98" s="368"/>
      <c r="V98" s="332">
        <f t="shared" si="20"/>
        <v>0</v>
      </c>
      <c r="W98" s="333"/>
      <c r="X98" s="334" t="str">
        <f t="shared" si="13"/>
        <v/>
      </c>
      <c r="Y98" s="334" t="str">
        <f>IF(V98=1,V98+MAX($Y$5:Y97),"")</f>
        <v/>
      </c>
      <c r="Z98" s="334"/>
      <c r="AA98" s="332" t="str">
        <f>IF(ISTEXT(W98),IF(ISTEXT(Z98),Z98,'Datasource 2'!$M$14),"")</f>
        <v/>
      </c>
      <c r="AB98" s="328"/>
      <c r="AC98" s="328" t="str">
        <f t="shared" si="14"/>
        <v/>
      </c>
      <c r="AD98" s="328" t="str">
        <f t="shared" si="15"/>
        <v/>
      </c>
      <c r="AE98" s="329"/>
      <c r="AF98" s="362"/>
      <c r="AG98" s="362"/>
      <c r="AH98" s="371"/>
    </row>
    <row r="99" spans="1:34" ht="35.1" customHeight="1" x14ac:dyDescent="0.35">
      <c r="A99" s="205">
        <f t="shared" si="21"/>
        <v>10</v>
      </c>
      <c r="B99" s="392"/>
      <c r="C99" s="365"/>
      <c r="D99" s="330"/>
      <c r="E99" s="362"/>
      <c r="F99" s="362"/>
      <c r="G99" s="374"/>
      <c r="H99" s="368"/>
      <c r="I99" s="397"/>
      <c r="J99" s="398"/>
      <c r="K99" s="398"/>
      <c r="L99" s="398"/>
      <c r="M99" s="398"/>
      <c r="N99" s="399"/>
      <c r="O99" s="331"/>
      <c r="P99" s="362"/>
      <c r="Q99" s="365"/>
      <c r="R99" s="362"/>
      <c r="S99" s="365"/>
      <c r="T99" s="362"/>
      <c r="U99" s="368"/>
      <c r="V99" s="332">
        <f t="shared" si="20"/>
        <v>0</v>
      </c>
      <c r="W99" s="333"/>
      <c r="X99" s="334" t="str">
        <f t="shared" si="13"/>
        <v/>
      </c>
      <c r="Y99" s="334" t="str">
        <f>IF(V99=1,V99+MAX($Y$5:Y98),"")</f>
        <v/>
      </c>
      <c r="Z99" s="334"/>
      <c r="AA99" s="332" t="str">
        <f>IF(ISTEXT(W99),IF(ISTEXT(Z99),Z99,'Datasource 2'!$M$14),"")</f>
        <v/>
      </c>
      <c r="AB99" s="328"/>
      <c r="AC99" s="328" t="str">
        <f t="shared" si="14"/>
        <v/>
      </c>
      <c r="AD99" s="328" t="str">
        <f t="shared" si="15"/>
        <v/>
      </c>
      <c r="AE99" s="329"/>
      <c r="AF99" s="362"/>
      <c r="AG99" s="362"/>
      <c r="AH99" s="371"/>
    </row>
    <row r="100" spans="1:34" ht="35.1" customHeight="1" x14ac:dyDescent="0.35">
      <c r="A100" s="205">
        <f t="shared" si="21"/>
        <v>10</v>
      </c>
      <c r="B100" s="392"/>
      <c r="C100" s="365"/>
      <c r="D100" s="330"/>
      <c r="E100" s="362"/>
      <c r="F100" s="362"/>
      <c r="G100" s="374"/>
      <c r="H100" s="368"/>
      <c r="I100" s="397"/>
      <c r="J100" s="398"/>
      <c r="K100" s="398"/>
      <c r="L100" s="398"/>
      <c r="M100" s="398"/>
      <c r="N100" s="399"/>
      <c r="O100" s="331"/>
      <c r="P100" s="362"/>
      <c r="Q100" s="365"/>
      <c r="R100" s="362"/>
      <c r="S100" s="365"/>
      <c r="T100" s="362"/>
      <c r="U100" s="368"/>
      <c r="V100" s="332">
        <f t="shared" si="20"/>
        <v>0</v>
      </c>
      <c r="W100" s="333"/>
      <c r="X100" s="334" t="str">
        <f t="shared" si="13"/>
        <v/>
      </c>
      <c r="Y100" s="334" t="str">
        <f>IF(V100=1,V100+MAX($Y$5:Y99),"")</f>
        <v/>
      </c>
      <c r="Z100" s="334"/>
      <c r="AA100" s="332" t="str">
        <f>IF(ISTEXT(W100),IF(ISTEXT(Z100),Z100,'Datasource 2'!$M$14),"")</f>
        <v/>
      </c>
      <c r="AB100" s="328"/>
      <c r="AC100" s="328" t="str">
        <f t="shared" si="14"/>
        <v/>
      </c>
      <c r="AD100" s="328" t="str">
        <f t="shared" si="15"/>
        <v/>
      </c>
      <c r="AE100" s="329"/>
      <c r="AF100" s="362"/>
      <c r="AG100" s="362"/>
      <c r="AH100" s="371"/>
    </row>
    <row r="101" spans="1:34" ht="35.1" customHeight="1" x14ac:dyDescent="0.35">
      <c r="A101" s="205">
        <f t="shared" si="21"/>
        <v>10</v>
      </c>
      <c r="B101" s="392"/>
      <c r="C101" s="365"/>
      <c r="D101" s="330"/>
      <c r="E101" s="362"/>
      <c r="F101" s="362"/>
      <c r="G101" s="374"/>
      <c r="H101" s="368"/>
      <c r="I101" s="397"/>
      <c r="J101" s="398"/>
      <c r="K101" s="398"/>
      <c r="L101" s="398"/>
      <c r="M101" s="398"/>
      <c r="N101" s="399"/>
      <c r="O101" s="331"/>
      <c r="P101" s="362"/>
      <c r="Q101" s="365"/>
      <c r="R101" s="362"/>
      <c r="S101" s="365"/>
      <c r="T101" s="362"/>
      <c r="U101" s="368"/>
      <c r="V101" s="332">
        <f t="shared" si="20"/>
        <v>0</v>
      </c>
      <c r="W101" s="333"/>
      <c r="X101" s="334" t="str">
        <f t="shared" si="13"/>
        <v/>
      </c>
      <c r="Y101" s="334" t="str">
        <f>IF(V101=1,V101+MAX($Y$5:Y100),"")</f>
        <v/>
      </c>
      <c r="Z101" s="334"/>
      <c r="AA101" s="332" t="str">
        <f>IF(ISTEXT(W101),IF(ISTEXT(Z101),Z101,'Datasource 2'!$M$14),"")</f>
        <v/>
      </c>
      <c r="AB101" s="328"/>
      <c r="AC101" s="328" t="str">
        <f t="shared" si="14"/>
        <v/>
      </c>
      <c r="AD101" s="328" t="str">
        <f t="shared" si="15"/>
        <v/>
      </c>
      <c r="AE101" s="329"/>
      <c r="AF101" s="362"/>
      <c r="AG101" s="362"/>
      <c r="AH101" s="371"/>
    </row>
    <row r="102" spans="1:34" ht="35.1" customHeight="1" x14ac:dyDescent="0.35">
      <c r="A102" s="205">
        <f t="shared" si="21"/>
        <v>10</v>
      </c>
      <c r="B102" s="392"/>
      <c r="C102" s="365"/>
      <c r="D102" s="330"/>
      <c r="E102" s="362"/>
      <c r="F102" s="362"/>
      <c r="G102" s="374"/>
      <c r="H102" s="368"/>
      <c r="I102" s="397"/>
      <c r="J102" s="398"/>
      <c r="K102" s="398"/>
      <c r="L102" s="398"/>
      <c r="M102" s="398"/>
      <c r="N102" s="399"/>
      <c r="O102" s="331"/>
      <c r="P102" s="362"/>
      <c r="Q102" s="365"/>
      <c r="R102" s="362"/>
      <c r="S102" s="365"/>
      <c r="T102" s="362"/>
      <c r="U102" s="368"/>
      <c r="V102" s="332">
        <f t="shared" si="20"/>
        <v>0</v>
      </c>
      <c r="W102" s="333"/>
      <c r="X102" s="334" t="str">
        <f t="shared" si="13"/>
        <v/>
      </c>
      <c r="Y102" s="334" t="str">
        <f>IF(V102=1,V102+MAX($Y$5:Y101),"")</f>
        <v/>
      </c>
      <c r="Z102" s="334"/>
      <c r="AA102" s="332" t="str">
        <f>IF(ISTEXT(W102),IF(ISTEXT(Z102),Z102,'Datasource 2'!$M$14),"")</f>
        <v/>
      </c>
      <c r="AB102" s="328"/>
      <c r="AC102" s="328" t="str">
        <f t="shared" si="14"/>
        <v/>
      </c>
      <c r="AD102" s="328" t="str">
        <f t="shared" si="15"/>
        <v/>
      </c>
      <c r="AE102" s="329"/>
      <c r="AF102" s="362"/>
      <c r="AG102" s="362"/>
      <c r="AH102" s="371"/>
    </row>
    <row r="103" spans="1:34" ht="35.1" customHeight="1" x14ac:dyDescent="0.35">
      <c r="A103" s="205">
        <f t="shared" si="21"/>
        <v>10</v>
      </c>
      <c r="B103" s="392"/>
      <c r="C103" s="365"/>
      <c r="D103" s="330"/>
      <c r="E103" s="362"/>
      <c r="F103" s="362"/>
      <c r="G103" s="374"/>
      <c r="H103" s="368"/>
      <c r="I103" s="397"/>
      <c r="J103" s="398"/>
      <c r="K103" s="398"/>
      <c r="L103" s="398"/>
      <c r="M103" s="398"/>
      <c r="N103" s="399"/>
      <c r="O103" s="331"/>
      <c r="P103" s="362"/>
      <c r="Q103" s="365"/>
      <c r="R103" s="362"/>
      <c r="S103" s="365"/>
      <c r="T103" s="362"/>
      <c r="U103" s="368"/>
      <c r="V103" s="332">
        <f t="shared" si="20"/>
        <v>0</v>
      </c>
      <c r="W103" s="333"/>
      <c r="X103" s="334" t="str">
        <f t="shared" si="13"/>
        <v/>
      </c>
      <c r="Y103" s="334" t="str">
        <f>IF(V103=1,V103+MAX($Y$5:Y102),"")</f>
        <v/>
      </c>
      <c r="Z103" s="334"/>
      <c r="AA103" s="332" t="str">
        <f>IF(ISTEXT(W103),IF(ISTEXT(Z103),Z103,'Datasource 2'!$M$14),"")</f>
        <v/>
      </c>
      <c r="AB103" s="328"/>
      <c r="AC103" s="328" t="str">
        <f t="shared" si="14"/>
        <v/>
      </c>
      <c r="AD103" s="328" t="str">
        <f t="shared" si="15"/>
        <v/>
      </c>
      <c r="AE103" s="329"/>
      <c r="AF103" s="362"/>
      <c r="AG103" s="362"/>
      <c r="AH103" s="371"/>
    </row>
    <row r="104" spans="1:34" ht="35.1" customHeight="1" thickBot="1" x14ac:dyDescent="0.4">
      <c r="A104" s="205">
        <f t="shared" si="21"/>
        <v>10</v>
      </c>
      <c r="B104" s="393"/>
      <c r="C104" s="366"/>
      <c r="D104" s="335"/>
      <c r="E104" s="363"/>
      <c r="F104" s="363"/>
      <c r="G104" s="375"/>
      <c r="H104" s="369"/>
      <c r="I104" s="400"/>
      <c r="J104" s="401"/>
      <c r="K104" s="401"/>
      <c r="L104" s="401"/>
      <c r="M104" s="401"/>
      <c r="N104" s="402"/>
      <c r="O104" s="336"/>
      <c r="P104" s="363"/>
      <c r="Q104" s="366"/>
      <c r="R104" s="363"/>
      <c r="S104" s="366"/>
      <c r="T104" s="363"/>
      <c r="U104" s="369"/>
      <c r="V104" s="337">
        <f t="shared" si="20"/>
        <v>0</v>
      </c>
      <c r="W104" s="338"/>
      <c r="X104" s="339" t="str">
        <f t="shared" si="13"/>
        <v/>
      </c>
      <c r="Y104" s="339" t="str">
        <f>IF(V104=1,V104+MAX($Y$5:Y103),"")</f>
        <v/>
      </c>
      <c r="Z104" s="339"/>
      <c r="AA104" s="337" t="str">
        <f>IF(ISTEXT(W104),IF(ISTEXT(Z104),Z104,'Datasource 2'!$M$14),"")</f>
        <v/>
      </c>
      <c r="AB104" s="339"/>
      <c r="AC104" s="328" t="str">
        <f t="shared" si="14"/>
        <v/>
      </c>
      <c r="AD104" s="328" t="str">
        <f t="shared" si="15"/>
        <v/>
      </c>
      <c r="AE104" s="340"/>
      <c r="AF104" s="363"/>
      <c r="AG104" s="363"/>
      <c r="AH104" s="372"/>
    </row>
    <row r="105" spans="1:34" ht="35.1" customHeight="1" x14ac:dyDescent="0.35">
      <c r="A105" s="205">
        <v>11</v>
      </c>
      <c r="B105" s="412">
        <v>11</v>
      </c>
      <c r="C105" s="382"/>
      <c r="D105" s="257"/>
      <c r="E105" s="379"/>
      <c r="F105" s="379"/>
      <c r="G105" s="376"/>
      <c r="H105" s="385" t="e">
        <f>IF(VLOOKUP(G105,Trusselvurdering!$B$3:$P$28,15,FALSE)=0,VLOOKUP(G105,Trusselvurdering!$B$3:$P$28,14,FALSE),VLOOKUP(G105,Trusselvurdering!$B$3:$P$28,15,FALSE))</f>
        <v>#N/A</v>
      </c>
      <c r="I105" s="403"/>
      <c r="J105" s="404"/>
      <c r="K105" s="404"/>
      <c r="L105" s="404"/>
      <c r="M105" s="404"/>
      <c r="N105" s="405"/>
      <c r="O105" s="258"/>
      <c r="P105" s="379"/>
      <c r="Q105" s="382"/>
      <c r="R105" s="379"/>
      <c r="S105" s="382"/>
      <c r="T105" s="379"/>
      <c r="U105" s="385" t="e">
        <f>VLOOKUP(Risikovurdering_data!C103,Akseptkriterier!$C$33:$H$37,MATCH(Risikovurdering_data!D103,Akseptkriterier!$D$32:$H$32,0)+1,FALSE)</f>
        <v>#N/A</v>
      </c>
      <c r="V105" s="259">
        <f t="shared" ref="V105:V114" si="22">IF(W105="",0,1)</f>
        <v>0</v>
      </c>
      <c r="W105" s="260"/>
      <c r="X105" s="261" t="str">
        <f t="shared" si="13"/>
        <v/>
      </c>
      <c r="Y105" s="261" t="str">
        <f>IF(V105=1,V105+MAX($Y$5:Y104),"")</f>
        <v/>
      </c>
      <c r="Z105" s="261"/>
      <c r="AA105" s="259" t="str">
        <f>IF(ISTEXT(W105),IF(ISTEXT(Z105),Z105,'Datasource 2'!$M$14),"")</f>
        <v/>
      </c>
      <c r="AB105" s="261"/>
      <c r="AC105" s="261" t="str">
        <f t="shared" si="14"/>
        <v/>
      </c>
      <c r="AD105" s="261" t="str">
        <f t="shared" si="15"/>
        <v/>
      </c>
      <c r="AE105" s="262"/>
      <c r="AF105" s="379"/>
      <c r="AG105" s="379"/>
      <c r="AH105" s="388" t="e">
        <f>VLOOKUP(Risikovurdering_data!F103,Akseptkriterier!$C$33:$H$37,MATCH(Risikovurdering_data!G103,Akseptkriterier!$D$32:$H$32,0)+1,FALSE)</f>
        <v>#N/A</v>
      </c>
    </row>
    <row r="106" spans="1:34" ht="35.1" customHeight="1" x14ac:dyDescent="0.35">
      <c r="A106" s="205">
        <v>11</v>
      </c>
      <c r="B106" s="413"/>
      <c r="C106" s="383"/>
      <c r="D106" s="263"/>
      <c r="E106" s="380"/>
      <c r="F106" s="380"/>
      <c r="G106" s="377"/>
      <c r="H106" s="386"/>
      <c r="I106" s="406"/>
      <c r="J106" s="407"/>
      <c r="K106" s="407"/>
      <c r="L106" s="407"/>
      <c r="M106" s="407"/>
      <c r="N106" s="408"/>
      <c r="O106" s="264"/>
      <c r="P106" s="380"/>
      <c r="Q106" s="383"/>
      <c r="R106" s="380"/>
      <c r="S106" s="383"/>
      <c r="T106" s="380"/>
      <c r="U106" s="386"/>
      <c r="V106" s="265">
        <f t="shared" si="22"/>
        <v>0</v>
      </c>
      <c r="W106" s="266"/>
      <c r="X106" s="267" t="str">
        <f t="shared" si="13"/>
        <v/>
      </c>
      <c r="Y106" s="267" t="str">
        <f>IF(V106=1,V106+MAX($Y$5:Y105),"")</f>
        <v/>
      </c>
      <c r="Z106" s="267"/>
      <c r="AA106" s="265" t="str">
        <f>IF(ISTEXT(W106),IF(ISTEXT(Z106),Z106,'Datasource 2'!$M$14),"")</f>
        <v/>
      </c>
      <c r="AB106" s="261"/>
      <c r="AC106" s="261" t="str">
        <f t="shared" si="14"/>
        <v/>
      </c>
      <c r="AD106" s="261" t="str">
        <f t="shared" si="15"/>
        <v/>
      </c>
      <c r="AE106" s="262"/>
      <c r="AF106" s="380"/>
      <c r="AG106" s="380"/>
      <c r="AH106" s="389"/>
    </row>
    <row r="107" spans="1:34" ht="35.1" customHeight="1" x14ac:dyDescent="0.35">
      <c r="A107" s="205">
        <v>11</v>
      </c>
      <c r="B107" s="413"/>
      <c r="C107" s="383"/>
      <c r="D107" s="263"/>
      <c r="E107" s="380"/>
      <c r="F107" s="380"/>
      <c r="G107" s="377"/>
      <c r="H107" s="386"/>
      <c r="I107" s="406"/>
      <c r="J107" s="407"/>
      <c r="K107" s="407"/>
      <c r="L107" s="407"/>
      <c r="M107" s="407"/>
      <c r="N107" s="408"/>
      <c r="O107" s="264"/>
      <c r="P107" s="380"/>
      <c r="Q107" s="383"/>
      <c r="R107" s="380"/>
      <c r="S107" s="383"/>
      <c r="T107" s="380"/>
      <c r="U107" s="386"/>
      <c r="V107" s="265">
        <f t="shared" si="22"/>
        <v>0</v>
      </c>
      <c r="W107" s="266"/>
      <c r="X107" s="267" t="str">
        <f t="shared" si="13"/>
        <v/>
      </c>
      <c r="Y107" s="267" t="str">
        <f>IF(V107=1,V107+MAX($Y$5:Y106),"")</f>
        <v/>
      </c>
      <c r="Z107" s="267"/>
      <c r="AA107" s="265" t="str">
        <f>IF(ISTEXT(W107),IF(ISTEXT(Z107),Z107,'Datasource 2'!$M$14),"")</f>
        <v/>
      </c>
      <c r="AB107" s="261"/>
      <c r="AC107" s="261" t="str">
        <f t="shared" si="14"/>
        <v/>
      </c>
      <c r="AD107" s="261" t="str">
        <f t="shared" si="15"/>
        <v/>
      </c>
      <c r="AE107" s="262"/>
      <c r="AF107" s="380"/>
      <c r="AG107" s="380"/>
      <c r="AH107" s="389"/>
    </row>
    <row r="108" spans="1:34" ht="35.1" customHeight="1" x14ac:dyDescent="0.35">
      <c r="A108" s="205">
        <v>11</v>
      </c>
      <c r="B108" s="413"/>
      <c r="C108" s="383"/>
      <c r="D108" s="263"/>
      <c r="E108" s="380"/>
      <c r="F108" s="380"/>
      <c r="G108" s="377"/>
      <c r="H108" s="386"/>
      <c r="I108" s="406"/>
      <c r="J108" s="407"/>
      <c r="K108" s="407"/>
      <c r="L108" s="407"/>
      <c r="M108" s="407"/>
      <c r="N108" s="408"/>
      <c r="O108" s="264"/>
      <c r="P108" s="380"/>
      <c r="Q108" s="383"/>
      <c r="R108" s="380"/>
      <c r="S108" s="383"/>
      <c r="T108" s="380"/>
      <c r="U108" s="386"/>
      <c r="V108" s="265">
        <f t="shared" si="22"/>
        <v>0</v>
      </c>
      <c r="W108" s="266"/>
      <c r="X108" s="267" t="str">
        <f t="shared" si="13"/>
        <v/>
      </c>
      <c r="Y108" s="267" t="str">
        <f>IF(V108=1,V108+MAX($Y$5:Y107),"")</f>
        <v/>
      </c>
      <c r="Z108" s="267"/>
      <c r="AA108" s="265" t="str">
        <f>IF(ISTEXT(W108),IF(ISTEXT(Z108),Z108,'Datasource 2'!$M$14),"")</f>
        <v/>
      </c>
      <c r="AB108" s="261"/>
      <c r="AC108" s="261" t="str">
        <f t="shared" si="14"/>
        <v/>
      </c>
      <c r="AD108" s="261" t="str">
        <f t="shared" si="15"/>
        <v/>
      </c>
      <c r="AE108" s="262"/>
      <c r="AF108" s="380"/>
      <c r="AG108" s="380"/>
      <c r="AH108" s="389"/>
    </row>
    <row r="109" spans="1:34" ht="35.1" customHeight="1" x14ac:dyDescent="0.35">
      <c r="A109" s="205">
        <v>11</v>
      </c>
      <c r="B109" s="413"/>
      <c r="C109" s="383"/>
      <c r="D109" s="263"/>
      <c r="E109" s="380"/>
      <c r="F109" s="380"/>
      <c r="G109" s="377"/>
      <c r="H109" s="386"/>
      <c r="I109" s="406"/>
      <c r="J109" s="407"/>
      <c r="K109" s="407"/>
      <c r="L109" s="407"/>
      <c r="M109" s="407"/>
      <c r="N109" s="408"/>
      <c r="O109" s="264"/>
      <c r="P109" s="380"/>
      <c r="Q109" s="383"/>
      <c r="R109" s="380"/>
      <c r="S109" s="383"/>
      <c r="T109" s="380"/>
      <c r="U109" s="386"/>
      <c r="V109" s="265">
        <f t="shared" si="22"/>
        <v>0</v>
      </c>
      <c r="W109" s="266"/>
      <c r="X109" s="267" t="str">
        <f t="shared" si="13"/>
        <v/>
      </c>
      <c r="Y109" s="267" t="str">
        <f>IF(V109=1,V109+MAX($Y$5:Y108),"")</f>
        <v/>
      </c>
      <c r="Z109" s="267"/>
      <c r="AA109" s="265" t="str">
        <f>IF(ISTEXT(W109),IF(ISTEXT(Z109),Z109,'Datasource 2'!$M$14),"")</f>
        <v/>
      </c>
      <c r="AB109" s="261"/>
      <c r="AC109" s="261" t="str">
        <f t="shared" si="14"/>
        <v/>
      </c>
      <c r="AD109" s="261" t="str">
        <f t="shared" si="15"/>
        <v/>
      </c>
      <c r="AE109" s="262"/>
      <c r="AF109" s="380"/>
      <c r="AG109" s="380"/>
      <c r="AH109" s="389"/>
    </row>
    <row r="110" spans="1:34" ht="35.1" customHeight="1" x14ac:dyDescent="0.35">
      <c r="A110" s="205">
        <v>11</v>
      </c>
      <c r="B110" s="413"/>
      <c r="C110" s="383"/>
      <c r="D110" s="263"/>
      <c r="E110" s="380"/>
      <c r="F110" s="380"/>
      <c r="G110" s="377"/>
      <c r="H110" s="386"/>
      <c r="I110" s="406"/>
      <c r="J110" s="407"/>
      <c r="K110" s="407"/>
      <c r="L110" s="407"/>
      <c r="M110" s="407"/>
      <c r="N110" s="408"/>
      <c r="O110" s="264"/>
      <c r="P110" s="380"/>
      <c r="Q110" s="383"/>
      <c r="R110" s="380"/>
      <c r="S110" s="383"/>
      <c r="T110" s="380"/>
      <c r="U110" s="386"/>
      <c r="V110" s="265">
        <f t="shared" si="22"/>
        <v>0</v>
      </c>
      <c r="W110" s="266"/>
      <c r="X110" s="267" t="str">
        <f t="shared" si="13"/>
        <v/>
      </c>
      <c r="Y110" s="267" t="str">
        <f>IF(V110=1,V110+MAX($Y$5:Y109),"")</f>
        <v/>
      </c>
      <c r="Z110" s="267"/>
      <c r="AA110" s="265" t="str">
        <f>IF(ISTEXT(W110),IF(ISTEXT(Z110),Z110,'Datasource 2'!$M$14),"")</f>
        <v/>
      </c>
      <c r="AB110" s="261"/>
      <c r="AC110" s="261" t="str">
        <f t="shared" si="14"/>
        <v/>
      </c>
      <c r="AD110" s="261" t="str">
        <f t="shared" si="15"/>
        <v/>
      </c>
      <c r="AE110" s="262"/>
      <c r="AF110" s="380"/>
      <c r="AG110" s="380"/>
      <c r="AH110" s="389"/>
    </row>
    <row r="111" spans="1:34" ht="35.1" customHeight="1" x14ac:dyDescent="0.35">
      <c r="A111" s="205">
        <v>11</v>
      </c>
      <c r="B111" s="413"/>
      <c r="C111" s="383"/>
      <c r="D111" s="263"/>
      <c r="E111" s="380"/>
      <c r="F111" s="380"/>
      <c r="G111" s="377"/>
      <c r="H111" s="386"/>
      <c r="I111" s="406"/>
      <c r="J111" s="407"/>
      <c r="K111" s="407"/>
      <c r="L111" s="407"/>
      <c r="M111" s="407"/>
      <c r="N111" s="408"/>
      <c r="O111" s="264"/>
      <c r="P111" s="380"/>
      <c r="Q111" s="383"/>
      <c r="R111" s="380"/>
      <c r="S111" s="383"/>
      <c r="T111" s="380"/>
      <c r="U111" s="386"/>
      <c r="V111" s="265">
        <f t="shared" si="22"/>
        <v>0</v>
      </c>
      <c r="W111" s="266"/>
      <c r="X111" s="267" t="str">
        <f t="shared" si="13"/>
        <v/>
      </c>
      <c r="Y111" s="267" t="str">
        <f>IF(V111=1,V111+MAX($Y$5:Y110),"")</f>
        <v/>
      </c>
      <c r="Z111" s="267"/>
      <c r="AA111" s="265" t="str">
        <f>IF(ISTEXT(W111),IF(ISTEXT(Z111),Z111,'Datasource 2'!$M$14),"")</f>
        <v/>
      </c>
      <c r="AB111" s="261"/>
      <c r="AC111" s="261" t="str">
        <f t="shared" si="14"/>
        <v/>
      </c>
      <c r="AD111" s="261" t="str">
        <f t="shared" si="15"/>
        <v/>
      </c>
      <c r="AE111" s="262"/>
      <c r="AF111" s="380"/>
      <c r="AG111" s="380"/>
      <c r="AH111" s="389"/>
    </row>
    <row r="112" spans="1:34" ht="35.1" customHeight="1" x14ac:dyDescent="0.35">
      <c r="A112" s="205">
        <v>11</v>
      </c>
      <c r="B112" s="413"/>
      <c r="C112" s="383"/>
      <c r="D112" s="263"/>
      <c r="E112" s="380"/>
      <c r="F112" s="380"/>
      <c r="G112" s="377"/>
      <c r="H112" s="386"/>
      <c r="I112" s="406"/>
      <c r="J112" s="407"/>
      <c r="K112" s="407"/>
      <c r="L112" s="407"/>
      <c r="M112" s="407"/>
      <c r="N112" s="408"/>
      <c r="O112" s="264"/>
      <c r="P112" s="380"/>
      <c r="Q112" s="383"/>
      <c r="R112" s="380"/>
      <c r="S112" s="383"/>
      <c r="T112" s="380"/>
      <c r="U112" s="386"/>
      <c r="V112" s="265">
        <f t="shared" si="22"/>
        <v>0</v>
      </c>
      <c r="W112" s="266"/>
      <c r="X112" s="267" t="str">
        <f t="shared" si="13"/>
        <v/>
      </c>
      <c r="Y112" s="267" t="str">
        <f>IF(V112=1,V112+MAX($Y$5:Y111),"")</f>
        <v/>
      </c>
      <c r="Z112" s="267"/>
      <c r="AA112" s="265" t="str">
        <f>IF(ISTEXT(W112),IF(ISTEXT(Z112),Z112,'Datasource 2'!$M$14),"")</f>
        <v/>
      </c>
      <c r="AB112" s="261"/>
      <c r="AC112" s="261" t="str">
        <f t="shared" si="14"/>
        <v/>
      </c>
      <c r="AD112" s="261" t="str">
        <f t="shared" si="15"/>
        <v/>
      </c>
      <c r="AE112" s="262"/>
      <c r="AF112" s="380"/>
      <c r="AG112" s="380"/>
      <c r="AH112" s="389"/>
    </row>
    <row r="113" spans="1:34" ht="35.1" customHeight="1" x14ac:dyDescent="0.35">
      <c r="A113" s="205">
        <v>11</v>
      </c>
      <c r="B113" s="413"/>
      <c r="C113" s="383"/>
      <c r="D113" s="263"/>
      <c r="E113" s="380"/>
      <c r="F113" s="380"/>
      <c r="G113" s="377"/>
      <c r="H113" s="386"/>
      <c r="I113" s="406"/>
      <c r="J113" s="407"/>
      <c r="K113" s="407"/>
      <c r="L113" s="407"/>
      <c r="M113" s="407"/>
      <c r="N113" s="408"/>
      <c r="O113" s="264"/>
      <c r="P113" s="380"/>
      <c r="Q113" s="383"/>
      <c r="R113" s="380"/>
      <c r="S113" s="383"/>
      <c r="T113" s="380"/>
      <c r="U113" s="386"/>
      <c r="V113" s="265">
        <f t="shared" si="22"/>
        <v>0</v>
      </c>
      <c r="W113" s="266"/>
      <c r="X113" s="267" t="str">
        <f t="shared" si="13"/>
        <v/>
      </c>
      <c r="Y113" s="267" t="str">
        <f>IF(V113=1,V113+MAX($Y$5:Y112),"")</f>
        <v/>
      </c>
      <c r="Z113" s="267"/>
      <c r="AA113" s="265" t="str">
        <f>IF(ISTEXT(W113),IF(ISTEXT(Z113),Z113,'Datasource 2'!$M$14),"")</f>
        <v/>
      </c>
      <c r="AB113" s="261"/>
      <c r="AC113" s="261" t="str">
        <f t="shared" si="14"/>
        <v/>
      </c>
      <c r="AD113" s="261" t="str">
        <f t="shared" si="15"/>
        <v/>
      </c>
      <c r="AE113" s="262"/>
      <c r="AF113" s="380"/>
      <c r="AG113" s="380"/>
      <c r="AH113" s="389"/>
    </row>
    <row r="114" spans="1:34" ht="35.1" customHeight="1" thickBot="1" x14ac:dyDescent="0.4">
      <c r="A114" s="205">
        <v>11</v>
      </c>
      <c r="B114" s="414"/>
      <c r="C114" s="384"/>
      <c r="D114" s="268"/>
      <c r="E114" s="381"/>
      <c r="F114" s="381"/>
      <c r="G114" s="378"/>
      <c r="H114" s="387"/>
      <c r="I114" s="409"/>
      <c r="J114" s="410"/>
      <c r="K114" s="410"/>
      <c r="L114" s="410"/>
      <c r="M114" s="410"/>
      <c r="N114" s="411"/>
      <c r="O114" s="269"/>
      <c r="P114" s="381"/>
      <c r="Q114" s="384"/>
      <c r="R114" s="381"/>
      <c r="S114" s="384"/>
      <c r="T114" s="381"/>
      <c r="U114" s="387"/>
      <c r="V114" s="270">
        <f t="shared" si="22"/>
        <v>0</v>
      </c>
      <c r="W114" s="271"/>
      <c r="X114" s="272" t="str">
        <f t="shared" si="13"/>
        <v/>
      </c>
      <c r="Y114" s="272" t="str">
        <f>IF(V114=1,V114+MAX($Y$5:Y113),"")</f>
        <v/>
      </c>
      <c r="Z114" s="272"/>
      <c r="AA114" s="270" t="str">
        <f>IF(ISTEXT(W114),IF(ISTEXT(Z114),Z114,'Datasource 2'!$M$14),"")</f>
        <v/>
      </c>
      <c r="AB114" s="273"/>
      <c r="AC114" s="261" t="str">
        <f t="shared" si="14"/>
        <v/>
      </c>
      <c r="AD114" s="261" t="str">
        <f t="shared" si="15"/>
        <v/>
      </c>
      <c r="AE114" s="274"/>
      <c r="AF114" s="381"/>
      <c r="AG114" s="381"/>
      <c r="AH114" s="390"/>
    </row>
    <row r="115" spans="1:34" ht="35.1" customHeight="1" x14ac:dyDescent="0.35">
      <c r="A115" s="205">
        <v>12</v>
      </c>
      <c r="B115" s="391">
        <v>12</v>
      </c>
      <c r="C115" s="364"/>
      <c r="D115" s="323"/>
      <c r="E115" s="361"/>
      <c r="F115" s="361"/>
      <c r="G115" s="373"/>
      <c r="H115" s="367" t="e">
        <f>IF(VLOOKUP(G115,Trusselvurdering!$B$3:$P$28,15,FALSE)=0,VLOOKUP(G115,Trusselvurdering!$B$3:$P$28,14,FALSE),VLOOKUP(G115,Trusselvurdering!$B$3:$P$28,15,FALSE))</f>
        <v>#N/A</v>
      </c>
      <c r="I115" s="394"/>
      <c r="J115" s="395"/>
      <c r="K115" s="395"/>
      <c r="L115" s="395"/>
      <c r="M115" s="395"/>
      <c r="N115" s="396"/>
      <c r="O115" s="324"/>
      <c r="P115" s="361"/>
      <c r="Q115" s="364"/>
      <c r="R115" s="361"/>
      <c r="S115" s="364"/>
      <c r="T115" s="361"/>
      <c r="U115" s="367" t="e">
        <f>VLOOKUP(Risikovurdering_data!C113,Akseptkriterier!$C$33:$H$37,MATCH(Risikovurdering_data!D113,Akseptkriterier!$D$32:$H$32,0)+1,FALSE)</f>
        <v>#N/A</v>
      </c>
      <c r="V115" s="325">
        <f t="shared" ref="V115:V122" si="23">IF(W115="",0,1)</f>
        <v>0</v>
      </c>
      <c r="W115" s="326"/>
      <c r="X115" s="327" t="str">
        <f t="shared" si="13"/>
        <v/>
      </c>
      <c r="Y115" s="327" t="str">
        <f>IF(V115=1,V115+MAX($Y$5:Y114),"")</f>
        <v/>
      </c>
      <c r="Z115" s="327"/>
      <c r="AA115" s="325" t="str">
        <f>IF(ISTEXT(W115),IF(ISTEXT(Z115),Z115,'Datasource 2'!$M$14),"")</f>
        <v/>
      </c>
      <c r="AB115" s="328"/>
      <c r="AC115" s="328" t="str">
        <f t="shared" si="14"/>
        <v/>
      </c>
      <c r="AD115" s="328" t="str">
        <f t="shared" si="15"/>
        <v/>
      </c>
      <c r="AE115" s="329"/>
      <c r="AF115" s="361"/>
      <c r="AG115" s="361"/>
      <c r="AH115" s="370" t="e">
        <f>VLOOKUP(Risikovurdering_data!F113,Akseptkriterier!$C$33:$H$37,MATCH(Risikovurdering_data!G113,Akseptkriterier!$D$32:$H$32,0)+1,FALSE)</f>
        <v>#N/A</v>
      </c>
    </row>
    <row r="116" spans="1:34" ht="35.1" customHeight="1" x14ac:dyDescent="0.35">
      <c r="A116" s="205">
        <v>12</v>
      </c>
      <c r="B116" s="392"/>
      <c r="C116" s="365"/>
      <c r="D116" s="330"/>
      <c r="E116" s="362"/>
      <c r="F116" s="362"/>
      <c r="G116" s="374"/>
      <c r="H116" s="368"/>
      <c r="I116" s="397"/>
      <c r="J116" s="398"/>
      <c r="K116" s="398"/>
      <c r="L116" s="398"/>
      <c r="M116" s="398"/>
      <c r="N116" s="399"/>
      <c r="O116" s="331"/>
      <c r="P116" s="362"/>
      <c r="Q116" s="365"/>
      <c r="R116" s="362"/>
      <c r="S116" s="365"/>
      <c r="T116" s="362"/>
      <c r="U116" s="368"/>
      <c r="V116" s="332">
        <f t="shared" si="23"/>
        <v>0</v>
      </c>
      <c r="W116" s="333"/>
      <c r="X116" s="334" t="str">
        <f t="shared" si="13"/>
        <v/>
      </c>
      <c r="Y116" s="334" t="str">
        <f>IF(V116=1,V116+MAX($Y$5:Y115),"")</f>
        <v/>
      </c>
      <c r="Z116" s="334"/>
      <c r="AA116" s="332" t="str">
        <f>IF(ISTEXT(W116),IF(ISTEXT(Z116),Z116,'Datasource 2'!$M$14),"")</f>
        <v/>
      </c>
      <c r="AB116" s="328"/>
      <c r="AC116" s="328" t="str">
        <f t="shared" si="14"/>
        <v/>
      </c>
      <c r="AD116" s="328" t="str">
        <f t="shared" si="15"/>
        <v/>
      </c>
      <c r="AE116" s="329"/>
      <c r="AF116" s="362"/>
      <c r="AG116" s="362"/>
      <c r="AH116" s="371"/>
    </row>
    <row r="117" spans="1:34" ht="35.1" customHeight="1" x14ac:dyDescent="0.35">
      <c r="A117" s="205">
        <v>12</v>
      </c>
      <c r="B117" s="392"/>
      <c r="C117" s="365"/>
      <c r="D117" s="330"/>
      <c r="E117" s="362"/>
      <c r="F117" s="362"/>
      <c r="G117" s="374"/>
      <c r="H117" s="368"/>
      <c r="I117" s="397"/>
      <c r="J117" s="398"/>
      <c r="K117" s="398"/>
      <c r="L117" s="398"/>
      <c r="M117" s="398"/>
      <c r="N117" s="399"/>
      <c r="O117" s="331"/>
      <c r="P117" s="362"/>
      <c r="Q117" s="365"/>
      <c r="R117" s="362"/>
      <c r="S117" s="365"/>
      <c r="T117" s="362"/>
      <c r="U117" s="368"/>
      <c r="V117" s="332">
        <f t="shared" si="23"/>
        <v>0</v>
      </c>
      <c r="W117" s="333"/>
      <c r="X117" s="334" t="str">
        <f t="shared" si="13"/>
        <v/>
      </c>
      <c r="Y117" s="334" t="str">
        <f>IF(V117=1,V117+MAX($Y$5:Y116),"")</f>
        <v/>
      </c>
      <c r="Z117" s="334"/>
      <c r="AA117" s="332" t="str">
        <f>IF(ISTEXT(W117),IF(ISTEXT(Z117),Z117,'Datasource 2'!$M$14),"")</f>
        <v/>
      </c>
      <c r="AB117" s="328"/>
      <c r="AC117" s="328" t="str">
        <f t="shared" si="14"/>
        <v/>
      </c>
      <c r="AD117" s="328" t="str">
        <f t="shared" si="15"/>
        <v/>
      </c>
      <c r="AE117" s="329"/>
      <c r="AF117" s="362"/>
      <c r="AG117" s="362"/>
      <c r="AH117" s="371"/>
    </row>
    <row r="118" spans="1:34" ht="35.1" customHeight="1" x14ac:dyDescent="0.35">
      <c r="A118" s="205">
        <v>12</v>
      </c>
      <c r="B118" s="392"/>
      <c r="C118" s="365"/>
      <c r="D118" s="330"/>
      <c r="E118" s="362"/>
      <c r="F118" s="362"/>
      <c r="G118" s="374"/>
      <c r="H118" s="368"/>
      <c r="I118" s="397"/>
      <c r="J118" s="398"/>
      <c r="K118" s="398"/>
      <c r="L118" s="398"/>
      <c r="M118" s="398"/>
      <c r="N118" s="399"/>
      <c r="O118" s="331"/>
      <c r="P118" s="362"/>
      <c r="Q118" s="365"/>
      <c r="R118" s="362"/>
      <c r="S118" s="365"/>
      <c r="T118" s="362"/>
      <c r="U118" s="368"/>
      <c r="V118" s="332">
        <f t="shared" si="23"/>
        <v>0</v>
      </c>
      <c r="W118" s="333"/>
      <c r="X118" s="334" t="str">
        <f t="shared" si="13"/>
        <v/>
      </c>
      <c r="Y118" s="334" t="str">
        <f>IF(V118=1,V118+MAX($Y$5:Y117),"")</f>
        <v/>
      </c>
      <c r="Z118" s="334"/>
      <c r="AA118" s="332" t="str">
        <f>IF(ISTEXT(W118),IF(ISTEXT(Z118),Z118,'Datasource 2'!$M$14),"")</f>
        <v/>
      </c>
      <c r="AB118" s="328"/>
      <c r="AC118" s="328" t="str">
        <f t="shared" si="14"/>
        <v/>
      </c>
      <c r="AD118" s="328" t="str">
        <f t="shared" si="15"/>
        <v/>
      </c>
      <c r="AE118" s="329"/>
      <c r="AF118" s="362"/>
      <c r="AG118" s="362"/>
      <c r="AH118" s="371"/>
    </row>
    <row r="119" spans="1:34" ht="35.1" customHeight="1" x14ac:dyDescent="0.35">
      <c r="A119" s="205">
        <v>12</v>
      </c>
      <c r="B119" s="392"/>
      <c r="C119" s="365"/>
      <c r="D119" s="330"/>
      <c r="E119" s="362"/>
      <c r="F119" s="362"/>
      <c r="G119" s="374"/>
      <c r="H119" s="368"/>
      <c r="I119" s="397"/>
      <c r="J119" s="398"/>
      <c r="K119" s="398"/>
      <c r="L119" s="398"/>
      <c r="M119" s="398"/>
      <c r="N119" s="399"/>
      <c r="O119" s="331"/>
      <c r="P119" s="362"/>
      <c r="Q119" s="365"/>
      <c r="R119" s="362"/>
      <c r="S119" s="365"/>
      <c r="T119" s="362"/>
      <c r="U119" s="368"/>
      <c r="V119" s="332">
        <f t="shared" si="23"/>
        <v>0</v>
      </c>
      <c r="W119" s="333"/>
      <c r="X119" s="334" t="str">
        <f t="shared" si="13"/>
        <v/>
      </c>
      <c r="Y119" s="334" t="str">
        <f>IF(V119=1,V119+MAX($Y$5:Y118),"")</f>
        <v/>
      </c>
      <c r="Z119" s="334"/>
      <c r="AA119" s="332" t="str">
        <f>IF(ISTEXT(W119),IF(ISTEXT(Z119),Z119,'Datasource 2'!$M$14),"")</f>
        <v/>
      </c>
      <c r="AB119" s="328"/>
      <c r="AC119" s="328" t="str">
        <f t="shared" si="14"/>
        <v/>
      </c>
      <c r="AD119" s="328" t="str">
        <f t="shared" si="15"/>
        <v/>
      </c>
      <c r="AE119" s="329"/>
      <c r="AF119" s="362"/>
      <c r="AG119" s="362"/>
      <c r="AH119" s="371"/>
    </row>
    <row r="120" spans="1:34" ht="35.1" customHeight="1" x14ac:dyDescent="0.35">
      <c r="A120" s="205">
        <v>12</v>
      </c>
      <c r="B120" s="392"/>
      <c r="C120" s="365"/>
      <c r="D120" s="330"/>
      <c r="E120" s="362"/>
      <c r="F120" s="362"/>
      <c r="G120" s="374"/>
      <c r="H120" s="368"/>
      <c r="I120" s="397"/>
      <c r="J120" s="398"/>
      <c r="K120" s="398"/>
      <c r="L120" s="398"/>
      <c r="M120" s="398"/>
      <c r="N120" s="399"/>
      <c r="O120" s="331"/>
      <c r="P120" s="362"/>
      <c r="Q120" s="365"/>
      <c r="R120" s="362"/>
      <c r="S120" s="365"/>
      <c r="T120" s="362"/>
      <c r="U120" s="368"/>
      <c r="V120" s="332">
        <f t="shared" si="23"/>
        <v>0</v>
      </c>
      <c r="W120" s="333"/>
      <c r="X120" s="334" t="str">
        <f t="shared" si="13"/>
        <v/>
      </c>
      <c r="Y120" s="334" t="str">
        <f>IF(V120=1,V120+MAX($Y$5:Y119),"")</f>
        <v/>
      </c>
      <c r="Z120" s="334"/>
      <c r="AA120" s="332" t="str">
        <f>IF(ISTEXT(W120),IF(ISTEXT(Z120),Z120,'Datasource 2'!$M$14),"")</f>
        <v/>
      </c>
      <c r="AB120" s="328"/>
      <c r="AC120" s="328" t="str">
        <f t="shared" si="14"/>
        <v/>
      </c>
      <c r="AD120" s="328" t="str">
        <f t="shared" si="15"/>
        <v/>
      </c>
      <c r="AE120" s="329"/>
      <c r="AF120" s="362"/>
      <c r="AG120" s="362"/>
      <c r="AH120" s="371"/>
    </row>
    <row r="121" spans="1:34" ht="35.1" customHeight="1" x14ac:dyDescent="0.35">
      <c r="A121" s="205">
        <v>12</v>
      </c>
      <c r="B121" s="392"/>
      <c r="C121" s="365"/>
      <c r="D121" s="330"/>
      <c r="E121" s="362"/>
      <c r="F121" s="362"/>
      <c r="G121" s="374"/>
      <c r="H121" s="368"/>
      <c r="I121" s="397"/>
      <c r="J121" s="398"/>
      <c r="K121" s="398"/>
      <c r="L121" s="398"/>
      <c r="M121" s="398"/>
      <c r="N121" s="399"/>
      <c r="O121" s="331"/>
      <c r="P121" s="362"/>
      <c r="Q121" s="365"/>
      <c r="R121" s="362"/>
      <c r="S121" s="365"/>
      <c r="T121" s="362"/>
      <c r="U121" s="368"/>
      <c r="V121" s="332">
        <f t="shared" si="23"/>
        <v>0</v>
      </c>
      <c r="W121" s="333"/>
      <c r="X121" s="334" t="str">
        <f t="shared" si="13"/>
        <v/>
      </c>
      <c r="Y121" s="334" t="str">
        <f>IF(V121=1,V121+MAX($Y$5:Y120),"")</f>
        <v/>
      </c>
      <c r="Z121" s="334"/>
      <c r="AA121" s="332" t="str">
        <f>IF(ISTEXT(W121),IF(ISTEXT(Z121),Z121,'Datasource 2'!$M$14),"")</f>
        <v/>
      </c>
      <c r="AB121" s="328"/>
      <c r="AC121" s="328" t="str">
        <f t="shared" si="14"/>
        <v/>
      </c>
      <c r="AD121" s="328" t="str">
        <f t="shared" si="15"/>
        <v/>
      </c>
      <c r="AE121" s="329"/>
      <c r="AF121" s="362"/>
      <c r="AG121" s="362"/>
      <c r="AH121" s="371"/>
    </row>
    <row r="122" spans="1:34" ht="35.1" customHeight="1" x14ac:dyDescent="0.35">
      <c r="A122" s="205">
        <v>12</v>
      </c>
      <c r="B122" s="392"/>
      <c r="C122" s="365"/>
      <c r="D122" s="330"/>
      <c r="E122" s="362"/>
      <c r="F122" s="362"/>
      <c r="G122" s="374"/>
      <c r="H122" s="368"/>
      <c r="I122" s="397"/>
      <c r="J122" s="398"/>
      <c r="K122" s="398"/>
      <c r="L122" s="398"/>
      <c r="M122" s="398"/>
      <c r="N122" s="399"/>
      <c r="O122" s="331"/>
      <c r="P122" s="362"/>
      <c r="Q122" s="365"/>
      <c r="R122" s="362"/>
      <c r="S122" s="365"/>
      <c r="T122" s="362"/>
      <c r="U122" s="368"/>
      <c r="V122" s="332">
        <f t="shared" si="23"/>
        <v>0</v>
      </c>
      <c r="W122" s="333"/>
      <c r="X122" s="334" t="str">
        <f t="shared" si="13"/>
        <v/>
      </c>
      <c r="Y122" s="334" t="str">
        <f>IF(V122=1,V122+MAX($Y$5:Y121),"")</f>
        <v/>
      </c>
      <c r="Z122" s="334"/>
      <c r="AA122" s="332" t="str">
        <f>IF(ISTEXT(W122),IF(ISTEXT(Z122),Z122,'Datasource 2'!$M$14),"")</f>
        <v/>
      </c>
      <c r="AB122" s="328"/>
      <c r="AC122" s="328" t="str">
        <f t="shared" si="14"/>
        <v/>
      </c>
      <c r="AD122" s="328" t="str">
        <f t="shared" si="15"/>
        <v/>
      </c>
      <c r="AE122" s="329"/>
      <c r="AF122" s="362"/>
      <c r="AG122" s="362"/>
      <c r="AH122" s="371"/>
    </row>
    <row r="123" spans="1:34" ht="35.1" customHeight="1" x14ac:dyDescent="0.35">
      <c r="A123" s="205">
        <v>12</v>
      </c>
      <c r="B123" s="392"/>
      <c r="C123" s="365"/>
      <c r="D123" s="330"/>
      <c r="E123" s="362"/>
      <c r="F123" s="362"/>
      <c r="G123" s="374"/>
      <c r="H123" s="368"/>
      <c r="I123" s="397"/>
      <c r="J123" s="398"/>
      <c r="K123" s="398"/>
      <c r="L123" s="398"/>
      <c r="M123" s="398"/>
      <c r="N123" s="399"/>
      <c r="O123" s="331"/>
      <c r="P123" s="362"/>
      <c r="Q123" s="365"/>
      <c r="R123" s="362"/>
      <c r="S123" s="365"/>
      <c r="T123" s="362"/>
      <c r="U123" s="368"/>
      <c r="V123" s="332">
        <f t="shared" ref="V123:V180" si="24">IF(W123="",0,1)</f>
        <v>0</v>
      </c>
      <c r="W123" s="333"/>
      <c r="X123" s="334" t="str">
        <f t="shared" si="13"/>
        <v/>
      </c>
      <c r="Y123" s="334" t="str">
        <f>IF(V123=1,V123+MAX($Y$5:Y122),"")</f>
        <v/>
      </c>
      <c r="Z123" s="334"/>
      <c r="AA123" s="332" t="str">
        <f>IF(ISTEXT(W123),IF(ISTEXT(Z123),Z123,'Datasource 2'!$M$14),"")</f>
        <v/>
      </c>
      <c r="AB123" s="328"/>
      <c r="AC123" s="328" t="str">
        <f t="shared" si="14"/>
        <v/>
      </c>
      <c r="AD123" s="328" t="str">
        <f t="shared" si="15"/>
        <v/>
      </c>
      <c r="AE123" s="329"/>
      <c r="AF123" s="362"/>
      <c r="AG123" s="362"/>
      <c r="AH123" s="371"/>
    </row>
    <row r="124" spans="1:34" ht="35.1" customHeight="1" thickBot="1" x14ac:dyDescent="0.4">
      <c r="A124" s="205">
        <v>12</v>
      </c>
      <c r="B124" s="393"/>
      <c r="C124" s="366"/>
      <c r="D124" s="335"/>
      <c r="E124" s="363"/>
      <c r="F124" s="363"/>
      <c r="G124" s="375"/>
      <c r="H124" s="369"/>
      <c r="I124" s="400"/>
      <c r="J124" s="401"/>
      <c r="K124" s="401"/>
      <c r="L124" s="401"/>
      <c r="M124" s="401"/>
      <c r="N124" s="402"/>
      <c r="O124" s="336"/>
      <c r="P124" s="363"/>
      <c r="Q124" s="366"/>
      <c r="R124" s="363"/>
      <c r="S124" s="366"/>
      <c r="T124" s="363"/>
      <c r="U124" s="369"/>
      <c r="V124" s="337">
        <f t="shared" si="24"/>
        <v>0</v>
      </c>
      <c r="W124" s="338"/>
      <c r="X124" s="339" t="str">
        <f t="shared" si="13"/>
        <v/>
      </c>
      <c r="Y124" s="339" t="str">
        <f>IF(V124=1,V124+MAX($Y$5:Y123),"")</f>
        <v/>
      </c>
      <c r="Z124" s="339"/>
      <c r="AA124" s="337" t="str">
        <f>IF(ISTEXT(W124),IF(ISTEXT(Z124),Z124,'Datasource 2'!$M$14),"")</f>
        <v/>
      </c>
      <c r="AB124" s="339"/>
      <c r="AC124" s="328" t="str">
        <f t="shared" si="14"/>
        <v/>
      </c>
      <c r="AD124" s="328" t="str">
        <f t="shared" si="15"/>
        <v/>
      </c>
      <c r="AE124" s="340"/>
      <c r="AF124" s="363"/>
      <c r="AG124" s="363"/>
      <c r="AH124" s="372"/>
    </row>
    <row r="125" spans="1:34" ht="35.1" customHeight="1" x14ac:dyDescent="0.35">
      <c r="A125" s="205">
        <v>13</v>
      </c>
      <c r="B125" s="412">
        <v>13</v>
      </c>
      <c r="C125" s="382"/>
      <c r="D125" s="257"/>
      <c r="E125" s="379"/>
      <c r="F125" s="379"/>
      <c r="G125" s="376"/>
      <c r="H125" s="385" t="e">
        <f>IF(VLOOKUP(G125,Trusselvurdering!$B$3:$P$28,15,FALSE)=0,VLOOKUP(G125,Trusselvurdering!$B$3:$P$28,14,FALSE),VLOOKUP(G125,Trusselvurdering!$B$3:$P$28,15,FALSE))</f>
        <v>#N/A</v>
      </c>
      <c r="I125" s="403"/>
      <c r="J125" s="404"/>
      <c r="K125" s="404"/>
      <c r="L125" s="404"/>
      <c r="M125" s="404"/>
      <c r="N125" s="405"/>
      <c r="O125" s="258"/>
      <c r="P125" s="379"/>
      <c r="Q125" s="382"/>
      <c r="R125" s="379"/>
      <c r="S125" s="382"/>
      <c r="T125" s="379"/>
      <c r="U125" s="385" t="e">
        <f>VLOOKUP(Risikovurdering_data!C123,Akseptkriterier!$C$33:$H$37,MATCH(Risikovurdering_data!D123,Akseptkriterier!$D$32:$H$32,0)+1,FALSE)</f>
        <v>#N/A</v>
      </c>
      <c r="V125" s="259">
        <f t="shared" si="24"/>
        <v>0</v>
      </c>
      <c r="W125" s="260"/>
      <c r="X125" s="261" t="str">
        <f t="shared" si="13"/>
        <v/>
      </c>
      <c r="Y125" s="261" t="str">
        <f>IF(V125=1,V125+MAX($Y$5:Y124),"")</f>
        <v/>
      </c>
      <c r="Z125" s="261"/>
      <c r="AA125" s="259" t="str">
        <f>IF(ISTEXT(W125),IF(ISTEXT(Z125),Z125,'Datasource 2'!$M$14),"")</f>
        <v/>
      </c>
      <c r="AB125" s="261"/>
      <c r="AC125" s="261" t="str">
        <f t="shared" si="14"/>
        <v/>
      </c>
      <c r="AD125" s="261" t="str">
        <f t="shared" si="15"/>
        <v/>
      </c>
      <c r="AE125" s="262"/>
      <c r="AF125" s="379"/>
      <c r="AG125" s="379"/>
      <c r="AH125" s="388" t="e">
        <f>VLOOKUP(Risikovurdering_data!F123,Akseptkriterier!$C$33:$H$37,MATCH(Risikovurdering_data!G123,Akseptkriterier!$D$32:$H$32,0)+1,FALSE)</f>
        <v>#N/A</v>
      </c>
    </row>
    <row r="126" spans="1:34" ht="35.1" customHeight="1" x14ac:dyDescent="0.35">
      <c r="A126" s="205">
        <v>13</v>
      </c>
      <c r="B126" s="413"/>
      <c r="C126" s="383"/>
      <c r="D126" s="263"/>
      <c r="E126" s="380"/>
      <c r="F126" s="380"/>
      <c r="G126" s="377"/>
      <c r="H126" s="386"/>
      <c r="I126" s="406"/>
      <c r="J126" s="407"/>
      <c r="K126" s="407"/>
      <c r="L126" s="407"/>
      <c r="M126" s="407"/>
      <c r="N126" s="408"/>
      <c r="O126" s="264"/>
      <c r="P126" s="380"/>
      <c r="Q126" s="383"/>
      <c r="R126" s="380"/>
      <c r="S126" s="383"/>
      <c r="T126" s="380"/>
      <c r="U126" s="386"/>
      <c r="V126" s="265">
        <f t="shared" si="24"/>
        <v>0</v>
      </c>
      <c r="W126" s="266"/>
      <c r="X126" s="267" t="str">
        <f t="shared" si="13"/>
        <v/>
      </c>
      <c r="Y126" s="267" t="str">
        <f>IF(V126=1,V126+MAX($Y$5:Y125),"")</f>
        <v/>
      </c>
      <c r="Z126" s="267"/>
      <c r="AA126" s="265" t="str">
        <f>IF(ISTEXT(W126),IF(ISTEXT(Z126),Z126,'Datasource 2'!$M$14),"")</f>
        <v/>
      </c>
      <c r="AB126" s="261"/>
      <c r="AC126" s="261" t="str">
        <f t="shared" si="14"/>
        <v/>
      </c>
      <c r="AD126" s="261" t="str">
        <f t="shared" si="15"/>
        <v/>
      </c>
      <c r="AE126" s="262"/>
      <c r="AF126" s="380"/>
      <c r="AG126" s="380"/>
      <c r="AH126" s="389"/>
    </row>
    <row r="127" spans="1:34" ht="35.1" customHeight="1" x14ac:dyDescent="0.35">
      <c r="A127" s="205">
        <v>13</v>
      </c>
      <c r="B127" s="413"/>
      <c r="C127" s="383"/>
      <c r="D127" s="263"/>
      <c r="E127" s="380"/>
      <c r="F127" s="380"/>
      <c r="G127" s="377"/>
      <c r="H127" s="386"/>
      <c r="I127" s="406"/>
      <c r="J127" s="407"/>
      <c r="K127" s="407"/>
      <c r="L127" s="407"/>
      <c r="M127" s="407"/>
      <c r="N127" s="408"/>
      <c r="O127" s="264"/>
      <c r="P127" s="380"/>
      <c r="Q127" s="383"/>
      <c r="R127" s="380"/>
      <c r="S127" s="383"/>
      <c r="T127" s="380"/>
      <c r="U127" s="386"/>
      <c r="V127" s="265">
        <f t="shared" si="24"/>
        <v>0</v>
      </c>
      <c r="W127" s="266"/>
      <c r="X127" s="267" t="str">
        <f t="shared" si="13"/>
        <v/>
      </c>
      <c r="Y127" s="267" t="str">
        <f>IF(V127=1,V127+MAX($Y$5:Y126),"")</f>
        <v/>
      </c>
      <c r="Z127" s="267"/>
      <c r="AA127" s="265" t="str">
        <f>IF(ISTEXT(W127),IF(ISTEXT(Z127),Z127,'Datasource 2'!$M$14),"")</f>
        <v/>
      </c>
      <c r="AB127" s="261"/>
      <c r="AC127" s="261" t="str">
        <f t="shared" si="14"/>
        <v/>
      </c>
      <c r="AD127" s="261" t="str">
        <f t="shared" si="15"/>
        <v/>
      </c>
      <c r="AE127" s="262"/>
      <c r="AF127" s="380"/>
      <c r="AG127" s="380"/>
      <c r="AH127" s="389"/>
    </row>
    <row r="128" spans="1:34" ht="35.1" customHeight="1" x14ac:dyDescent="0.35">
      <c r="A128" s="205">
        <v>13</v>
      </c>
      <c r="B128" s="413"/>
      <c r="C128" s="383"/>
      <c r="D128" s="263"/>
      <c r="E128" s="380"/>
      <c r="F128" s="380"/>
      <c r="G128" s="377"/>
      <c r="H128" s="386"/>
      <c r="I128" s="406"/>
      <c r="J128" s="407"/>
      <c r="K128" s="407"/>
      <c r="L128" s="407"/>
      <c r="M128" s="407"/>
      <c r="N128" s="408"/>
      <c r="O128" s="264"/>
      <c r="P128" s="380"/>
      <c r="Q128" s="383"/>
      <c r="R128" s="380"/>
      <c r="S128" s="383"/>
      <c r="T128" s="380"/>
      <c r="U128" s="386"/>
      <c r="V128" s="265">
        <f t="shared" si="24"/>
        <v>0</v>
      </c>
      <c r="W128" s="266"/>
      <c r="X128" s="267" t="str">
        <f t="shared" si="13"/>
        <v/>
      </c>
      <c r="Y128" s="267" t="str">
        <f>IF(V128=1,V128+MAX($Y$5:Y127),"")</f>
        <v/>
      </c>
      <c r="Z128" s="267"/>
      <c r="AA128" s="265" t="str">
        <f>IF(ISTEXT(W128),IF(ISTEXT(Z128),Z128,'Datasource 2'!$M$14),"")</f>
        <v/>
      </c>
      <c r="AB128" s="261"/>
      <c r="AC128" s="261" t="str">
        <f t="shared" si="14"/>
        <v/>
      </c>
      <c r="AD128" s="261" t="str">
        <f t="shared" si="15"/>
        <v/>
      </c>
      <c r="AE128" s="262"/>
      <c r="AF128" s="380"/>
      <c r="AG128" s="380"/>
      <c r="AH128" s="389"/>
    </row>
    <row r="129" spans="1:34" ht="35.1" customHeight="1" x14ac:dyDescent="0.35">
      <c r="A129" s="205">
        <v>13</v>
      </c>
      <c r="B129" s="413"/>
      <c r="C129" s="383"/>
      <c r="D129" s="263"/>
      <c r="E129" s="380"/>
      <c r="F129" s="380"/>
      <c r="G129" s="377"/>
      <c r="H129" s="386"/>
      <c r="I129" s="406"/>
      <c r="J129" s="407"/>
      <c r="K129" s="407"/>
      <c r="L129" s="407"/>
      <c r="M129" s="407"/>
      <c r="N129" s="408"/>
      <c r="O129" s="264"/>
      <c r="P129" s="380"/>
      <c r="Q129" s="383"/>
      <c r="R129" s="380"/>
      <c r="S129" s="383"/>
      <c r="T129" s="380"/>
      <c r="U129" s="386"/>
      <c r="V129" s="265">
        <f t="shared" si="24"/>
        <v>0</v>
      </c>
      <c r="W129" s="266"/>
      <c r="X129" s="267" t="str">
        <f t="shared" si="13"/>
        <v/>
      </c>
      <c r="Y129" s="267" t="str">
        <f>IF(V129=1,V129+MAX($Y$5:Y128),"")</f>
        <v/>
      </c>
      <c r="Z129" s="267"/>
      <c r="AA129" s="265" t="str">
        <f>IF(ISTEXT(W129),IF(ISTEXT(Z129),Z129,'Datasource 2'!$M$14),"")</f>
        <v/>
      </c>
      <c r="AB129" s="261"/>
      <c r="AC129" s="261" t="str">
        <f t="shared" si="14"/>
        <v/>
      </c>
      <c r="AD129" s="261" t="str">
        <f t="shared" si="15"/>
        <v/>
      </c>
      <c r="AE129" s="262"/>
      <c r="AF129" s="380"/>
      <c r="AG129" s="380"/>
      <c r="AH129" s="389"/>
    </row>
    <row r="130" spans="1:34" ht="35.1" customHeight="1" x14ac:dyDescent="0.35">
      <c r="A130" s="205">
        <v>13</v>
      </c>
      <c r="B130" s="413"/>
      <c r="C130" s="383"/>
      <c r="D130" s="263"/>
      <c r="E130" s="380"/>
      <c r="F130" s="380"/>
      <c r="G130" s="377"/>
      <c r="H130" s="386"/>
      <c r="I130" s="406"/>
      <c r="J130" s="407"/>
      <c r="K130" s="407"/>
      <c r="L130" s="407"/>
      <c r="M130" s="407"/>
      <c r="N130" s="408"/>
      <c r="O130" s="264"/>
      <c r="P130" s="380"/>
      <c r="Q130" s="383"/>
      <c r="R130" s="380"/>
      <c r="S130" s="383"/>
      <c r="T130" s="380"/>
      <c r="U130" s="386"/>
      <c r="V130" s="265">
        <f t="shared" si="24"/>
        <v>0</v>
      </c>
      <c r="W130" s="266"/>
      <c r="X130" s="267" t="str">
        <f t="shared" si="13"/>
        <v/>
      </c>
      <c r="Y130" s="267" t="str">
        <f>IF(V130=1,V130+MAX($Y$5:Y129),"")</f>
        <v/>
      </c>
      <c r="Z130" s="267"/>
      <c r="AA130" s="265" t="str">
        <f>IF(ISTEXT(W130),IF(ISTEXT(Z130),Z130,'Datasource 2'!$M$14),"")</f>
        <v/>
      </c>
      <c r="AB130" s="261"/>
      <c r="AC130" s="261" t="str">
        <f t="shared" si="14"/>
        <v/>
      </c>
      <c r="AD130" s="261" t="str">
        <f t="shared" si="15"/>
        <v/>
      </c>
      <c r="AE130" s="262"/>
      <c r="AF130" s="380"/>
      <c r="AG130" s="380"/>
      <c r="AH130" s="389"/>
    </row>
    <row r="131" spans="1:34" ht="35.1" customHeight="1" x14ac:dyDescent="0.35">
      <c r="A131" s="205">
        <v>13</v>
      </c>
      <c r="B131" s="413"/>
      <c r="C131" s="383"/>
      <c r="D131" s="263"/>
      <c r="E131" s="380"/>
      <c r="F131" s="380"/>
      <c r="G131" s="377"/>
      <c r="H131" s="386"/>
      <c r="I131" s="406"/>
      <c r="J131" s="407"/>
      <c r="K131" s="407"/>
      <c r="L131" s="407"/>
      <c r="M131" s="407"/>
      <c r="N131" s="408"/>
      <c r="O131" s="264"/>
      <c r="P131" s="380"/>
      <c r="Q131" s="383"/>
      <c r="R131" s="380"/>
      <c r="S131" s="383"/>
      <c r="T131" s="380"/>
      <c r="U131" s="386"/>
      <c r="V131" s="265">
        <f t="shared" si="24"/>
        <v>0</v>
      </c>
      <c r="W131" s="266"/>
      <c r="X131" s="267" t="str">
        <f t="shared" si="13"/>
        <v/>
      </c>
      <c r="Y131" s="267" t="str">
        <f>IF(V131=1,V131+MAX($Y$5:Y130),"")</f>
        <v/>
      </c>
      <c r="Z131" s="267"/>
      <c r="AA131" s="265" t="str">
        <f>IF(ISTEXT(W131),IF(ISTEXT(Z131),Z131,'Datasource 2'!$M$14),"")</f>
        <v/>
      </c>
      <c r="AB131" s="261"/>
      <c r="AC131" s="261" t="str">
        <f t="shared" si="14"/>
        <v/>
      </c>
      <c r="AD131" s="261" t="str">
        <f t="shared" si="15"/>
        <v/>
      </c>
      <c r="AE131" s="262"/>
      <c r="AF131" s="380"/>
      <c r="AG131" s="380"/>
      <c r="AH131" s="389"/>
    </row>
    <row r="132" spans="1:34" ht="35.1" customHeight="1" x14ac:dyDescent="0.35">
      <c r="A132" s="205">
        <v>13</v>
      </c>
      <c r="B132" s="413"/>
      <c r="C132" s="383"/>
      <c r="D132" s="263"/>
      <c r="E132" s="380"/>
      <c r="F132" s="380"/>
      <c r="G132" s="377"/>
      <c r="H132" s="386"/>
      <c r="I132" s="406"/>
      <c r="J132" s="407"/>
      <c r="K132" s="407"/>
      <c r="L132" s="407"/>
      <c r="M132" s="407"/>
      <c r="N132" s="408"/>
      <c r="O132" s="264"/>
      <c r="P132" s="380"/>
      <c r="Q132" s="383"/>
      <c r="R132" s="380"/>
      <c r="S132" s="383"/>
      <c r="T132" s="380"/>
      <c r="U132" s="386"/>
      <c r="V132" s="265">
        <f t="shared" si="24"/>
        <v>0</v>
      </c>
      <c r="W132" s="266"/>
      <c r="X132" s="267" t="str">
        <f t="shared" si="13"/>
        <v/>
      </c>
      <c r="Y132" s="267" t="str">
        <f>IF(V132=1,V132+MAX($Y$5:Y131),"")</f>
        <v/>
      </c>
      <c r="Z132" s="267"/>
      <c r="AA132" s="265" t="str">
        <f>IF(ISTEXT(W132),IF(ISTEXT(Z132),Z132,'Datasource 2'!$M$14),"")</f>
        <v/>
      </c>
      <c r="AB132" s="261"/>
      <c r="AC132" s="261" t="str">
        <f t="shared" si="14"/>
        <v/>
      </c>
      <c r="AD132" s="261" t="str">
        <f t="shared" si="15"/>
        <v/>
      </c>
      <c r="AE132" s="262"/>
      <c r="AF132" s="380"/>
      <c r="AG132" s="380"/>
      <c r="AH132" s="389"/>
    </row>
    <row r="133" spans="1:34" ht="35.1" customHeight="1" x14ac:dyDescent="0.35">
      <c r="A133" s="205">
        <v>13</v>
      </c>
      <c r="B133" s="413"/>
      <c r="C133" s="383"/>
      <c r="D133" s="263"/>
      <c r="E133" s="380"/>
      <c r="F133" s="380"/>
      <c r="G133" s="377"/>
      <c r="H133" s="386"/>
      <c r="I133" s="406"/>
      <c r="J133" s="407"/>
      <c r="K133" s="407"/>
      <c r="L133" s="407"/>
      <c r="M133" s="407"/>
      <c r="N133" s="408"/>
      <c r="O133" s="264"/>
      <c r="P133" s="380"/>
      <c r="Q133" s="383"/>
      <c r="R133" s="380"/>
      <c r="S133" s="383"/>
      <c r="T133" s="380"/>
      <c r="U133" s="386"/>
      <c r="V133" s="265">
        <f t="shared" si="24"/>
        <v>0</v>
      </c>
      <c r="W133" s="266"/>
      <c r="X133" s="267" t="str">
        <f t="shared" ref="X133:X196" si="25">IF(W133="","",A133)</f>
        <v/>
      </c>
      <c r="Y133" s="267" t="str">
        <f>IF(V133=1,V133+MAX($Y$5:Y132),"")</f>
        <v/>
      </c>
      <c r="Z133" s="267"/>
      <c r="AA133" s="265" t="str">
        <f>IF(ISTEXT(W133),IF(ISTEXT(Z133),Z133,'Datasource 2'!$M$14),"")</f>
        <v/>
      </c>
      <c r="AB133" s="261"/>
      <c r="AC133" s="261" t="str">
        <f t="shared" si="14"/>
        <v/>
      </c>
      <c r="AD133" s="261" t="str">
        <f t="shared" si="15"/>
        <v/>
      </c>
      <c r="AE133" s="262"/>
      <c r="AF133" s="380"/>
      <c r="AG133" s="380"/>
      <c r="AH133" s="389"/>
    </row>
    <row r="134" spans="1:34" ht="35.1" customHeight="1" thickBot="1" x14ac:dyDescent="0.4">
      <c r="A134" s="205">
        <v>13</v>
      </c>
      <c r="B134" s="414"/>
      <c r="C134" s="384"/>
      <c r="D134" s="268"/>
      <c r="E134" s="381"/>
      <c r="F134" s="381"/>
      <c r="G134" s="378"/>
      <c r="H134" s="387"/>
      <c r="I134" s="409"/>
      <c r="J134" s="410"/>
      <c r="K134" s="410"/>
      <c r="L134" s="410"/>
      <c r="M134" s="410"/>
      <c r="N134" s="411"/>
      <c r="O134" s="269"/>
      <c r="P134" s="381"/>
      <c r="Q134" s="384"/>
      <c r="R134" s="381"/>
      <c r="S134" s="384"/>
      <c r="T134" s="381"/>
      <c r="U134" s="387"/>
      <c r="V134" s="270">
        <f t="shared" si="24"/>
        <v>0</v>
      </c>
      <c r="W134" s="271"/>
      <c r="X134" s="272" t="str">
        <f t="shared" si="25"/>
        <v/>
      </c>
      <c r="Y134" s="272" t="str">
        <f>IF(V134=1,V134+MAX($Y$5:Y133),"")</f>
        <v/>
      </c>
      <c r="Z134" s="272"/>
      <c r="AA134" s="270" t="str">
        <f>IF(ISTEXT(W134),IF(ISTEXT(Z134),Z134,'Datasource 2'!$M$14),"")</f>
        <v/>
      </c>
      <c r="AB134" s="273"/>
      <c r="AC134" s="261" t="str">
        <f t="shared" ref="AC134:AC197" si="26">IF(ISTEXT(W134),IF(ISTEXT(AB134),AB134,"Ikke angitt"),"")</f>
        <v/>
      </c>
      <c r="AD134" s="261" t="str">
        <f t="shared" ref="AD134:AD197" si="27">IF(ISTEXT(W134),IF(ISBLANK(AE134),"Ikke angitt", AE134),"")</f>
        <v/>
      </c>
      <c r="AE134" s="274"/>
      <c r="AF134" s="381"/>
      <c r="AG134" s="381"/>
      <c r="AH134" s="390"/>
    </row>
    <row r="135" spans="1:34" ht="35.1" customHeight="1" x14ac:dyDescent="0.35">
      <c r="A135" s="205">
        <v>14</v>
      </c>
      <c r="B135" s="391">
        <v>14</v>
      </c>
      <c r="C135" s="364"/>
      <c r="D135" s="323"/>
      <c r="E135" s="361"/>
      <c r="F135" s="361"/>
      <c r="G135" s="373"/>
      <c r="H135" s="367" t="e">
        <f>IF(VLOOKUP(G135,Trusselvurdering!$B$3:$P$28,15,FALSE)=0,VLOOKUP(G135,Trusselvurdering!$B$3:$P$28,14,FALSE),VLOOKUP(G135,Trusselvurdering!$B$3:$P$28,15,FALSE))</f>
        <v>#N/A</v>
      </c>
      <c r="I135" s="394"/>
      <c r="J135" s="395"/>
      <c r="K135" s="395"/>
      <c r="L135" s="395"/>
      <c r="M135" s="395"/>
      <c r="N135" s="396"/>
      <c r="O135" s="324"/>
      <c r="P135" s="361"/>
      <c r="Q135" s="364"/>
      <c r="R135" s="361"/>
      <c r="S135" s="364"/>
      <c r="T135" s="361"/>
      <c r="U135" s="367" t="e">
        <f>VLOOKUP(Risikovurdering_data!C133,Akseptkriterier!$C$33:$H$37,MATCH(Risikovurdering_data!D133,Akseptkriterier!$D$32:$H$32,0)+1,FALSE)</f>
        <v>#N/A</v>
      </c>
      <c r="V135" s="325">
        <f t="shared" si="24"/>
        <v>0</v>
      </c>
      <c r="W135" s="326"/>
      <c r="X135" s="327" t="str">
        <f t="shared" si="25"/>
        <v/>
      </c>
      <c r="Y135" s="327" t="str">
        <f>IF(V135=1,V135+MAX($Y$5:Y134),"")</f>
        <v/>
      </c>
      <c r="Z135" s="327"/>
      <c r="AA135" s="325" t="str">
        <f>IF(ISTEXT(W135),IF(ISTEXT(Z135),Z135,'Datasource 2'!$M$14),"")</f>
        <v/>
      </c>
      <c r="AB135" s="328"/>
      <c r="AC135" s="328" t="str">
        <f t="shared" si="26"/>
        <v/>
      </c>
      <c r="AD135" s="328" t="str">
        <f t="shared" si="27"/>
        <v/>
      </c>
      <c r="AE135" s="329"/>
      <c r="AF135" s="361"/>
      <c r="AG135" s="361"/>
      <c r="AH135" s="370" t="e">
        <f>VLOOKUP(Risikovurdering_data!F133,Akseptkriterier!$C$33:$H$37,MATCH(Risikovurdering_data!G133,Akseptkriterier!$D$32:$H$32,0)+1,FALSE)</f>
        <v>#N/A</v>
      </c>
    </row>
    <row r="136" spans="1:34" ht="35.1" customHeight="1" x14ac:dyDescent="0.35">
      <c r="A136" s="205">
        <v>14</v>
      </c>
      <c r="B136" s="392"/>
      <c r="C136" s="365"/>
      <c r="D136" s="330"/>
      <c r="E136" s="362"/>
      <c r="F136" s="362"/>
      <c r="G136" s="374"/>
      <c r="H136" s="368"/>
      <c r="I136" s="397"/>
      <c r="J136" s="398"/>
      <c r="K136" s="398"/>
      <c r="L136" s="398"/>
      <c r="M136" s="398"/>
      <c r="N136" s="399"/>
      <c r="O136" s="331"/>
      <c r="P136" s="362"/>
      <c r="Q136" s="365"/>
      <c r="R136" s="362"/>
      <c r="S136" s="365"/>
      <c r="T136" s="362"/>
      <c r="U136" s="368"/>
      <c r="V136" s="332">
        <f t="shared" si="24"/>
        <v>0</v>
      </c>
      <c r="W136" s="333"/>
      <c r="X136" s="334" t="str">
        <f t="shared" si="25"/>
        <v/>
      </c>
      <c r="Y136" s="334" t="str">
        <f>IF(V136=1,V136+MAX($Y$5:Y135),"")</f>
        <v/>
      </c>
      <c r="Z136" s="334"/>
      <c r="AA136" s="332" t="str">
        <f>IF(ISTEXT(W136),IF(ISTEXT(Z136),Z136,'Datasource 2'!$M$14),"")</f>
        <v/>
      </c>
      <c r="AB136" s="328"/>
      <c r="AC136" s="328" t="str">
        <f t="shared" si="26"/>
        <v/>
      </c>
      <c r="AD136" s="328" t="str">
        <f t="shared" si="27"/>
        <v/>
      </c>
      <c r="AE136" s="329"/>
      <c r="AF136" s="362"/>
      <c r="AG136" s="362"/>
      <c r="AH136" s="371"/>
    </row>
    <row r="137" spans="1:34" ht="35.1" customHeight="1" x14ac:dyDescent="0.35">
      <c r="A137" s="205">
        <v>14</v>
      </c>
      <c r="B137" s="392"/>
      <c r="C137" s="365"/>
      <c r="D137" s="330"/>
      <c r="E137" s="362"/>
      <c r="F137" s="362"/>
      <c r="G137" s="374"/>
      <c r="H137" s="368"/>
      <c r="I137" s="397"/>
      <c r="J137" s="398"/>
      <c r="K137" s="398"/>
      <c r="L137" s="398"/>
      <c r="M137" s="398"/>
      <c r="N137" s="399"/>
      <c r="O137" s="331"/>
      <c r="P137" s="362"/>
      <c r="Q137" s="365"/>
      <c r="R137" s="362"/>
      <c r="S137" s="365"/>
      <c r="T137" s="362"/>
      <c r="U137" s="368"/>
      <c r="V137" s="332">
        <f t="shared" si="24"/>
        <v>0</v>
      </c>
      <c r="W137" s="333"/>
      <c r="X137" s="334" t="str">
        <f t="shared" si="25"/>
        <v/>
      </c>
      <c r="Y137" s="334" t="str">
        <f>IF(V137=1,V137+MAX($Y$5:Y136),"")</f>
        <v/>
      </c>
      <c r="Z137" s="334"/>
      <c r="AA137" s="332" t="str">
        <f>IF(ISTEXT(W137),IF(ISTEXT(Z137),Z137,'Datasource 2'!$M$14),"")</f>
        <v/>
      </c>
      <c r="AB137" s="328"/>
      <c r="AC137" s="328" t="str">
        <f t="shared" si="26"/>
        <v/>
      </c>
      <c r="AD137" s="328" t="str">
        <f t="shared" si="27"/>
        <v/>
      </c>
      <c r="AE137" s="329"/>
      <c r="AF137" s="362"/>
      <c r="AG137" s="362"/>
      <c r="AH137" s="371"/>
    </row>
    <row r="138" spans="1:34" ht="35.1" customHeight="1" x14ac:dyDescent="0.35">
      <c r="A138" s="205">
        <v>14</v>
      </c>
      <c r="B138" s="392"/>
      <c r="C138" s="365"/>
      <c r="D138" s="330"/>
      <c r="E138" s="362"/>
      <c r="F138" s="362"/>
      <c r="G138" s="374"/>
      <c r="H138" s="368"/>
      <c r="I138" s="397"/>
      <c r="J138" s="398"/>
      <c r="K138" s="398"/>
      <c r="L138" s="398"/>
      <c r="M138" s="398"/>
      <c r="N138" s="399"/>
      <c r="O138" s="331"/>
      <c r="P138" s="362"/>
      <c r="Q138" s="365"/>
      <c r="R138" s="362"/>
      <c r="S138" s="365"/>
      <c r="T138" s="362"/>
      <c r="U138" s="368"/>
      <c r="V138" s="332">
        <f t="shared" si="24"/>
        <v>0</v>
      </c>
      <c r="W138" s="333"/>
      <c r="X138" s="334" t="str">
        <f t="shared" si="25"/>
        <v/>
      </c>
      <c r="Y138" s="334" t="str">
        <f>IF(V138=1,V138+MAX($Y$5:Y137),"")</f>
        <v/>
      </c>
      <c r="Z138" s="334"/>
      <c r="AA138" s="332" t="str">
        <f>IF(ISTEXT(W138),IF(ISTEXT(Z138),Z138,'Datasource 2'!$M$14),"")</f>
        <v/>
      </c>
      <c r="AB138" s="328"/>
      <c r="AC138" s="328" t="str">
        <f t="shared" si="26"/>
        <v/>
      </c>
      <c r="AD138" s="328" t="str">
        <f t="shared" si="27"/>
        <v/>
      </c>
      <c r="AE138" s="329"/>
      <c r="AF138" s="362"/>
      <c r="AG138" s="362"/>
      <c r="AH138" s="371"/>
    </row>
    <row r="139" spans="1:34" ht="35.1" customHeight="1" x14ac:dyDescent="0.35">
      <c r="A139" s="205">
        <v>14</v>
      </c>
      <c r="B139" s="392"/>
      <c r="C139" s="365"/>
      <c r="D139" s="330"/>
      <c r="E139" s="362"/>
      <c r="F139" s="362"/>
      <c r="G139" s="374"/>
      <c r="H139" s="368"/>
      <c r="I139" s="397"/>
      <c r="J139" s="398"/>
      <c r="K139" s="398"/>
      <c r="L139" s="398"/>
      <c r="M139" s="398"/>
      <c r="N139" s="399"/>
      <c r="O139" s="331"/>
      <c r="P139" s="362"/>
      <c r="Q139" s="365"/>
      <c r="R139" s="362"/>
      <c r="S139" s="365"/>
      <c r="T139" s="362"/>
      <c r="U139" s="368"/>
      <c r="V139" s="332">
        <f t="shared" si="24"/>
        <v>0</v>
      </c>
      <c r="W139" s="333"/>
      <c r="X139" s="334" t="str">
        <f t="shared" si="25"/>
        <v/>
      </c>
      <c r="Y139" s="334" t="str">
        <f>IF(V139=1,V139+MAX($Y$5:Y138),"")</f>
        <v/>
      </c>
      <c r="Z139" s="334"/>
      <c r="AA139" s="332" t="str">
        <f>IF(ISTEXT(W139),IF(ISTEXT(Z139),Z139,'Datasource 2'!$M$14),"")</f>
        <v/>
      </c>
      <c r="AB139" s="328"/>
      <c r="AC139" s="328" t="str">
        <f t="shared" si="26"/>
        <v/>
      </c>
      <c r="AD139" s="328" t="str">
        <f t="shared" si="27"/>
        <v/>
      </c>
      <c r="AE139" s="329"/>
      <c r="AF139" s="362"/>
      <c r="AG139" s="362"/>
      <c r="AH139" s="371"/>
    </row>
    <row r="140" spans="1:34" ht="35.1" customHeight="1" x14ac:dyDescent="0.35">
      <c r="A140" s="205">
        <v>14</v>
      </c>
      <c r="B140" s="392"/>
      <c r="C140" s="365"/>
      <c r="D140" s="330"/>
      <c r="E140" s="362"/>
      <c r="F140" s="362"/>
      <c r="G140" s="374"/>
      <c r="H140" s="368"/>
      <c r="I140" s="397"/>
      <c r="J140" s="398"/>
      <c r="K140" s="398"/>
      <c r="L140" s="398"/>
      <c r="M140" s="398"/>
      <c r="N140" s="399"/>
      <c r="O140" s="331"/>
      <c r="P140" s="362"/>
      <c r="Q140" s="365"/>
      <c r="R140" s="362"/>
      <c r="S140" s="365"/>
      <c r="T140" s="362"/>
      <c r="U140" s="368"/>
      <c r="V140" s="332">
        <f t="shared" si="24"/>
        <v>0</v>
      </c>
      <c r="W140" s="333"/>
      <c r="X140" s="334" t="str">
        <f t="shared" si="25"/>
        <v/>
      </c>
      <c r="Y140" s="334" t="str">
        <f>IF(V140=1,V140+MAX($Y$5:Y139),"")</f>
        <v/>
      </c>
      <c r="Z140" s="334"/>
      <c r="AA140" s="332" t="str">
        <f>IF(ISTEXT(W140),IF(ISTEXT(Z140),Z140,'Datasource 2'!$M$14),"")</f>
        <v/>
      </c>
      <c r="AB140" s="328"/>
      <c r="AC140" s="328" t="str">
        <f t="shared" si="26"/>
        <v/>
      </c>
      <c r="AD140" s="328" t="str">
        <f t="shared" si="27"/>
        <v/>
      </c>
      <c r="AE140" s="329"/>
      <c r="AF140" s="362"/>
      <c r="AG140" s="362"/>
      <c r="AH140" s="371"/>
    </row>
    <row r="141" spans="1:34" ht="35.1" customHeight="1" x14ac:dyDescent="0.35">
      <c r="A141" s="205">
        <v>14</v>
      </c>
      <c r="B141" s="392"/>
      <c r="C141" s="365"/>
      <c r="D141" s="330"/>
      <c r="E141" s="362"/>
      <c r="F141" s="362"/>
      <c r="G141" s="374"/>
      <c r="H141" s="368"/>
      <c r="I141" s="397"/>
      <c r="J141" s="398"/>
      <c r="K141" s="398"/>
      <c r="L141" s="398"/>
      <c r="M141" s="398"/>
      <c r="N141" s="399"/>
      <c r="O141" s="331"/>
      <c r="P141" s="362"/>
      <c r="Q141" s="365"/>
      <c r="R141" s="362"/>
      <c r="S141" s="365"/>
      <c r="T141" s="362"/>
      <c r="U141" s="368"/>
      <c r="V141" s="332">
        <f t="shared" si="24"/>
        <v>0</v>
      </c>
      <c r="W141" s="333"/>
      <c r="X141" s="334" t="str">
        <f t="shared" si="25"/>
        <v/>
      </c>
      <c r="Y141" s="334" t="str">
        <f>IF(V141=1,V141+MAX($Y$5:Y140),"")</f>
        <v/>
      </c>
      <c r="Z141" s="334"/>
      <c r="AA141" s="332" t="str">
        <f>IF(ISTEXT(W141),IF(ISTEXT(Z141),Z141,'Datasource 2'!$M$14),"")</f>
        <v/>
      </c>
      <c r="AB141" s="328"/>
      <c r="AC141" s="328" t="str">
        <f t="shared" si="26"/>
        <v/>
      </c>
      <c r="AD141" s="328" t="str">
        <f t="shared" si="27"/>
        <v/>
      </c>
      <c r="AE141" s="329"/>
      <c r="AF141" s="362"/>
      <c r="AG141" s="362"/>
      <c r="AH141" s="371"/>
    </row>
    <row r="142" spans="1:34" ht="35.1" customHeight="1" x14ac:dyDescent="0.35">
      <c r="A142" s="205">
        <v>14</v>
      </c>
      <c r="B142" s="392"/>
      <c r="C142" s="365"/>
      <c r="D142" s="330"/>
      <c r="E142" s="362"/>
      <c r="F142" s="362"/>
      <c r="G142" s="374"/>
      <c r="H142" s="368"/>
      <c r="I142" s="397"/>
      <c r="J142" s="398"/>
      <c r="K142" s="398"/>
      <c r="L142" s="398"/>
      <c r="M142" s="398"/>
      <c r="N142" s="399"/>
      <c r="O142" s="331"/>
      <c r="P142" s="362"/>
      <c r="Q142" s="365"/>
      <c r="R142" s="362"/>
      <c r="S142" s="365"/>
      <c r="T142" s="362"/>
      <c r="U142" s="368"/>
      <c r="V142" s="332">
        <f t="shared" si="24"/>
        <v>0</v>
      </c>
      <c r="W142" s="333"/>
      <c r="X142" s="334" t="str">
        <f t="shared" si="25"/>
        <v/>
      </c>
      <c r="Y142" s="334" t="str">
        <f>IF(V142=1,V142+MAX($Y$5:Y141),"")</f>
        <v/>
      </c>
      <c r="Z142" s="334"/>
      <c r="AA142" s="332" t="str">
        <f>IF(ISTEXT(W142),IF(ISTEXT(Z142),Z142,'Datasource 2'!$M$14),"")</f>
        <v/>
      </c>
      <c r="AB142" s="328"/>
      <c r="AC142" s="328" t="str">
        <f t="shared" si="26"/>
        <v/>
      </c>
      <c r="AD142" s="328" t="str">
        <f t="shared" si="27"/>
        <v/>
      </c>
      <c r="AE142" s="329"/>
      <c r="AF142" s="362"/>
      <c r="AG142" s="362"/>
      <c r="AH142" s="371"/>
    </row>
    <row r="143" spans="1:34" ht="35.1" customHeight="1" x14ac:dyDescent="0.35">
      <c r="A143" s="205">
        <v>14</v>
      </c>
      <c r="B143" s="392"/>
      <c r="C143" s="365"/>
      <c r="D143" s="330"/>
      <c r="E143" s="362"/>
      <c r="F143" s="362"/>
      <c r="G143" s="374"/>
      <c r="H143" s="368"/>
      <c r="I143" s="397"/>
      <c r="J143" s="398"/>
      <c r="K143" s="398"/>
      <c r="L143" s="398"/>
      <c r="M143" s="398"/>
      <c r="N143" s="399"/>
      <c r="O143" s="331"/>
      <c r="P143" s="362"/>
      <c r="Q143" s="365"/>
      <c r="R143" s="362"/>
      <c r="S143" s="365"/>
      <c r="T143" s="362"/>
      <c r="U143" s="368"/>
      <c r="V143" s="332">
        <f t="shared" si="24"/>
        <v>0</v>
      </c>
      <c r="W143" s="333"/>
      <c r="X143" s="334" t="str">
        <f t="shared" si="25"/>
        <v/>
      </c>
      <c r="Y143" s="334" t="str">
        <f>IF(V143=1,V143+MAX($Y$5:Y142),"")</f>
        <v/>
      </c>
      <c r="Z143" s="334"/>
      <c r="AA143" s="332" t="str">
        <f>IF(ISTEXT(W143),IF(ISTEXT(Z143),Z143,'Datasource 2'!$M$14),"")</f>
        <v/>
      </c>
      <c r="AB143" s="328"/>
      <c r="AC143" s="328" t="str">
        <f t="shared" si="26"/>
        <v/>
      </c>
      <c r="AD143" s="328" t="str">
        <f t="shared" si="27"/>
        <v/>
      </c>
      <c r="AE143" s="329"/>
      <c r="AF143" s="362"/>
      <c r="AG143" s="362"/>
      <c r="AH143" s="371"/>
    </row>
    <row r="144" spans="1:34" ht="35.1" customHeight="1" thickBot="1" x14ac:dyDescent="0.4">
      <c r="A144" s="205">
        <v>14</v>
      </c>
      <c r="B144" s="393"/>
      <c r="C144" s="366"/>
      <c r="D144" s="335"/>
      <c r="E144" s="363"/>
      <c r="F144" s="363"/>
      <c r="G144" s="375"/>
      <c r="H144" s="369"/>
      <c r="I144" s="400"/>
      <c r="J144" s="401"/>
      <c r="K144" s="401"/>
      <c r="L144" s="401"/>
      <c r="M144" s="401"/>
      <c r="N144" s="402"/>
      <c r="O144" s="336"/>
      <c r="P144" s="363"/>
      <c r="Q144" s="366"/>
      <c r="R144" s="363"/>
      <c r="S144" s="366"/>
      <c r="T144" s="363"/>
      <c r="U144" s="369"/>
      <c r="V144" s="337">
        <f t="shared" si="24"/>
        <v>0</v>
      </c>
      <c r="W144" s="338"/>
      <c r="X144" s="339" t="str">
        <f t="shared" si="25"/>
        <v/>
      </c>
      <c r="Y144" s="339" t="str">
        <f>IF(V144=1,V144+MAX($Y$5:Y143),"")</f>
        <v/>
      </c>
      <c r="Z144" s="339"/>
      <c r="AA144" s="337" t="str">
        <f>IF(ISTEXT(W144),IF(ISTEXT(Z144),Z144,'Datasource 2'!$M$14),"")</f>
        <v/>
      </c>
      <c r="AB144" s="339"/>
      <c r="AC144" s="328" t="str">
        <f t="shared" si="26"/>
        <v/>
      </c>
      <c r="AD144" s="328" t="str">
        <f t="shared" si="27"/>
        <v/>
      </c>
      <c r="AE144" s="340"/>
      <c r="AF144" s="363"/>
      <c r="AG144" s="363"/>
      <c r="AH144" s="372"/>
    </row>
    <row r="145" spans="1:34" ht="35.1" customHeight="1" x14ac:dyDescent="0.35">
      <c r="A145" s="206">
        <v>15</v>
      </c>
      <c r="B145" s="415">
        <v>15</v>
      </c>
      <c r="C145" s="382"/>
      <c r="D145" s="257"/>
      <c r="E145" s="379"/>
      <c r="F145" s="379"/>
      <c r="G145" s="376"/>
      <c r="H145" s="385" t="e">
        <f>IF(VLOOKUP(G145,Trusselvurdering!$B$3:$P$28,15,FALSE)=0,VLOOKUP(G145,Trusselvurdering!$B$3:$P$28,14,FALSE),VLOOKUP(G145,Trusselvurdering!$B$3:$P$28,15,FALSE))</f>
        <v>#N/A</v>
      </c>
      <c r="I145" s="403"/>
      <c r="J145" s="404"/>
      <c r="K145" s="404"/>
      <c r="L145" s="404"/>
      <c r="M145" s="404"/>
      <c r="N145" s="405"/>
      <c r="O145" s="258"/>
      <c r="P145" s="379"/>
      <c r="Q145" s="382"/>
      <c r="R145" s="379"/>
      <c r="S145" s="382"/>
      <c r="T145" s="379"/>
      <c r="U145" s="385" t="e">
        <f>VLOOKUP(Risikovurdering_data!C143,Akseptkriterier!$C$33:$H$37,MATCH(Risikovurdering_data!D143,Akseptkriterier!$D$32:$H$32,0)+1,FALSE)</f>
        <v>#N/A</v>
      </c>
      <c r="V145" s="259">
        <f t="shared" si="24"/>
        <v>0</v>
      </c>
      <c r="W145" s="260"/>
      <c r="X145" s="261" t="str">
        <f t="shared" si="25"/>
        <v/>
      </c>
      <c r="Y145" s="261" t="str">
        <f>IF(V145=1,V145+MAX($Y$5:Y144),"")</f>
        <v/>
      </c>
      <c r="Z145" s="261"/>
      <c r="AA145" s="259" t="str">
        <f>IF(ISTEXT(W145),IF(ISTEXT(Z145),Z145,'Datasource 2'!$M$14),"")</f>
        <v/>
      </c>
      <c r="AB145" s="261"/>
      <c r="AC145" s="261" t="str">
        <f t="shared" si="26"/>
        <v/>
      </c>
      <c r="AD145" s="261" t="str">
        <f t="shared" si="27"/>
        <v/>
      </c>
      <c r="AE145" s="262"/>
      <c r="AF145" s="379"/>
      <c r="AG145" s="379"/>
      <c r="AH145" s="388" t="e">
        <f>VLOOKUP(Risikovurdering_data!F143,Akseptkriterier!$C$33:$H$37,MATCH(Risikovurdering_data!G143,Akseptkriterier!$D$32:$H$32,0)+1,FALSE)</f>
        <v>#N/A</v>
      </c>
    </row>
    <row r="146" spans="1:34" ht="35.1" customHeight="1" x14ac:dyDescent="0.35">
      <c r="A146" s="207">
        <v>15</v>
      </c>
      <c r="B146" s="416"/>
      <c r="C146" s="383"/>
      <c r="D146" s="263"/>
      <c r="E146" s="380"/>
      <c r="F146" s="380"/>
      <c r="G146" s="377"/>
      <c r="H146" s="386"/>
      <c r="I146" s="406"/>
      <c r="J146" s="407"/>
      <c r="K146" s="407"/>
      <c r="L146" s="407"/>
      <c r="M146" s="407"/>
      <c r="N146" s="408"/>
      <c r="O146" s="264"/>
      <c r="P146" s="380"/>
      <c r="Q146" s="383"/>
      <c r="R146" s="380"/>
      <c r="S146" s="383"/>
      <c r="T146" s="380"/>
      <c r="U146" s="386"/>
      <c r="V146" s="265">
        <f t="shared" si="24"/>
        <v>0</v>
      </c>
      <c r="W146" s="266"/>
      <c r="X146" s="267" t="str">
        <f t="shared" si="25"/>
        <v/>
      </c>
      <c r="Y146" s="267" t="str">
        <f>IF(V146=1,V146+MAX($Y$5:Y145),"")</f>
        <v/>
      </c>
      <c r="Z146" s="267"/>
      <c r="AA146" s="265" t="str">
        <f>IF(ISTEXT(W146),IF(ISTEXT(Z146),Z146,'Datasource 2'!$M$14),"")</f>
        <v/>
      </c>
      <c r="AB146" s="261"/>
      <c r="AC146" s="261" t="str">
        <f t="shared" si="26"/>
        <v/>
      </c>
      <c r="AD146" s="261" t="str">
        <f t="shared" si="27"/>
        <v/>
      </c>
      <c r="AE146" s="262"/>
      <c r="AF146" s="380"/>
      <c r="AG146" s="380"/>
      <c r="AH146" s="389"/>
    </row>
    <row r="147" spans="1:34" ht="35.1" customHeight="1" x14ac:dyDescent="0.35">
      <c r="A147" s="207">
        <v>15</v>
      </c>
      <c r="B147" s="416"/>
      <c r="C147" s="383"/>
      <c r="D147" s="263"/>
      <c r="E147" s="380"/>
      <c r="F147" s="380"/>
      <c r="G147" s="377"/>
      <c r="H147" s="386"/>
      <c r="I147" s="406"/>
      <c r="J147" s="407"/>
      <c r="K147" s="407"/>
      <c r="L147" s="407"/>
      <c r="M147" s="407"/>
      <c r="N147" s="408"/>
      <c r="O147" s="264"/>
      <c r="P147" s="380"/>
      <c r="Q147" s="383"/>
      <c r="R147" s="380"/>
      <c r="S147" s="383"/>
      <c r="T147" s="380"/>
      <c r="U147" s="386"/>
      <c r="V147" s="265">
        <f t="shared" si="24"/>
        <v>0</v>
      </c>
      <c r="W147" s="266"/>
      <c r="X147" s="267" t="str">
        <f t="shared" si="25"/>
        <v/>
      </c>
      <c r="Y147" s="267" t="str">
        <f>IF(V147=1,V147+MAX($Y$5:Y146),"")</f>
        <v/>
      </c>
      <c r="Z147" s="267"/>
      <c r="AA147" s="265" t="str">
        <f>IF(ISTEXT(W147),IF(ISTEXT(Z147),Z147,'Datasource 2'!$M$14),"")</f>
        <v/>
      </c>
      <c r="AB147" s="261"/>
      <c r="AC147" s="261" t="str">
        <f t="shared" si="26"/>
        <v/>
      </c>
      <c r="AD147" s="261" t="str">
        <f t="shared" si="27"/>
        <v/>
      </c>
      <c r="AE147" s="262"/>
      <c r="AF147" s="380"/>
      <c r="AG147" s="380"/>
      <c r="AH147" s="389"/>
    </row>
    <row r="148" spans="1:34" ht="35.1" customHeight="1" x14ac:dyDescent="0.35">
      <c r="A148" s="207">
        <v>15</v>
      </c>
      <c r="B148" s="416"/>
      <c r="C148" s="383"/>
      <c r="D148" s="263"/>
      <c r="E148" s="380"/>
      <c r="F148" s="380"/>
      <c r="G148" s="377"/>
      <c r="H148" s="386"/>
      <c r="I148" s="406"/>
      <c r="J148" s="407"/>
      <c r="K148" s="407"/>
      <c r="L148" s="407"/>
      <c r="M148" s="407"/>
      <c r="N148" s="408"/>
      <c r="O148" s="264"/>
      <c r="P148" s="380"/>
      <c r="Q148" s="383"/>
      <c r="R148" s="380"/>
      <c r="S148" s="383"/>
      <c r="T148" s="380"/>
      <c r="U148" s="386"/>
      <c r="V148" s="265">
        <f t="shared" si="24"/>
        <v>0</v>
      </c>
      <c r="W148" s="266"/>
      <c r="X148" s="267" t="str">
        <f t="shared" si="25"/>
        <v/>
      </c>
      <c r="Y148" s="267" t="str">
        <f>IF(V148=1,V148+MAX($Y$5:Y147),"")</f>
        <v/>
      </c>
      <c r="Z148" s="267"/>
      <c r="AA148" s="265" t="str">
        <f>IF(ISTEXT(W148),IF(ISTEXT(Z148),Z148,'Datasource 2'!$M$14),"")</f>
        <v/>
      </c>
      <c r="AB148" s="261"/>
      <c r="AC148" s="261" t="str">
        <f t="shared" si="26"/>
        <v/>
      </c>
      <c r="AD148" s="261" t="str">
        <f t="shared" si="27"/>
        <v/>
      </c>
      <c r="AE148" s="262"/>
      <c r="AF148" s="380"/>
      <c r="AG148" s="380"/>
      <c r="AH148" s="389"/>
    </row>
    <row r="149" spans="1:34" ht="35.1" customHeight="1" x14ac:dyDescent="0.35">
      <c r="A149" s="207">
        <v>15</v>
      </c>
      <c r="B149" s="416"/>
      <c r="C149" s="383"/>
      <c r="D149" s="263"/>
      <c r="E149" s="380"/>
      <c r="F149" s="380"/>
      <c r="G149" s="377"/>
      <c r="H149" s="386"/>
      <c r="I149" s="406"/>
      <c r="J149" s="407"/>
      <c r="K149" s="407"/>
      <c r="L149" s="407"/>
      <c r="M149" s="407"/>
      <c r="N149" s="408"/>
      <c r="O149" s="264"/>
      <c r="P149" s="380"/>
      <c r="Q149" s="383"/>
      <c r="R149" s="380"/>
      <c r="S149" s="383"/>
      <c r="T149" s="380"/>
      <c r="U149" s="386"/>
      <c r="V149" s="265">
        <f t="shared" si="24"/>
        <v>0</v>
      </c>
      <c r="W149" s="266"/>
      <c r="X149" s="267" t="str">
        <f t="shared" si="25"/>
        <v/>
      </c>
      <c r="Y149" s="267" t="str">
        <f>IF(V149=1,V149+MAX($Y$5:Y148),"")</f>
        <v/>
      </c>
      <c r="Z149" s="267"/>
      <c r="AA149" s="265" t="str">
        <f>IF(ISTEXT(W149),IF(ISTEXT(Z149),Z149,'Datasource 2'!$M$14),"")</f>
        <v/>
      </c>
      <c r="AB149" s="261"/>
      <c r="AC149" s="261" t="str">
        <f t="shared" si="26"/>
        <v/>
      </c>
      <c r="AD149" s="261" t="str">
        <f t="shared" si="27"/>
        <v/>
      </c>
      <c r="AE149" s="262"/>
      <c r="AF149" s="380"/>
      <c r="AG149" s="380"/>
      <c r="AH149" s="389"/>
    </row>
    <row r="150" spans="1:34" ht="35.1" customHeight="1" x14ac:dyDescent="0.35">
      <c r="A150" s="207">
        <v>15</v>
      </c>
      <c r="B150" s="416"/>
      <c r="C150" s="383"/>
      <c r="D150" s="263"/>
      <c r="E150" s="380"/>
      <c r="F150" s="380"/>
      <c r="G150" s="377"/>
      <c r="H150" s="386"/>
      <c r="I150" s="406"/>
      <c r="J150" s="407"/>
      <c r="K150" s="407"/>
      <c r="L150" s="407"/>
      <c r="M150" s="407"/>
      <c r="N150" s="408"/>
      <c r="O150" s="264"/>
      <c r="P150" s="380"/>
      <c r="Q150" s="383"/>
      <c r="R150" s="380"/>
      <c r="S150" s="383"/>
      <c r="T150" s="380"/>
      <c r="U150" s="386"/>
      <c r="V150" s="265">
        <f t="shared" si="24"/>
        <v>0</v>
      </c>
      <c r="W150" s="266"/>
      <c r="X150" s="267" t="str">
        <f t="shared" si="25"/>
        <v/>
      </c>
      <c r="Y150" s="267" t="str">
        <f>IF(V150=1,V150+MAX($Y$5:Y149),"")</f>
        <v/>
      </c>
      <c r="Z150" s="267"/>
      <c r="AA150" s="265" t="str">
        <f>IF(ISTEXT(W150),IF(ISTEXT(Z150),Z150,'Datasource 2'!$M$14),"")</f>
        <v/>
      </c>
      <c r="AB150" s="261"/>
      <c r="AC150" s="261" t="str">
        <f t="shared" si="26"/>
        <v/>
      </c>
      <c r="AD150" s="261" t="str">
        <f t="shared" si="27"/>
        <v/>
      </c>
      <c r="AE150" s="262"/>
      <c r="AF150" s="380"/>
      <c r="AG150" s="380"/>
      <c r="AH150" s="389"/>
    </row>
    <row r="151" spans="1:34" ht="35.1" customHeight="1" x14ac:dyDescent="0.35">
      <c r="A151" s="207">
        <v>15</v>
      </c>
      <c r="B151" s="416"/>
      <c r="C151" s="383"/>
      <c r="D151" s="263"/>
      <c r="E151" s="380"/>
      <c r="F151" s="380"/>
      <c r="G151" s="377"/>
      <c r="H151" s="386"/>
      <c r="I151" s="406"/>
      <c r="J151" s="407"/>
      <c r="K151" s="407"/>
      <c r="L151" s="407"/>
      <c r="M151" s="407"/>
      <c r="N151" s="408"/>
      <c r="O151" s="264"/>
      <c r="P151" s="380"/>
      <c r="Q151" s="383"/>
      <c r="R151" s="380"/>
      <c r="S151" s="383"/>
      <c r="T151" s="380"/>
      <c r="U151" s="386"/>
      <c r="V151" s="265">
        <f t="shared" si="24"/>
        <v>0</v>
      </c>
      <c r="W151" s="266"/>
      <c r="X151" s="267" t="str">
        <f t="shared" si="25"/>
        <v/>
      </c>
      <c r="Y151" s="267" t="str">
        <f>IF(V151=1,V151+MAX($Y$5:Y150),"")</f>
        <v/>
      </c>
      <c r="Z151" s="267"/>
      <c r="AA151" s="265" t="str">
        <f>IF(ISTEXT(W151),IF(ISTEXT(Z151),Z151,'Datasource 2'!$M$14),"")</f>
        <v/>
      </c>
      <c r="AB151" s="261"/>
      <c r="AC151" s="261" t="str">
        <f t="shared" si="26"/>
        <v/>
      </c>
      <c r="AD151" s="261" t="str">
        <f t="shared" si="27"/>
        <v/>
      </c>
      <c r="AE151" s="262"/>
      <c r="AF151" s="380"/>
      <c r="AG151" s="380"/>
      <c r="AH151" s="389"/>
    </row>
    <row r="152" spans="1:34" ht="35.1" customHeight="1" x14ac:dyDescent="0.35">
      <c r="A152" s="207">
        <v>15</v>
      </c>
      <c r="B152" s="416"/>
      <c r="C152" s="383"/>
      <c r="D152" s="263"/>
      <c r="E152" s="380"/>
      <c r="F152" s="380"/>
      <c r="G152" s="377"/>
      <c r="H152" s="386"/>
      <c r="I152" s="406"/>
      <c r="J152" s="407"/>
      <c r="K152" s="407"/>
      <c r="L152" s="407"/>
      <c r="M152" s="407"/>
      <c r="N152" s="408"/>
      <c r="O152" s="264"/>
      <c r="P152" s="380"/>
      <c r="Q152" s="383"/>
      <c r="R152" s="380"/>
      <c r="S152" s="383"/>
      <c r="T152" s="380"/>
      <c r="U152" s="386"/>
      <c r="V152" s="265">
        <f t="shared" si="24"/>
        <v>0</v>
      </c>
      <c r="W152" s="266"/>
      <c r="X152" s="267" t="str">
        <f t="shared" si="25"/>
        <v/>
      </c>
      <c r="Y152" s="267" t="str">
        <f>IF(V152=1,V152+MAX($Y$5:Y151),"")</f>
        <v/>
      </c>
      <c r="Z152" s="267"/>
      <c r="AA152" s="265" t="str">
        <f>IF(ISTEXT(W152),IF(ISTEXT(Z152),Z152,'Datasource 2'!$M$14),"")</f>
        <v/>
      </c>
      <c r="AB152" s="261"/>
      <c r="AC152" s="261" t="str">
        <f t="shared" si="26"/>
        <v/>
      </c>
      <c r="AD152" s="261" t="str">
        <f t="shared" si="27"/>
        <v/>
      </c>
      <c r="AE152" s="262"/>
      <c r="AF152" s="380"/>
      <c r="AG152" s="380"/>
      <c r="AH152" s="389"/>
    </row>
    <row r="153" spans="1:34" ht="35.1" customHeight="1" x14ac:dyDescent="0.35">
      <c r="A153" s="207">
        <v>15</v>
      </c>
      <c r="B153" s="416"/>
      <c r="C153" s="383"/>
      <c r="D153" s="263"/>
      <c r="E153" s="380"/>
      <c r="F153" s="380"/>
      <c r="G153" s="377"/>
      <c r="H153" s="386"/>
      <c r="I153" s="406"/>
      <c r="J153" s="407"/>
      <c r="K153" s="407"/>
      <c r="L153" s="407"/>
      <c r="M153" s="407"/>
      <c r="N153" s="408"/>
      <c r="O153" s="264"/>
      <c r="P153" s="380"/>
      <c r="Q153" s="383"/>
      <c r="R153" s="380"/>
      <c r="S153" s="383"/>
      <c r="T153" s="380"/>
      <c r="U153" s="386"/>
      <c r="V153" s="265">
        <f t="shared" si="24"/>
        <v>0</v>
      </c>
      <c r="W153" s="266"/>
      <c r="X153" s="267" t="str">
        <f t="shared" si="25"/>
        <v/>
      </c>
      <c r="Y153" s="267" t="str">
        <f>IF(V153=1,V153+MAX($Y$5:Y152),"")</f>
        <v/>
      </c>
      <c r="Z153" s="267"/>
      <c r="AA153" s="265" t="str">
        <f>IF(ISTEXT(W153),IF(ISTEXT(Z153),Z153,'Datasource 2'!$M$14),"")</f>
        <v/>
      </c>
      <c r="AB153" s="261"/>
      <c r="AC153" s="261" t="str">
        <f t="shared" si="26"/>
        <v/>
      </c>
      <c r="AD153" s="261" t="str">
        <f t="shared" si="27"/>
        <v/>
      </c>
      <c r="AE153" s="262"/>
      <c r="AF153" s="380"/>
      <c r="AG153" s="380"/>
      <c r="AH153" s="389"/>
    </row>
    <row r="154" spans="1:34" ht="35.1" customHeight="1" thickBot="1" x14ac:dyDescent="0.4">
      <c r="A154" s="208">
        <v>15</v>
      </c>
      <c r="B154" s="417"/>
      <c r="C154" s="384"/>
      <c r="D154" s="268"/>
      <c r="E154" s="381"/>
      <c r="F154" s="381"/>
      <c r="G154" s="378"/>
      <c r="H154" s="387"/>
      <c r="I154" s="409"/>
      <c r="J154" s="410"/>
      <c r="K154" s="410"/>
      <c r="L154" s="410"/>
      <c r="M154" s="410"/>
      <c r="N154" s="411"/>
      <c r="O154" s="269"/>
      <c r="P154" s="381"/>
      <c r="Q154" s="384"/>
      <c r="R154" s="381"/>
      <c r="S154" s="384"/>
      <c r="T154" s="381"/>
      <c r="U154" s="387"/>
      <c r="V154" s="270">
        <f t="shared" si="24"/>
        <v>0</v>
      </c>
      <c r="W154" s="271"/>
      <c r="X154" s="272" t="str">
        <f t="shared" si="25"/>
        <v/>
      </c>
      <c r="Y154" s="272" t="str">
        <f>IF(V154=1,V154+MAX($Y$5:Y153),"")</f>
        <v/>
      </c>
      <c r="Z154" s="272"/>
      <c r="AA154" s="270" t="str">
        <f>IF(ISTEXT(W154),IF(ISTEXT(Z154),Z154,'Datasource 2'!$M$14),"")</f>
        <v/>
      </c>
      <c r="AB154" s="273"/>
      <c r="AC154" s="261" t="str">
        <f t="shared" si="26"/>
        <v/>
      </c>
      <c r="AD154" s="261" t="str">
        <f t="shared" si="27"/>
        <v/>
      </c>
      <c r="AE154" s="274"/>
      <c r="AF154" s="381"/>
      <c r="AG154" s="381"/>
      <c r="AH154" s="390"/>
    </row>
    <row r="155" spans="1:34" ht="35.1" customHeight="1" x14ac:dyDescent="0.35">
      <c r="A155" s="205">
        <v>16</v>
      </c>
      <c r="B155" s="391">
        <v>16</v>
      </c>
      <c r="C155" s="364"/>
      <c r="D155" s="323"/>
      <c r="E155" s="361"/>
      <c r="F155" s="361"/>
      <c r="G155" s="373"/>
      <c r="H155" s="367" t="e">
        <f>IF(VLOOKUP(G155,Trusselvurdering!$B$3:$P$28,15,FALSE)=0,VLOOKUP(G155,Trusselvurdering!$B$3:$P$28,14,FALSE),VLOOKUP(G155,Trusselvurdering!$B$3:$P$28,15,FALSE))</f>
        <v>#N/A</v>
      </c>
      <c r="I155" s="394"/>
      <c r="J155" s="395"/>
      <c r="K155" s="395"/>
      <c r="L155" s="395"/>
      <c r="M155" s="395"/>
      <c r="N155" s="396"/>
      <c r="O155" s="324"/>
      <c r="P155" s="361"/>
      <c r="Q155" s="364"/>
      <c r="R155" s="361"/>
      <c r="S155" s="364"/>
      <c r="T155" s="361"/>
      <c r="U155" s="367" t="e">
        <f>VLOOKUP(Risikovurdering_data!C153,Akseptkriterier!$C$33:$H$37,MATCH(Risikovurdering_data!D153,Akseptkriterier!$D$32:$H$32,0)+1,FALSE)</f>
        <v>#N/A</v>
      </c>
      <c r="V155" s="325">
        <f t="shared" si="24"/>
        <v>0</v>
      </c>
      <c r="W155" s="326"/>
      <c r="X155" s="327" t="str">
        <f t="shared" si="25"/>
        <v/>
      </c>
      <c r="Y155" s="327" t="str">
        <f>IF(V155=1,V155+MAX($Y$5:Y154),"")</f>
        <v/>
      </c>
      <c r="Z155" s="327"/>
      <c r="AA155" s="325" t="str">
        <f>IF(ISTEXT(W155),IF(ISTEXT(Z155),Z155,'Datasource 2'!$M$14),"")</f>
        <v/>
      </c>
      <c r="AB155" s="328"/>
      <c r="AC155" s="328" t="str">
        <f t="shared" si="26"/>
        <v/>
      </c>
      <c r="AD155" s="328" t="str">
        <f t="shared" si="27"/>
        <v/>
      </c>
      <c r="AE155" s="329"/>
      <c r="AF155" s="361"/>
      <c r="AG155" s="361"/>
      <c r="AH155" s="370" t="e">
        <f>VLOOKUP(Risikovurdering_data!F153,Akseptkriterier!$C$33:$H$37,MATCH(Risikovurdering_data!G153,Akseptkriterier!$D$32:$H$32,0)+1,FALSE)</f>
        <v>#N/A</v>
      </c>
    </row>
    <row r="156" spans="1:34" ht="35.1" customHeight="1" x14ac:dyDescent="0.35">
      <c r="A156" s="205">
        <v>16</v>
      </c>
      <c r="B156" s="392"/>
      <c r="C156" s="365"/>
      <c r="D156" s="330"/>
      <c r="E156" s="362"/>
      <c r="F156" s="362"/>
      <c r="G156" s="374"/>
      <c r="H156" s="368"/>
      <c r="I156" s="397"/>
      <c r="J156" s="398"/>
      <c r="K156" s="398"/>
      <c r="L156" s="398"/>
      <c r="M156" s="398"/>
      <c r="N156" s="399"/>
      <c r="O156" s="331"/>
      <c r="P156" s="362"/>
      <c r="Q156" s="365"/>
      <c r="R156" s="362"/>
      <c r="S156" s="365"/>
      <c r="T156" s="362"/>
      <c r="U156" s="368"/>
      <c r="V156" s="332">
        <f t="shared" si="24"/>
        <v>0</v>
      </c>
      <c r="W156" s="333"/>
      <c r="X156" s="334" t="str">
        <f t="shared" si="25"/>
        <v/>
      </c>
      <c r="Y156" s="334" t="str">
        <f>IF(V156=1,V156+MAX($Y$5:Y155),"")</f>
        <v/>
      </c>
      <c r="Z156" s="334"/>
      <c r="AA156" s="332" t="str">
        <f>IF(ISTEXT(W156),IF(ISTEXT(Z156),Z156,'Datasource 2'!$M$14),"")</f>
        <v/>
      </c>
      <c r="AB156" s="328"/>
      <c r="AC156" s="328" t="str">
        <f t="shared" si="26"/>
        <v/>
      </c>
      <c r="AD156" s="328" t="str">
        <f t="shared" si="27"/>
        <v/>
      </c>
      <c r="AE156" s="329"/>
      <c r="AF156" s="362"/>
      <c r="AG156" s="362"/>
      <c r="AH156" s="371"/>
    </row>
    <row r="157" spans="1:34" ht="35.1" customHeight="1" x14ac:dyDescent="0.35">
      <c r="A157" s="205">
        <v>16</v>
      </c>
      <c r="B157" s="392"/>
      <c r="C157" s="365"/>
      <c r="D157" s="330"/>
      <c r="E157" s="362"/>
      <c r="F157" s="362"/>
      <c r="G157" s="374"/>
      <c r="H157" s="368"/>
      <c r="I157" s="397"/>
      <c r="J157" s="398"/>
      <c r="K157" s="398"/>
      <c r="L157" s="398"/>
      <c r="M157" s="398"/>
      <c r="N157" s="399"/>
      <c r="O157" s="331"/>
      <c r="P157" s="362"/>
      <c r="Q157" s="365"/>
      <c r="R157" s="362"/>
      <c r="S157" s="365"/>
      <c r="T157" s="362"/>
      <c r="U157" s="368"/>
      <c r="V157" s="332">
        <f t="shared" si="24"/>
        <v>0</v>
      </c>
      <c r="W157" s="333"/>
      <c r="X157" s="334" t="str">
        <f t="shared" si="25"/>
        <v/>
      </c>
      <c r="Y157" s="334" t="str">
        <f>IF(V157=1,V157+MAX($Y$5:Y156),"")</f>
        <v/>
      </c>
      <c r="Z157" s="334"/>
      <c r="AA157" s="332" t="str">
        <f>IF(ISTEXT(W157),IF(ISTEXT(Z157),Z157,'Datasource 2'!$M$14),"")</f>
        <v/>
      </c>
      <c r="AB157" s="328"/>
      <c r="AC157" s="328" t="str">
        <f t="shared" si="26"/>
        <v/>
      </c>
      <c r="AD157" s="328" t="str">
        <f t="shared" si="27"/>
        <v/>
      </c>
      <c r="AE157" s="329"/>
      <c r="AF157" s="362"/>
      <c r="AG157" s="362"/>
      <c r="AH157" s="371"/>
    </row>
    <row r="158" spans="1:34" ht="35.1" customHeight="1" x14ac:dyDescent="0.35">
      <c r="A158" s="205">
        <v>16</v>
      </c>
      <c r="B158" s="392"/>
      <c r="C158" s="365"/>
      <c r="D158" s="330"/>
      <c r="E158" s="362"/>
      <c r="F158" s="362"/>
      <c r="G158" s="374"/>
      <c r="H158" s="368"/>
      <c r="I158" s="397"/>
      <c r="J158" s="398"/>
      <c r="K158" s="398"/>
      <c r="L158" s="398"/>
      <c r="M158" s="398"/>
      <c r="N158" s="399"/>
      <c r="O158" s="331"/>
      <c r="P158" s="362"/>
      <c r="Q158" s="365"/>
      <c r="R158" s="362"/>
      <c r="S158" s="365"/>
      <c r="T158" s="362"/>
      <c r="U158" s="368"/>
      <c r="V158" s="332">
        <f t="shared" si="24"/>
        <v>0</v>
      </c>
      <c r="W158" s="333"/>
      <c r="X158" s="334" t="str">
        <f t="shared" si="25"/>
        <v/>
      </c>
      <c r="Y158" s="334" t="str">
        <f>IF(V158=1,V158+MAX($Y$5:Y157),"")</f>
        <v/>
      </c>
      <c r="Z158" s="334"/>
      <c r="AA158" s="332" t="str">
        <f>IF(ISTEXT(W158),IF(ISTEXT(Z158),Z158,'Datasource 2'!$M$14),"")</f>
        <v/>
      </c>
      <c r="AB158" s="328"/>
      <c r="AC158" s="328" t="str">
        <f t="shared" si="26"/>
        <v/>
      </c>
      <c r="AD158" s="328" t="str">
        <f t="shared" si="27"/>
        <v/>
      </c>
      <c r="AE158" s="329"/>
      <c r="AF158" s="362"/>
      <c r="AG158" s="362"/>
      <c r="AH158" s="371"/>
    </row>
    <row r="159" spans="1:34" ht="35.1" customHeight="1" x14ac:dyDescent="0.35">
      <c r="A159" s="205">
        <v>16</v>
      </c>
      <c r="B159" s="392"/>
      <c r="C159" s="365"/>
      <c r="D159" s="330"/>
      <c r="E159" s="362"/>
      <c r="F159" s="362"/>
      <c r="G159" s="374"/>
      <c r="H159" s="368"/>
      <c r="I159" s="397"/>
      <c r="J159" s="398"/>
      <c r="K159" s="398"/>
      <c r="L159" s="398"/>
      <c r="M159" s="398"/>
      <c r="N159" s="399"/>
      <c r="O159" s="331"/>
      <c r="P159" s="362"/>
      <c r="Q159" s="365"/>
      <c r="R159" s="362"/>
      <c r="S159" s="365"/>
      <c r="T159" s="362"/>
      <c r="U159" s="368"/>
      <c r="V159" s="332">
        <f t="shared" si="24"/>
        <v>0</v>
      </c>
      <c r="W159" s="333"/>
      <c r="X159" s="334" t="str">
        <f t="shared" si="25"/>
        <v/>
      </c>
      <c r="Y159" s="334" t="str">
        <f>IF(V159=1,V159+MAX($Y$5:Y158),"")</f>
        <v/>
      </c>
      <c r="Z159" s="334"/>
      <c r="AA159" s="332" t="str">
        <f>IF(ISTEXT(W159),IF(ISTEXT(Z159),Z159,'Datasource 2'!$M$14),"")</f>
        <v/>
      </c>
      <c r="AB159" s="328"/>
      <c r="AC159" s="328" t="str">
        <f t="shared" si="26"/>
        <v/>
      </c>
      <c r="AD159" s="328" t="str">
        <f t="shared" si="27"/>
        <v/>
      </c>
      <c r="AE159" s="329"/>
      <c r="AF159" s="362"/>
      <c r="AG159" s="362"/>
      <c r="AH159" s="371"/>
    </row>
    <row r="160" spans="1:34" ht="35.1" customHeight="1" x14ac:dyDescent="0.35">
      <c r="A160" s="205">
        <v>16</v>
      </c>
      <c r="B160" s="392"/>
      <c r="C160" s="365"/>
      <c r="D160" s="330"/>
      <c r="E160" s="362"/>
      <c r="F160" s="362"/>
      <c r="G160" s="374"/>
      <c r="H160" s="368"/>
      <c r="I160" s="397"/>
      <c r="J160" s="398"/>
      <c r="K160" s="398"/>
      <c r="L160" s="398"/>
      <c r="M160" s="398"/>
      <c r="N160" s="399"/>
      <c r="O160" s="331"/>
      <c r="P160" s="362"/>
      <c r="Q160" s="365"/>
      <c r="R160" s="362"/>
      <c r="S160" s="365"/>
      <c r="T160" s="362"/>
      <c r="U160" s="368"/>
      <c r="V160" s="332">
        <f t="shared" si="24"/>
        <v>0</v>
      </c>
      <c r="W160" s="333"/>
      <c r="X160" s="334" t="str">
        <f t="shared" si="25"/>
        <v/>
      </c>
      <c r="Y160" s="334" t="str">
        <f>IF(V160=1,V160+MAX($Y$5:Y159),"")</f>
        <v/>
      </c>
      <c r="Z160" s="334"/>
      <c r="AA160" s="332" t="str">
        <f>IF(ISTEXT(W160),IF(ISTEXT(Z160),Z160,'Datasource 2'!$M$14),"")</f>
        <v/>
      </c>
      <c r="AB160" s="328"/>
      <c r="AC160" s="328" t="str">
        <f t="shared" si="26"/>
        <v/>
      </c>
      <c r="AD160" s="328" t="str">
        <f t="shared" si="27"/>
        <v/>
      </c>
      <c r="AE160" s="329"/>
      <c r="AF160" s="362"/>
      <c r="AG160" s="362"/>
      <c r="AH160" s="371"/>
    </row>
    <row r="161" spans="1:34" ht="35.1" customHeight="1" x14ac:dyDescent="0.35">
      <c r="A161" s="205">
        <v>16</v>
      </c>
      <c r="B161" s="392"/>
      <c r="C161" s="365"/>
      <c r="D161" s="330"/>
      <c r="E161" s="362"/>
      <c r="F161" s="362"/>
      <c r="G161" s="374"/>
      <c r="H161" s="368"/>
      <c r="I161" s="397"/>
      <c r="J161" s="398"/>
      <c r="K161" s="398"/>
      <c r="L161" s="398"/>
      <c r="M161" s="398"/>
      <c r="N161" s="399"/>
      <c r="O161" s="331"/>
      <c r="P161" s="362"/>
      <c r="Q161" s="365"/>
      <c r="R161" s="362"/>
      <c r="S161" s="365"/>
      <c r="T161" s="362"/>
      <c r="U161" s="368"/>
      <c r="V161" s="332">
        <f t="shared" si="24"/>
        <v>0</v>
      </c>
      <c r="W161" s="333"/>
      <c r="X161" s="334" t="str">
        <f t="shared" si="25"/>
        <v/>
      </c>
      <c r="Y161" s="334" t="str">
        <f>IF(V161=1,V161+MAX($Y$5:Y160),"")</f>
        <v/>
      </c>
      <c r="Z161" s="334"/>
      <c r="AA161" s="332" t="str">
        <f>IF(ISTEXT(W161),IF(ISTEXT(Z161),Z161,'Datasource 2'!$M$14),"")</f>
        <v/>
      </c>
      <c r="AB161" s="328"/>
      <c r="AC161" s="328" t="str">
        <f t="shared" si="26"/>
        <v/>
      </c>
      <c r="AD161" s="328" t="str">
        <f t="shared" si="27"/>
        <v/>
      </c>
      <c r="AE161" s="329"/>
      <c r="AF161" s="362"/>
      <c r="AG161" s="362"/>
      <c r="AH161" s="371"/>
    </row>
    <row r="162" spans="1:34" ht="35.1" customHeight="1" x14ac:dyDescent="0.35">
      <c r="A162" s="205">
        <v>16</v>
      </c>
      <c r="B162" s="392"/>
      <c r="C162" s="365"/>
      <c r="D162" s="330"/>
      <c r="E162" s="362"/>
      <c r="F162" s="362"/>
      <c r="G162" s="374"/>
      <c r="H162" s="368"/>
      <c r="I162" s="397"/>
      <c r="J162" s="398"/>
      <c r="K162" s="398"/>
      <c r="L162" s="398"/>
      <c r="M162" s="398"/>
      <c r="N162" s="399"/>
      <c r="O162" s="331"/>
      <c r="P162" s="362"/>
      <c r="Q162" s="365"/>
      <c r="R162" s="362"/>
      <c r="S162" s="365"/>
      <c r="T162" s="362"/>
      <c r="U162" s="368"/>
      <c r="V162" s="332">
        <f t="shared" si="24"/>
        <v>0</v>
      </c>
      <c r="W162" s="333"/>
      <c r="X162" s="334" t="str">
        <f t="shared" si="25"/>
        <v/>
      </c>
      <c r="Y162" s="334" t="str">
        <f>IF(V162=1,V162+MAX($Y$5:Y161),"")</f>
        <v/>
      </c>
      <c r="Z162" s="334"/>
      <c r="AA162" s="332" t="str">
        <f>IF(ISTEXT(W162),IF(ISTEXT(Z162),Z162,'Datasource 2'!$M$14),"")</f>
        <v/>
      </c>
      <c r="AB162" s="328"/>
      <c r="AC162" s="328" t="str">
        <f t="shared" si="26"/>
        <v/>
      </c>
      <c r="AD162" s="328" t="str">
        <f t="shared" si="27"/>
        <v/>
      </c>
      <c r="AE162" s="329"/>
      <c r="AF162" s="362"/>
      <c r="AG162" s="362"/>
      <c r="AH162" s="371"/>
    </row>
    <row r="163" spans="1:34" ht="35.1" customHeight="1" x14ac:dyDescent="0.35">
      <c r="A163" s="205">
        <v>16</v>
      </c>
      <c r="B163" s="392"/>
      <c r="C163" s="365"/>
      <c r="D163" s="330"/>
      <c r="E163" s="362"/>
      <c r="F163" s="362"/>
      <c r="G163" s="374"/>
      <c r="H163" s="368"/>
      <c r="I163" s="397"/>
      <c r="J163" s="398"/>
      <c r="K163" s="398"/>
      <c r="L163" s="398"/>
      <c r="M163" s="398"/>
      <c r="N163" s="399"/>
      <c r="O163" s="331"/>
      <c r="P163" s="362"/>
      <c r="Q163" s="365"/>
      <c r="R163" s="362"/>
      <c r="S163" s="365"/>
      <c r="T163" s="362"/>
      <c r="U163" s="368"/>
      <c r="V163" s="332">
        <f t="shared" si="24"/>
        <v>0</v>
      </c>
      <c r="W163" s="333"/>
      <c r="X163" s="334" t="str">
        <f t="shared" si="25"/>
        <v/>
      </c>
      <c r="Y163" s="334" t="str">
        <f>IF(V163=1,V163+MAX($Y$5:Y162),"")</f>
        <v/>
      </c>
      <c r="Z163" s="334"/>
      <c r="AA163" s="332" t="str">
        <f>IF(ISTEXT(W163),IF(ISTEXT(Z163),Z163,'Datasource 2'!$M$14),"")</f>
        <v/>
      </c>
      <c r="AB163" s="328"/>
      <c r="AC163" s="328" t="str">
        <f t="shared" si="26"/>
        <v/>
      </c>
      <c r="AD163" s="328" t="str">
        <f t="shared" si="27"/>
        <v/>
      </c>
      <c r="AE163" s="329"/>
      <c r="AF163" s="362"/>
      <c r="AG163" s="362"/>
      <c r="AH163" s="371"/>
    </row>
    <row r="164" spans="1:34" ht="35.1" customHeight="1" thickBot="1" x14ac:dyDescent="0.4">
      <c r="A164" s="205">
        <v>16</v>
      </c>
      <c r="B164" s="393"/>
      <c r="C164" s="366"/>
      <c r="D164" s="335"/>
      <c r="E164" s="363"/>
      <c r="F164" s="363"/>
      <c r="G164" s="375"/>
      <c r="H164" s="369"/>
      <c r="I164" s="400"/>
      <c r="J164" s="401"/>
      <c r="K164" s="401"/>
      <c r="L164" s="401"/>
      <c r="M164" s="401"/>
      <c r="N164" s="402"/>
      <c r="O164" s="336"/>
      <c r="P164" s="363"/>
      <c r="Q164" s="366"/>
      <c r="R164" s="363"/>
      <c r="S164" s="366"/>
      <c r="T164" s="363"/>
      <c r="U164" s="369"/>
      <c r="V164" s="337">
        <f t="shared" si="24"/>
        <v>0</v>
      </c>
      <c r="W164" s="338"/>
      <c r="X164" s="339" t="str">
        <f t="shared" si="25"/>
        <v/>
      </c>
      <c r="Y164" s="339" t="str">
        <f>IF(V164=1,V164+MAX($Y$5:Y163),"")</f>
        <v/>
      </c>
      <c r="Z164" s="339"/>
      <c r="AA164" s="337" t="str">
        <f>IF(ISTEXT(W164),IF(ISTEXT(Z164),Z164,'Datasource 2'!$M$14),"")</f>
        <v/>
      </c>
      <c r="AB164" s="339"/>
      <c r="AC164" s="328" t="str">
        <f t="shared" si="26"/>
        <v/>
      </c>
      <c r="AD164" s="328" t="str">
        <f t="shared" si="27"/>
        <v/>
      </c>
      <c r="AE164" s="340"/>
      <c r="AF164" s="363"/>
      <c r="AG164" s="363"/>
      <c r="AH164" s="372"/>
    </row>
    <row r="165" spans="1:34" ht="35.1" customHeight="1" x14ac:dyDescent="0.35">
      <c r="A165" s="205">
        <v>17</v>
      </c>
      <c r="B165" s="412">
        <v>17</v>
      </c>
      <c r="C165" s="382"/>
      <c r="D165" s="257"/>
      <c r="E165" s="379"/>
      <c r="F165" s="379"/>
      <c r="G165" s="376"/>
      <c r="H165" s="385" t="e">
        <f>IF(VLOOKUP(G165,Trusselvurdering!$B$3:$P$28,15,FALSE)=0,VLOOKUP(G165,Trusselvurdering!$B$3:$P$28,14,FALSE),VLOOKUP(G165,Trusselvurdering!$B$3:$P$28,15,FALSE))</f>
        <v>#N/A</v>
      </c>
      <c r="I165" s="403"/>
      <c r="J165" s="404"/>
      <c r="K165" s="404"/>
      <c r="L165" s="404"/>
      <c r="M165" s="404"/>
      <c r="N165" s="405"/>
      <c r="O165" s="258"/>
      <c r="P165" s="379"/>
      <c r="Q165" s="382"/>
      <c r="R165" s="379"/>
      <c r="S165" s="382"/>
      <c r="T165" s="379"/>
      <c r="U165" s="385" t="e">
        <f>VLOOKUP(Risikovurdering_data!C163,Akseptkriterier!$C$33:$H$37,MATCH(Risikovurdering_data!D163,Akseptkriterier!$D$32:$H$32,0)+1,FALSE)</f>
        <v>#N/A</v>
      </c>
      <c r="V165" s="259">
        <f t="shared" si="24"/>
        <v>0</v>
      </c>
      <c r="W165" s="260"/>
      <c r="X165" s="261" t="str">
        <f t="shared" si="25"/>
        <v/>
      </c>
      <c r="Y165" s="261" t="str">
        <f>IF(V165=1,V165+MAX($Y$5:Y164),"")</f>
        <v/>
      </c>
      <c r="Z165" s="261"/>
      <c r="AA165" s="259" t="str">
        <f>IF(ISTEXT(W165),IF(ISTEXT(Z165),Z165,'Datasource 2'!$M$14),"")</f>
        <v/>
      </c>
      <c r="AB165" s="261"/>
      <c r="AC165" s="261" t="str">
        <f t="shared" si="26"/>
        <v/>
      </c>
      <c r="AD165" s="261" t="str">
        <f t="shared" si="27"/>
        <v/>
      </c>
      <c r="AE165" s="262"/>
      <c r="AF165" s="379"/>
      <c r="AG165" s="379"/>
      <c r="AH165" s="388" t="e">
        <f>VLOOKUP(Risikovurdering_data!F163,Akseptkriterier!$C$33:$H$37,MATCH(Risikovurdering_data!G163,Akseptkriterier!$D$32:$H$32,0)+1,FALSE)</f>
        <v>#N/A</v>
      </c>
    </row>
    <row r="166" spans="1:34" ht="35.1" customHeight="1" x14ac:dyDescent="0.35">
      <c r="A166" s="205">
        <v>17</v>
      </c>
      <c r="B166" s="413"/>
      <c r="C166" s="383"/>
      <c r="D166" s="263"/>
      <c r="E166" s="380"/>
      <c r="F166" s="380"/>
      <c r="G166" s="377"/>
      <c r="H166" s="386"/>
      <c r="I166" s="406"/>
      <c r="J166" s="407"/>
      <c r="K166" s="407"/>
      <c r="L166" s="407"/>
      <c r="M166" s="407"/>
      <c r="N166" s="408"/>
      <c r="O166" s="264"/>
      <c r="P166" s="380"/>
      <c r="Q166" s="383"/>
      <c r="R166" s="380"/>
      <c r="S166" s="383"/>
      <c r="T166" s="380"/>
      <c r="U166" s="386"/>
      <c r="V166" s="265">
        <f t="shared" si="24"/>
        <v>0</v>
      </c>
      <c r="W166" s="266"/>
      <c r="X166" s="267" t="str">
        <f t="shared" si="25"/>
        <v/>
      </c>
      <c r="Y166" s="267" t="str">
        <f>IF(V166=1,V166+MAX($Y$5:Y165),"")</f>
        <v/>
      </c>
      <c r="Z166" s="267"/>
      <c r="AA166" s="265" t="str">
        <f>IF(ISTEXT(W166),IF(ISTEXT(Z166),Z166,'Datasource 2'!$M$14),"")</f>
        <v/>
      </c>
      <c r="AB166" s="261"/>
      <c r="AC166" s="261" t="str">
        <f t="shared" si="26"/>
        <v/>
      </c>
      <c r="AD166" s="261" t="str">
        <f t="shared" si="27"/>
        <v/>
      </c>
      <c r="AE166" s="262"/>
      <c r="AF166" s="380"/>
      <c r="AG166" s="380"/>
      <c r="AH166" s="389"/>
    </row>
    <row r="167" spans="1:34" ht="35.1" customHeight="1" x14ac:dyDescent="0.35">
      <c r="A167" s="205">
        <v>17</v>
      </c>
      <c r="B167" s="413"/>
      <c r="C167" s="383"/>
      <c r="D167" s="263"/>
      <c r="E167" s="380"/>
      <c r="F167" s="380"/>
      <c r="G167" s="377"/>
      <c r="H167" s="386"/>
      <c r="I167" s="406"/>
      <c r="J167" s="407"/>
      <c r="K167" s="407"/>
      <c r="L167" s="407"/>
      <c r="M167" s="407"/>
      <c r="N167" s="408"/>
      <c r="O167" s="264"/>
      <c r="P167" s="380"/>
      <c r="Q167" s="383"/>
      <c r="R167" s="380"/>
      <c r="S167" s="383"/>
      <c r="T167" s="380"/>
      <c r="U167" s="386"/>
      <c r="V167" s="265">
        <f t="shared" si="24"/>
        <v>0</v>
      </c>
      <c r="W167" s="266"/>
      <c r="X167" s="267" t="str">
        <f t="shared" si="25"/>
        <v/>
      </c>
      <c r="Y167" s="267" t="str">
        <f>IF(V167=1,V167+MAX($Y$5:Y166),"")</f>
        <v/>
      </c>
      <c r="Z167" s="267"/>
      <c r="AA167" s="265" t="str">
        <f>IF(ISTEXT(W167),IF(ISTEXT(Z167),Z167,'Datasource 2'!$M$14),"")</f>
        <v/>
      </c>
      <c r="AB167" s="261"/>
      <c r="AC167" s="261" t="str">
        <f t="shared" si="26"/>
        <v/>
      </c>
      <c r="AD167" s="261" t="str">
        <f t="shared" si="27"/>
        <v/>
      </c>
      <c r="AE167" s="262"/>
      <c r="AF167" s="380"/>
      <c r="AG167" s="380"/>
      <c r="AH167" s="389"/>
    </row>
    <row r="168" spans="1:34" ht="35.1" customHeight="1" x14ac:dyDescent="0.35">
      <c r="A168" s="205">
        <v>17</v>
      </c>
      <c r="B168" s="413"/>
      <c r="C168" s="383"/>
      <c r="D168" s="263"/>
      <c r="E168" s="380"/>
      <c r="F168" s="380"/>
      <c r="G168" s="377"/>
      <c r="H168" s="386"/>
      <c r="I168" s="406"/>
      <c r="J168" s="407"/>
      <c r="K168" s="407"/>
      <c r="L168" s="407"/>
      <c r="M168" s="407"/>
      <c r="N168" s="408"/>
      <c r="O168" s="264"/>
      <c r="P168" s="380"/>
      <c r="Q168" s="383"/>
      <c r="R168" s="380"/>
      <c r="S168" s="383"/>
      <c r="T168" s="380"/>
      <c r="U168" s="386"/>
      <c r="V168" s="265">
        <f t="shared" si="24"/>
        <v>0</v>
      </c>
      <c r="W168" s="266"/>
      <c r="X168" s="267" t="str">
        <f t="shared" si="25"/>
        <v/>
      </c>
      <c r="Y168" s="267" t="str">
        <f>IF(V168=1,V168+MAX($Y$5:Y167),"")</f>
        <v/>
      </c>
      <c r="Z168" s="267"/>
      <c r="AA168" s="265" t="str">
        <f>IF(ISTEXT(W168),IF(ISTEXT(Z168),Z168,'Datasource 2'!$M$14),"")</f>
        <v/>
      </c>
      <c r="AB168" s="261"/>
      <c r="AC168" s="261" t="str">
        <f t="shared" si="26"/>
        <v/>
      </c>
      <c r="AD168" s="261" t="str">
        <f t="shared" si="27"/>
        <v/>
      </c>
      <c r="AE168" s="262"/>
      <c r="AF168" s="380"/>
      <c r="AG168" s="380"/>
      <c r="AH168" s="389"/>
    </row>
    <row r="169" spans="1:34" ht="35.1" customHeight="1" x14ac:dyDescent="0.35">
      <c r="A169" s="205">
        <v>17</v>
      </c>
      <c r="B169" s="413"/>
      <c r="C169" s="383"/>
      <c r="D169" s="263"/>
      <c r="E169" s="380"/>
      <c r="F169" s="380"/>
      <c r="G169" s="377"/>
      <c r="H169" s="386"/>
      <c r="I169" s="406"/>
      <c r="J169" s="407"/>
      <c r="K169" s="407"/>
      <c r="L169" s="407"/>
      <c r="M169" s="407"/>
      <c r="N169" s="408"/>
      <c r="O169" s="264"/>
      <c r="P169" s="380"/>
      <c r="Q169" s="383"/>
      <c r="R169" s="380"/>
      <c r="S169" s="383"/>
      <c r="T169" s="380"/>
      <c r="U169" s="386"/>
      <c r="V169" s="265">
        <f t="shared" si="24"/>
        <v>0</v>
      </c>
      <c r="W169" s="266"/>
      <c r="X169" s="267" t="str">
        <f t="shared" si="25"/>
        <v/>
      </c>
      <c r="Y169" s="267" t="str">
        <f>IF(V169=1,V169+MAX($Y$5:Y168),"")</f>
        <v/>
      </c>
      <c r="Z169" s="267"/>
      <c r="AA169" s="265" t="str">
        <f>IF(ISTEXT(W169),IF(ISTEXT(Z169),Z169,'Datasource 2'!$M$14),"")</f>
        <v/>
      </c>
      <c r="AB169" s="261"/>
      <c r="AC169" s="261" t="str">
        <f t="shared" si="26"/>
        <v/>
      </c>
      <c r="AD169" s="261" t="str">
        <f t="shared" si="27"/>
        <v/>
      </c>
      <c r="AE169" s="262"/>
      <c r="AF169" s="380"/>
      <c r="AG169" s="380"/>
      <c r="AH169" s="389"/>
    </row>
    <row r="170" spans="1:34" ht="35.1" customHeight="1" x14ac:dyDescent="0.35">
      <c r="A170" s="205">
        <v>17</v>
      </c>
      <c r="B170" s="413"/>
      <c r="C170" s="383"/>
      <c r="D170" s="263"/>
      <c r="E170" s="380"/>
      <c r="F170" s="380"/>
      <c r="G170" s="377"/>
      <c r="H170" s="386"/>
      <c r="I170" s="406"/>
      <c r="J170" s="407"/>
      <c r="K170" s="407"/>
      <c r="L170" s="407"/>
      <c r="M170" s="407"/>
      <c r="N170" s="408"/>
      <c r="O170" s="264"/>
      <c r="P170" s="380"/>
      <c r="Q170" s="383"/>
      <c r="R170" s="380"/>
      <c r="S170" s="383"/>
      <c r="T170" s="380"/>
      <c r="U170" s="386"/>
      <c r="V170" s="265">
        <f t="shared" si="24"/>
        <v>0</v>
      </c>
      <c r="W170" s="266"/>
      <c r="X170" s="267" t="str">
        <f t="shared" si="25"/>
        <v/>
      </c>
      <c r="Y170" s="267" t="str">
        <f>IF(V170=1,V170+MAX($Y$5:Y169),"")</f>
        <v/>
      </c>
      <c r="Z170" s="267"/>
      <c r="AA170" s="265" t="str">
        <f>IF(ISTEXT(W170),IF(ISTEXT(Z170),Z170,'Datasource 2'!$M$14),"")</f>
        <v/>
      </c>
      <c r="AB170" s="261"/>
      <c r="AC170" s="261" t="str">
        <f t="shared" si="26"/>
        <v/>
      </c>
      <c r="AD170" s="261" t="str">
        <f t="shared" si="27"/>
        <v/>
      </c>
      <c r="AE170" s="262"/>
      <c r="AF170" s="380"/>
      <c r="AG170" s="380"/>
      <c r="AH170" s="389"/>
    </row>
    <row r="171" spans="1:34" ht="35.1" customHeight="1" x14ac:dyDescent="0.35">
      <c r="A171" s="205">
        <v>17</v>
      </c>
      <c r="B171" s="413"/>
      <c r="C171" s="383"/>
      <c r="D171" s="263"/>
      <c r="E171" s="380"/>
      <c r="F171" s="380"/>
      <c r="G171" s="377"/>
      <c r="H171" s="386"/>
      <c r="I171" s="406"/>
      <c r="J171" s="407"/>
      <c r="K171" s="407"/>
      <c r="L171" s="407"/>
      <c r="M171" s="407"/>
      <c r="N171" s="408"/>
      <c r="O171" s="264"/>
      <c r="P171" s="380"/>
      <c r="Q171" s="383"/>
      <c r="R171" s="380"/>
      <c r="S171" s="383"/>
      <c r="T171" s="380"/>
      <c r="U171" s="386"/>
      <c r="V171" s="265">
        <f t="shared" si="24"/>
        <v>0</v>
      </c>
      <c r="W171" s="266"/>
      <c r="X171" s="267" t="str">
        <f t="shared" si="25"/>
        <v/>
      </c>
      <c r="Y171" s="267" t="str">
        <f>IF(V171=1,V171+MAX($Y$5:Y170),"")</f>
        <v/>
      </c>
      <c r="Z171" s="267"/>
      <c r="AA171" s="265" t="str">
        <f>IF(ISTEXT(W171),IF(ISTEXT(Z171),Z171,'Datasource 2'!$M$14),"")</f>
        <v/>
      </c>
      <c r="AB171" s="261"/>
      <c r="AC171" s="261" t="str">
        <f t="shared" si="26"/>
        <v/>
      </c>
      <c r="AD171" s="261" t="str">
        <f t="shared" si="27"/>
        <v/>
      </c>
      <c r="AE171" s="262"/>
      <c r="AF171" s="380"/>
      <c r="AG171" s="380"/>
      <c r="AH171" s="389"/>
    </row>
    <row r="172" spans="1:34" ht="35.1" customHeight="1" x14ac:dyDescent="0.35">
      <c r="A172" s="205">
        <v>17</v>
      </c>
      <c r="B172" s="413"/>
      <c r="C172" s="383"/>
      <c r="D172" s="263"/>
      <c r="E172" s="380"/>
      <c r="F172" s="380"/>
      <c r="G172" s="377"/>
      <c r="H172" s="386"/>
      <c r="I172" s="406"/>
      <c r="J172" s="407"/>
      <c r="K172" s="407"/>
      <c r="L172" s="407"/>
      <c r="M172" s="407"/>
      <c r="N172" s="408"/>
      <c r="O172" s="264"/>
      <c r="P172" s="380"/>
      <c r="Q172" s="383"/>
      <c r="R172" s="380"/>
      <c r="S172" s="383"/>
      <c r="T172" s="380"/>
      <c r="U172" s="386"/>
      <c r="V172" s="265">
        <f t="shared" si="24"/>
        <v>0</v>
      </c>
      <c r="W172" s="266"/>
      <c r="X172" s="267" t="str">
        <f t="shared" si="25"/>
        <v/>
      </c>
      <c r="Y172" s="267" t="str">
        <f>IF(V172=1,V172+MAX($Y$5:Y171),"")</f>
        <v/>
      </c>
      <c r="Z172" s="267"/>
      <c r="AA172" s="265" t="str">
        <f>IF(ISTEXT(W172),IF(ISTEXT(Z172),Z172,'Datasource 2'!$M$14),"")</f>
        <v/>
      </c>
      <c r="AB172" s="261"/>
      <c r="AC172" s="261" t="str">
        <f t="shared" si="26"/>
        <v/>
      </c>
      <c r="AD172" s="261" t="str">
        <f t="shared" si="27"/>
        <v/>
      </c>
      <c r="AE172" s="262"/>
      <c r="AF172" s="380"/>
      <c r="AG172" s="380"/>
      <c r="AH172" s="389"/>
    </row>
    <row r="173" spans="1:34" ht="35.1" customHeight="1" x14ac:dyDescent="0.35">
      <c r="A173" s="205">
        <v>17</v>
      </c>
      <c r="B173" s="413"/>
      <c r="C173" s="383"/>
      <c r="D173" s="263"/>
      <c r="E173" s="380"/>
      <c r="F173" s="380"/>
      <c r="G173" s="377"/>
      <c r="H173" s="386"/>
      <c r="I173" s="406"/>
      <c r="J173" s="407"/>
      <c r="K173" s="407"/>
      <c r="L173" s="407"/>
      <c r="M173" s="407"/>
      <c r="N173" s="408"/>
      <c r="O173" s="264"/>
      <c r="P173" s="380"/>
      <c r="Q173" s="383"/>
      <c r="R173" s="380"/>
      <c r="S173" s="383"/>
      <c r="T173" s="380"/>
      <c r="U173" s="386"/>
      <c r="V173" s="265">
        <f t="shared" si="24"/>
        <v>0</v>
      </c>
      <c r="W173" s="266"/>
      <c r="X173" s="267" t="str">
        <f t="shared" si="25"/>
        <v/>
      </c>
      <c r="Y173" s="267" t="str">
        <f>IF(V173=1,V173+MAX($Y$5:Y172),"")</f>
        <v/>
      </c>
      <c r="Z173" s="267"/>
      <c r="AA173" s="265" t="str">
        <f>IF(ISTEXT(W173),IF(ISTEXT(Z173),Z173,'Datasource 2'!$M$14),"")</f>
        <v/>
      </c>
      <c r="AB173" s="261"/>
      <c r="AC173" s="261" t="str">
        <f t="shared" si="26"/>
        <v/>
      </c>
      <c r="AD173" s="261" t="str">
        <f t="shared" si="27"/>
        <v/>
      </c>
      <c r="AE173" s="262"/>
      <c r="AF173" s="380"/>
      <c r="AG173" s="380"/>
      <c r="AH173" s="389"/>
    </row>
    <row r="174" spans="1:34" ht="35.1" customHeight="1" thickBot="1" x14ac:dyDescent="0.4">
      <c r="A174" s="205">
        <v>17</v>
      </c>
      <c r="B174" s="414"/>
      <c r="C174" s="384"/>
      <c r="D174" s="268"/>
      <c r="E174" s="381"/>
      <c r="F174" s="381"/>
      <c r="G174" s="378"/>
      <c r="H174" s="387"/>
      <c r="I174" s="409"/>
      <c r="J174" s="410"/>
      <c r="K174" s="410"/>
      <c r="L174" s="410"/>
      <c r="M174" s="410"/>
      <c r="N174" s="411"/>
      <c r="O174" s="269"/>
      <c r="P174" s="381"/>
      <c r="Q174" s="384"/>
      <c r="R174" s="381"/>
      <c r="S174" s="384"/>
      <c r="T174" s="381"/>
      <c r="U174" s="387"/>
      <c r="V174" s="270">
        <f t="shared" si="24"/>
        <v>0</v>
      </c>
      <c r="W174" s="271"/>
      <c r="X174" s="272" t="str">
        <f t="shared" si="25"/>
        <v/>
      </c>
      <c r="Y174" s="272" t="str">
        <f>IF(V174=1,V174+MAX($Y$5:Y173),"")</f>
        <v/>
      </c>
      <c r="Z174" s="272"/>
      <c r="AA174" s="270" t="str">
        <f>IF(ISTEXT(W174),IF(ISTEXT(Z174),Z174,'Datasource 2'!$M$14),"")</f>
        <v/>
      </c>
      <c r="AB174" s="273"/>
      <c r="AC174" s="261" t="str">
        <f t="shared" si="26"/>
        <v/>
      </c>
      <c r="AD174" s="261" t="str">
        <f t="shared" si="27"/>
        <v/>
      </c>
      <c r="AE174" s="274"/>
      <c r="AF174" s="381"/>
      <c r="AG174" s="381"/>
      <c r="AH174" s="390"/>
    </row>
    <row r="175" spans="1:34" ht="35.1" customHeight="1" x14ac:dyDescent="0.35">
      <c r="A175" s="205">
        <v>18</v>
      </c>
      <c r="B175" s="391">
        <v>18</v>
      </c>
      <c r="C175" s="364"/>
      <c r="D175" s="323"/>
      <c r="E175" s="361"/>
      <c r="F175" s="361"/>
      <c r="G175" s="373"/>
      <c r="H175" s="367" t="e">
        <f>IF(VLOOKUP(G175,Trusselvurdering!$B$3:$P$28,15,FALSE)=0,VLOOKUP(G175,Trusselvurdering!$B$3:$P$28,14,FALSE),VLOOKUP(G175,Trusselvurdering!$B$3:$P$28,15,FALSE))</f>
        <v>#N/A</v>
      </c>
      <c r="I175" s="394"/>
      <c r="J175" s="395"/>
      <c r="K175" s="395"/>
      <c r="L175" s="395"/>
      <c r="M175" s="395"/>
      <c r="N175" s="396"/>
      <c r="O175" s="324"/>
      <c r="P175" s="361"/>
      <c r="Q175" s="364"/>
      <c r="R175" s="361"/>
      <c r="S175" s="364"/>
      <c r="T175" s="361"/>
      <c r="U175" s="367" t="e">
        <f>VLOOKUP(Risikovurdering_data!C173,Akseptkriterier!$C$33:$H$37,MATCH(Risikovurdering_data!D173,Akseptkriterier!$D$32:$H$32,0)+1,FALSE)</f>
        <v>#N/A</v>
      </c>
      <c r="V175" s="325">
        <f t="shared" si="24"/>
        <v>0</v>
      </c>
      <c r="W175" s="326"/>
      <c r="X175" s="327" t="str">
        <f t="shared" si="25"/>
        <v/>
      </c>
      <c r="Y175" s="327" t="str">
        <f>IF(V175=1,V175+MAX($Y$5:Y174),"")</f>
        <v/>
      </c>
      <c r="Z175" s="327"/>
      <c r="AA175" s="325" t="str">
        <f>IF(ISTEXT(W175),IF(ISTEXT(Z175),Z175,'Datasource 2'!$M$14),"")</f>
        <v/>
      </c>
      <c r="AB175" s="328"/>
      <c r="AC175" s="328" t="str">
        <f t="shared" si="26"/>
        <v/>
      </c>
      <c r="AD175" s="328" t="str">
        <f t="shared" si="27"/>
        <v/>
      </c>
      <c r="AE175" s="329"/>
      <c r="AF175" s="361"/>
      <c r="AG175" s="361"/>
      <c r="AH175" s="370" t="e">
        <f>VLOOKUP(Risikovurdering_data!F173,Akseptkriterier!$C$33:$H$37,MATCH(Risikovurdering_data!G173,Akseptkriterier!$D$32:$H$32,0)+1,FALSE)</f>
        <v>#N/A</v>
      </c>
    </row>
    <row r="176" spans="1:34" ht="35.1" customHeight="1" x14ac:dyDescent="0.35">
      <c r="A176" s="205">
        <v>18</v>
      </c>
      <c r="B176" s="392"/>
      <c r="C176" s="365"/>
      <c r="D176" s="330"/>
      <c r="E176" s="362"/>
      <c r="F176" s="362"/>
      <c r="G176" s="374"/>
      <c r="H176" s="368"/>
      <c r="I176" s="397"/>
      <c r="J176" s="398"/>
      <c r="K176" s="398"/>
      <c r="L176" s="398"/>
      <c r="M176" s="398"/>
      <c r="N176" s="399"/>
      <c r="O176" s="331"/>
      <c r="P176" s="362"/>
      <c r="Q176" s="365"/>
      <c r="R176" s="362"/>
      <c r="S176" s="365"/>
      <c r="T176" s="362"/>
      <c r="U176" s="368"/>
      <c r="V176" s="332">
        <f t="shared" si="24"/>
        <v>0</v>
      </c>
      <c r="W176" s="333"/>
      <c r="X176" s="334" t="str">
        <f t="shared" si="25"/>
        <v/>
      </c>
      <c r="Y176" s="334" t="str">
        <f>IF(V176=1,V176+MAX($Y$5:Y175),"")</f>
        <v/>
      </c>
      <c r="Z176" s="334"/>
      <c r="AA176" s="332" t="str">
        <f>IF(ISTEXT(W176),IF(ISTEXT(Z176),Z176,'Datasource 2'!$M$14),"")</f>
        <v/>
      </c>
      <c r="AB176" s="328"/>
      <c r="AC176" s="328" t="str">
        <f t="shared" si="26"/>
        <v/>
      </c>
      <c r="AD176" s="328" t="str">
        <f t="shared" si="27"/>
        <v/>
      </c>
      <c r="AE176" s="329"/>
      <c r="AF176" s="362"/>
      <c r="AG176" s="362"/>
      <c r="AH176" s="371"/>
    </row>
    <row r="177" spans="1:34" ht="35.1" customHeight="1" x14ac:dyDescent="0.35">
      <c r="A177" s="205">
        <v>18</v>
      </c>
      <c r="B177" s="392"/>
      <c r="C177" s="365"/>
      <c r="D177" s="330"/>
      <c r="E177" s="362"/>
      <c r="F177" s="362"/>
      <c r="G177" s="374"/>
      <c r="H177" s="368"/>
      <c r="I177" s="397"/>
      <c r="J177" s="398"/>
      <c r="K177" s="398"/>
      <c r="L177" s="398"/>
      <c r="M177" s="398"/>
      <c r="N177" s="399"/>
      <c r="O177" s="331"/>
      <c r="P177" s="362"/>
      <c r="Q177" s="365"/>
      <c r="R177" s="362"/>
      <c r="S177" s="365"/>
      <c r="T177" s="362"/>
      <c r="U177" s="368"/>
      <c r="V177" s="332">
        <f t="shared" si="24"/>
        <v>0</v>
      </c>
      <c r="W177" s="333"/>
      <c r="X177" s="334" t="str">
        <f t="shared" si="25"/>
        <v/>
      </c>
      <c r="Y177" s="334" t="str">
        <f>IF(V177=1,V177+MAX($Y$5:Y176),"")</f>
        <v/>
      </c>
      <c r="Z177" s="334"/>
      <c r="AA177" s="332" t="str">
        <f>IF(ISTEXT(W177),IF(ISTEXT(Z177),Z177,'Datasource 2'!$M$14),"")</f>
        <v/>
      </c>
      <c r="AB177" s="328"/>
      <c r="AC177" s="328" t="str">
        <f t="shared" si="26"/>
        <v/>
      </c>
      <c r="AD177" s="328" t="str">
        <f t="shared" si="27"/>
        <v/>
      </c>
      <c r="AE177" s="329"/>
      <c r="AF177" s="362"/>
      <c r="AG177" s="362"/>
      <c r="AH177" s="371"/>
    </row>
    <row r="178" spans="1:34" ht="35.1" customHeight="1" x14ac:dyDescent="0.35">
      <c r="A178" s="205">
        <v>18</v>
      </c>
      <c r="B178" s="392"/>
      <c r="C178" s="365"/>
      <c r="D178" s="330"/>
      <c r="E178" s="362"/>
      <c r="F178" s="362"/>
      <c r="G178" s="374"/>
      <c r="H178" s="368"/>
      <c r="I178" s="397"/>
      <c r="J178" s="398"/>
      <c r="K178" s="398"/>
      <c r="L178" s="398"/>
      <c r="M178" s="398"/>
      <c r="N178" s="399"/>
      <c r="O178" s="331"/>
      <c r="P178" s="362"/>
      <c r="Q178" s="365"/>
      <c r="R178" s="362"/>
      <c r="S178" s="365"/>
      <c r="T178" s="362"/>
      <c r="U178" s="368"/>
      <c r="V178" s="332">
        <f t="shared" si="24"/>
        <v>0</v>
      </c>
      <c r="W178" s="333"/>
      <c r="X178" s="334" t="str">
        <f t="shared" si="25"/>
        <v/>
      </c>
      <c r="Y178" s="334" t="str">
        <f>IF(V178=1,V178+MAX($Y$5:Y177),"")</f>
        <v/>
      </c>
      <c r="Z178" s="334"/>
      <c r="AA178" s="332" t="str">
        <f>IF(ISTEXT(W178),IF(ISTEXT(Z178),Z178,'Datasource 2'!$M$14),"")</f>
        <v/>
      </c>
      <c r="AB178" s="328"/>
      <c r="AC178" s="328" t="str">
        <f t="shared" si="26"/>
        <v/>
      </c>
      <c r="AD178" s="328" t="str">
        <f t="shared" si="27"/>
        <v/>
      </c>
      <c r="AE178" s="329"/>
      <c r="AF178" s="362"/>
      <c r="AG178" s="362"/>
      <c r="AH178" s="371"/>
    </row>
    <row r="179" spans="1:34" ht="35.1" customHeight="1" x14ac:dyDescent="0.35">
      <c r="A179" s="205">
        <v>18</v>
      </c>
      <c r="B179" s="392"/>
      <c r="C179" s="365"/>
      <c r="D179" s="330"/>
      <c r="E179" s="362"/>
      <c r="F179" s="362"/>
      <c r="G179" s="374"/>
      <c r="H179" s="368"/>
      <c r="I179" s="397"/>
      <c r="J179" s="398"/>
      <c r="K179" s="398"/>
      <c r="L179" s="398"/>
      <c r="M179" s="398"/>
      <c r="N179" s="399"/>
      <c r="O179" s="331"/>
      <c r="P179" s="362"/>
      <c r="Q179" s="365"/>
      <c r="R179" s="362"/>
      <c r="S179" s="365"/>
      <c r="T179" s="362"/>
      <c r="U179" s="368"/>
      <c r="V179" s="332">
        <f t="shared" si="24"/>
        <v>0</v>
      </c>
      <c r="W179" s="333"/>
      <c r="X179" s="334" t="str">
        <f t="shared" si="25"/>
        <v/>
      </c>
      <c r="Y179" s="334" t="str">
        <f>IF(V179=1,V179+MAX($Y$5:Y178),"")</f>
        <v/>
      </c>
      <c r="Z179" s="334"/>
      <c r="AA179" s="332" t="str">
        <f>IF(ISTEXT(W179),IF(ISTEXT(Z179),Z179,'Datasource 2'!$M$14),"")</f>
        <v/>
      </c>
      <c r="AB179" s="328"/>
      <c r="AC179" s="328" t="str">
        <f t="shared" si="26"/>
        <v/>
      </c>
      <c r="AD179" s="328" t="str">
        <f t="shared" si="27"/>
        <v/>
      </c>
      <c r="AE179" s="329"/>
      <c r="AF179" s="362"/>
      <c r="AG179" s="362"/>
      <c r="AH179" s="371"/>
    </row>
    <row r="180" spans="1:34" ht="35.1" customHeight="1" x14ac:dyDescent="0.35">
      <c r="A180" s="205">
        <v>18</v>
      </c>
      <c r="B180" s="392"/>
      <c r="C180" s="365"/>
      <c r="D180" s="330"/>
      <c r="E180" s="362"/>
      <c r="F180" s="362"/>
      <c r="G180" s="374"/>
      <c r="H180" s="368"/>
      <c r="I180" s="397"/>
      <c r="J180" s="398"/>
      <c r="K180" s="398"/>
      <c r="L180" s="398"/>
      <c r="M180" s="398"/>
      <c r="N180" s="399"/>
      <c r="O180" s="331"/>
      <c r="P180" s="362"/>
      <c r="Q180" s="365"/>
      <c r="R180" s="362"/>
      <c r="S180" s="365"/>
      <c r="T180" s="362"/>
      <c r="U180" s="368"/>
      <c r="V180" s="332">
        <f t="shared" si="24"/>
        <v>0</v>
      </c>
      <c r="W180" s="333"/>
      <c r="X180" s="334" t="str">
        <f t="shared" si="25"/>
        <v/>
      </c>
      <c r="Y180" s="334" t="str">
        <f>IF(V180=1,V180+MAX($Y$5:Y179),"")</f>
        <v/>
      </c>
      <c r="Z180" s="334"/>
      <c r="AA180" s="332" t="str">
        <f>IF(ISTEXT(W180),IF(ISTEXT(Z180),Z180,'Datasource 2'!$M$14),"")</f>
        <v/>
      </c>
      <c r="AB180" s="328"/>
      <c r="AC180" s="328" t="str">
        <f t="shared" si="26"/>
        <v/>
      </c>
      <c r="AD180" s="328" t="str">
        <f t="shared" si="27"/>
        <v/>
      </c>
      <c r="AE180" s="329"/>
      <c r="AF180" s="362"/>
      <c r="AG180" s="362"/>
      <c r="AH180" s="371"/>
    </row>
    <row r="181" spans="1:34" ht="35.1" customHeight="1" x14ac:dyDescent="0.35">
      <c r="A181" s="205">
        <v>18</v>
      </c>
      <c r="B181" s="392"/>
      <c r="C181" s="365"/>
      <c r="D181" s="330"/>
      <c r="E181" s="362"/>
      <c r="F181" s="362"/>
      <c r="G181" s="374"/>
      <c r="H181" s="368"/>
      <c r="I181" s="397"/>
      <c r="J181" s="398"/>
      <c r="K181" s="398"/>
      <c r="L181" s="398"/>
      <c r="M181" s="398"/>
      <c r="N181" s="399"/>
      <c r="O181" s="331"/>
      <c r="P181" s="362"/>
      <c r="Q181" s="365"/>
      <c r="R181" s="362"/>
      <c r="S181" s="365"/>
      <c r="T181" s="362"/>
      <c r="U181" s="368"/>
      <c r="V181" s="332">
        <f t="shared" ref="V181:V238" si="28">IF(W181="",0,1)</f>
        <v>0</v>
      </c>
      <c r="W181" s="333"/>
      <c r="X181" s="334" t="str">
        <f t="shared" si="25"/>
        <v/>
      </c>
      <c r="Y181" s="334" t="str">
        <f>IF(V181=1,V181+MAX($Y$5:Y180),"")</f>
        <v/>
      </c>
      <c r="Z181" s="334"/>
      <c r="AA181" s="332" t="str">
        <f>IF(ISTEXT(W181),IF(ISTEXT(Z181),Z181,'Datasource 2'!$M$14),"")</f>
        <v/>
      </c>
      <c r="AB181" s="328"/>
      <c r="AC181" s="328" t="str">
        <f t="shared" si="26"/>
        <v/>
      </c>
      <c r="AD181" s="328" t="str">
        <f t="shared" si="27"/>
        <v/>
      </c>
      <c r="AE181" s="329"/>
      <c r="AF181" s="362"/>
      <c r="AG181" s="362"/>
      <c r="AH181" s="371"/>
    </row>
    <row r="182" spans="1:34" ht="35.1" customHeight="1" x14ac:dyDescent="0.35">
      <c r="A182" s="205">
        <v>18</v>
      </c>
      <c r="B182" s="392"/>
      <c r="C182" s="365"/>
      <c r="D182" s="330"/>
      <c r="E182" s="362"/>
      <c r="F182" s="362"/>
      <c r="G182" s="374"/>
      <c r="H182" s="368"/>
      <c r="I182" s="397"/>
      <c r="J182" s="398"/>
      <c r="K182" s="398"/>
      <c r="L182" s="398"/>
      <c r="M182" s="398"/>
      <c r="N182" s="399"/>
      <c r="O182" s="331"/>
      <c r="P182" s="362"/>
      <c r="Q182" s="365"/>
      <c r="R182" s="362"/>
      <c r="S182" s="365"/>
      <c r="T182" s="362"/>
      <c r="U182" s="368"/>
      <c r="V182" s="332">
        <f t="shared" si="28"/>
        <v>0</v>
      </c>
      <c r="W182" s="333"/>
      <c r="X182" s="334" t="str">
        <f t="shared" si="25"/>
        <v/>
      </c>
      <c r="Y182" s="334" t="str">
        <f>IF(V182=1,V182+MAX($Y$5:Y181),"")</f>
        <v/>
      </c>
      <c r="Z182" s="334"/>
      <c r="AA182" s="332" t="str">
        <f>IF(ISTEXT(W182),IF(ISTEXT(Z182),Z182,'Datasource 2'!$M$14),"")</f>
        <v/>
      </c>
      <c r="AB182" s="328"/>
      <c r="AC182" s="328" t="str">
        <f t="shared" si="26"/>
        <v/>
      </c>
      <c r="AD182" s="328" t="str">
        <f t="shared" si="27"/>
        <v/>
      </c>
      <c r="AE182" s="329"/>
      <c r="AF182" s="362"/>
      <c r="AG182" s="362"/>
      <c r="AH182" s="371"/>
    </row>
    <row r="183" spans="1:34" ht="35.1" customHeight="1" x14ac:dyDescent="0.35">
      <c r="A183" s="205">
        <v>18</v>
      </c>
      <c r="B183" s="392"/>
      <c r="C183" s="365"/>
      <c r="D183" s="330"/>
      <c r="E183" s="362"/>
      <c r="F183" s="362"/>
      <c r="G183" s="374"/>
      <c r="H183" s="368"/>
      <c r="I183" s="397"/>
      <c r="J183" s="398"/>
      <c r="K183" s="398"/>
      <c r="L183" s="398"/>
      <c r="M183" s="398"/>
      <c r="N183" s="399"/>
      <c r="O183" s="331"/>
      <c r="P183" s="362"/>
      <c r="Q183" s="365"/>
      <c r="R183" s="362"/>
      <c r="S183" s="365"/>
      <c r="T183" s="362"/>
      <c r="U183" s="368"/>
      <c r="V183" s="332">
        <f t="shared" si="28"/>
        <v>0</v>
      </c>
      <c r="W183" s="333"/>
      <c r="X183" s="334" t="str">
        <f t="shared" si="25"/>
        <v/>
      </c>
      <c r="Y183" s="334" t="str">
        <f>IF(V183=1,V183+MAX($Y$5:Y182),"")</f>
        <v/>
      </c>
      <c r="Z183" s="334"/>
      <c r="AA183" s="332" t="str">
        <f>IF(ISTEXT(W183),IF(ISTEXT(Z183),Z183,'Datasource 2'!$M$14),"")</f>
        <v/>
      </c>
      <c r="AB183" s="328"/>
      <c r="AC183" s="328" t="str">
        <f t="shared" si="26"/>
        <v/>
      </c>
      <c r="AD183" s="328" t="str">
        <f t="shared" si="27"/>
        <v/>
      </c>
      <c r="AE183" s="329"/>
      <c r="AF183" s="362"/>
      <c r="AG183" s="362"/>
      <c r="AH183" s="371"/>
    </row>
    <row r="184" spans="1:34" ht="35.1" customHeight="1" thickBot="1" x14ac:dyDescent="0.4">
      <c r="A184" s="205">
        <v>18</v>
      </c>
      <c r="B184" s="393"/>
      <c r="C184" s="366"/>
      <c r="D184" s="335"/>
      <c r="E184" s="363"/>
      <c r="F184" s="363"/>
      <c r="G184" s="375"/>
      <c r="H184" s="369"/>
      <c r="I184" s="400"/>
      <c r="J184" s="401"/>
      <c r="K184" s="401"/>
      <c r="L184" s="401"/>
      <c r="M184" s="401"/>
      <c r="N184" s="402"/>
      <c r="O184" s="336"/>
      <c r="P184" s="363"/>
      <c r="Q184" s="366"/>
      <c r="R184" s="363"/>
      <c r="S184" s="366"/>
      <c r="T184" s="363"/>
      <c r="U184" s="369"/>
      <c r="V184" s="337">
        <f t="shared" si="28"/>
        <v>0</v>
      </c>
      <c r="W184" s="338"/>
      <c r="X184" s="339" t="str">
        <f t="shared" si="25"/>
        <v/>
      </c>
      <c r="Y184" s="339" t="str">
        <f>IF(V184=1,V184+MAX($Y$5:Y183),"")</f>
        <v/>
      </c>
      <c r="Z184" s="339"/>
      <c r="AA184" s="337" t="str">
        <f>IF(ISTEXT(W184),IF(ISTEXT(Z184),Z184,'Datasource 2'!$M$14),"")</f>
        <v/>
      </c>
      <c r="AB184" s="339"/>
      <c r="AC184" s="328" t="str">
        <f t="shared" si="26"/>
        <v/>
      </c>
      <c r="AD184" s="328" t="str">
        <f t="shared" si="27"/>
        <v/>
      </c>
      <c r="AE184" s="340"/>
      <c r="AF184" s="363"/>
      <c r="AG184" s="363"/>
      <c r="AH184" s="372"/>
    </row>
    <row r="185" spans="1:34" ht="35.1" customHeight="1" x14ac:dyDescent="0.35">
      <c r="A185" s="206">
        <v>19</v>
      </c>
      <c r="B185" s="415">
        <v>19</v>
      </c>
      <c r="C185" s="382"/>
      <c r="D185" s="257"/>
      <c r="E185" s="379"/>
      <c r="F185" s="379"/>
      <c r="G185" s="376"/>
      <c r="H185" s="385" t="e">
        <f>IF(VLOOKUP(G185,Trusselvurdering!$B$3:$P$28,15,FALSE)=0,VLOOKUP(G185,Trusselvurdering!$B$3:$P$28,14,FALSE),VLOOKUP(G185,Trusselvurdering!$B$3:$P$28,15,FALSE))</f>
        <v>#N/A</v>
      </c>
      <c r="I185" s="403"/>
      <c r="J185" s="404"/>
      <c r="K185" s="404"/>
      <c r="L185" s="404"/>
      <c r="M185" s="404"/>
      <c r="N185" s="405"/>
      <c r="O185" s="258"/>
      <c r="P185" s="379"/>
      <c r="Q185" s="382"/>
      <c r="R185" s="379"/>
      <c r="S185" s="382"/>
      <c r="T185" s="379"/>
      <c r="U185" s="385" t="e">
        <f>VLOOKUP(Risikovurdering_data!C183,Akseptkriterier!$C$33:$H$37,MATCH(Risikovurdering_data!D183,Akseptkriterier!$D$32:$H$32,0)+1,FALSE)</f>
        <v>#N/A</v>
      </c>
      <c r="V185" s="259">
        <f t="shared" si="28"/>
        <v>0</v>
      </c>
      <c r="W185" s="260"/>
      <c r="X185" s="261" t="str">
        <f t="shared" si="25"/>
        <v/>
      </c>
      <c r="Y185" s="261" t="str">
        <f>IF(V185=1,V185+MAX($Y$5:Y184),"")</f>
        <v/>
      </c>
      <c r="Z185" s="261"/>
      <c r="AA185" s="259" t="str">
        <f>IF(ISTEXT(W185),IF(ISTEXT(Z185),Z185,'Datasource 2'!$M$14),"")</f>
        <v/>
      </c>
      <c r="AB185" s="261"/>
      <c r="AC185" s="261" t="str">
        <f t="shared" si="26"/>
        <v/>
      </c>
      <c r="AD185" s="261" t="str">
        <f t="shared" si="27"/>
        <v/>
      </c>
      <c r="AE185" s="262"/>
      <c r="AF185" s="379"/>
      <c r="AG185" s="379"/>
      <c r="AH185" s="388" t="e">
        <f>VLOOKUP(Risikovurdering_data!F183,Akseptkriterier!$C$33:$H$37,MATCH(Risikovurdering_data!G183,Akseptkriterier!$D$32:$H$32,0)+1,FALSE)</f>
        <v>#N/A</v>
      </c>
    </row>
    <row r="186" spans="1:34" ht="35.1" customHeight="1" x14ac:dyDescent="0.35">
      <c r="A186" s="207">
        <v>19</v>
      </c>
      <c r="B186" s="416"/>
      <c r="C186" s="383"/>
      <c r="D186" s="263"/>
      <c r="E186" s="380"/>
      <c r="F186" s="380"/>
      <c r="G186" s="377"/>
      <c r="H186" s="386"/>
      <c r="I186" s="406"/>
      <c r="J186" s="407"/>
      <c r="K186" s="407"/>
      <c r="L186" s="407"/>
      <c r="M186" s="407"/>
      <c r="N186" s="408"/>
      <c r="O186" s="264"/>
      <c r="P186" s="380"/>
      <c r="Q186" s="383"/>
      <c r="R186" s="380"/>
      <c r="S186" s="383"/>
      <c r="T186" s="380"/>
      <c r="U186" s="386"/>
      <c r="V186" s="265">
        <f t="shared" si="28"/>
        <v>0</v>
      </c>
      <c r="W186" s="266"/>
      <c r="X186" s="267" t="str">
        <f t="shared" si="25"/>
        <v/>
      </c>
      <c r="Y186" s="267" t="str">
        <f>IF(V186=1,V186+MAX($Y$5:Y185),"")</f>
        <v/>
      </c>
      <c r="Z186" s="267"/>
      <c r="AA186" s="265" t="str">
        <f>IF(ISTEXT(W186),IF(ISTEXT(Z186),Z186,'Datasource 2'!$M$14),"")</f>
        <v/>
      </c>
      <c r="AB186" s="261"/>
      <c r="AC186" s="261" t="str">
        <f t="shared" si="26"/>
        <v/>
      </c>
      <c r="AD186" s="261" t="str">
        <f t="shared" si="27"/>
        <v/>
      </c>
      <c r="AE186" s="262"/>
      <c r="AF186" s="380"/>
      <c r="AG186" s="380"/>
      <c r="AH186" s="389"/>
    </row>
    <row r="187" spans="1:34" ht="35.1" customHeight="1" x14ac:dyDescent="0.35">
      <c r="A187" s="207">
        <v>19</v>
      </c>
      <c r="B187" s="416"/>
      <c r="C187" s="383"/>
      <c r="D187" s="263"/>
      <c r="E187" s="380"/>
      <c r="F187" s="380"/>
      <c r="G187" s="377"/>
      <c r="H187" s="386"/>
      <c r="I187" s="406"/>
      <c r="J187" s="407"/>
      <c r="K187" s="407"/>
      <c r="L187" s="407"/>
      <c r="M187" s="407"/>
      <c r="N187" s="408"/>
      <c r="O187" s="264"/>
      <c r="P187" s="380"/>
      <c r="Q187" s="383"/>
      <c r="R187" s="380"/>
      <c r="S187" s="383"/>
      <c r="T187" s="380"/>
      <c r="U187" s="386"/>
      <c r="V187" s="265">
        <f t="shared" si="28"/>
        <v>0</v>
      </c>
      <c r="W187" s="266"/>
      <c r="X187" s="267" t="str">
        <f t="shared" si="25"/>
        <v/>
      </c>
      <c r="Y187" s="267" t="str">
        <f>IF(V187=1,V187+MAX($Y$5:Y186),"")</f>
        <v/>
      </c>
      <c r="Z187" s="267"/>
      <c r="AA187" s="265" t="str">
        <f>IF(ISTEXT(W187),IF(ISTEXT(Z187),Z187,'Datasource 2'!$M$14),"")</f>
        <v/>
      </c>
      <c r="AB187" s="261"/>
      <c r="AC187" s="261" t="str">
        <f t="shared" si="26"/>
        <v/>
      </c>
      <c r="AD187" s="261" t="str">
        <f t="shared" si="27"/>
        <v/>
      </c>
      <c r="AE187" s="262"/>
      <c r="AF187" s="380"/>
      <c r="AG187" s="380"/>
      <c r="AH187" s="389"/>
    </row>
    <row r="188" spans="1:34" ht="35.1" customHeight="1" x14ac:dyDescent="0.35">
      <c r="A188" s="207">
        <v>19</v>
      </c>
      <c r="B188" s="416"/>
      <c r="C188" s="383"/>
      <c r="D188" s="263"/>
      <c r="E188" s="380"/>
      <c r="F188" s="380"/>
      <c r="G188" s="377"/>
      <c r="H188" s="386"/>
      <c r="I188" s="406"/>
      <c r="J188" s="407"/>
      <c r="K188" s="407"/>
      <c r="L188" s="407"/>
      <c r="M188" s="407"/>
      <c r="N188" s="408"/>
      <c r="O188" s="264"/>
      <c r="P188" s="380"/>
      <c r="Q188" s="383"/>
      <c r="R188" s="380"/>
      <c r="S188" s="383"/>
      <c r="T188" s="380"/>
      <c r="U188" s="386"/>
      <c r="V188" s="265">
        <f t="shared" si="28"/>
        <v>0</v>
      </c>
      <c r="W188" s="266"/>
      <c r="X188" s="267" t="str">
        <f t="shared" si="25"/>
        <v/>
      </c>
      <c r="Y188" s="267" t="str">
        <f>IF(V188=1,V188+MAX($Y$5:Y187),"")</f>
        <v/>
      </c>
      <c r="Z188" s="267"/>
      <c r="AA188" s="265" t="str">
        <f>IF(ISTEXT(W188),IF(ISTEXT(Z188),Z188,'Datasource 2'!$M$14),"")</f>
        <v/>
      </c>
      <c r="AB188" s="261"/>
      <c r="AC188" s="261" t="str">
        <f t="shared" si="26"/>
        <v/>
      </c>
      <c r="AD188" s="261" t="str">
        <f t="shared" si="27"/>
        <v/>
      </c>
      <c r="AE188" s="262"/>
      <c r="AF188" s="380"/>
      <c r="AG188" s="380"/>
      <c r="AH188" s="389"/>
    </row>
    <row r="189" spans="1:34" ht="35.1" customHeight="1" x14ac:dyDescent="0.35">
      <c r="A189" s="207">
        <v>19</v>
      </c>
      <c r="B189" s="416"/>
      <c r="C189" s="383"/>
      <c r="D189" s="263"/>
      <c r="E189" s="380"/>
      <c r="F189" s="380"/>
      <c r="G189" s="377"/>
      <c r="H189" s="386"/>
      <c r="I189" s="406"/>
      <c r="J189" s="407"/>
      <c r="K189" s="407"/>
      <c r="L189" s="407"/>
      <c r="M189" s="407"/>
      <c r="N189" s="408"/>
      <c r="O189" s="264"/>
      <c r="P189" s="380"/>
      <c r="Q189" s="383"/>
      <c r="R189" s="380"/>
      <c r="S189" s="383"/>
      <c r="T189" s="380"/>
      <c r="U189" s="386"/>
      <c r="V189" s="265">
        <f t="shared" si="28"/>
        <v>0</v>
      </c>
      <c r="W189" s="266"/>
      <c r="X189" s="267" t="str">
        <f t="shared" si="25"/>
        <v/>
      </c>
      <c r="Y189" s="267" t="str">
        <f>IF(V189=1,V189+MAX($Y$5:Y188),"")</f>
        <v/>
      </c>
      <c r="Z189" s="267"/>
      <c r="AA189" s="265" t="str">
        <f>IF(ISTEXT(W189),IF(ISTEXT(Z189),Z189,'Datasource 2'!$M$14),"")</f>
        <v/>
      </c>
      <c r="AB189" s="261"/>
      <c r="AC189" s="261" t="str">
        <f t="shared" si="26"/>
        <v/>
      </c>
      <c r="AD189" s="261" t="str">
        <f t="shared" si="27"/>
        <v/>
      </c>
      <c r="AE189" s="262"/>
      <c r="AF189" s="380"/>
      <c r="AG189" s="380"/>
      <c r="AH189" s="389"/>
    </row>
    <row r="190" spans="1:34" ht="35.1" customHeight="1" x14ac:dyDescent="0.35">
      <c r="A190" s="207">
        <v>19</v>
      </c>
      <c r="B190" s="416"/>
      <c r="C190" s="383"/>
      <c r="D190" s="263"/>
      <c r="E190" s="380"/>
      <c r="F190" s="380"/>
      <c r="G190" s="377"/>
      <c r="H190" s="386"/>
      <c r="I190" s="406"/>
      <c r="J190" s="407"/>
      <c r="K190" s="407"/>
      <c r="L190" s="407"/>
      <c r="M190" s="407"/>
      <c r="N190" s="408"/>
      <c r="O190" s="264"/>
      <c r="P190" s="380"/>
      <c r="Q190" s="383"/>
      <c r="R190" s="380"/>
      <c r="S190" s="383"/>
      <c r="T190" s="380"/>
      <c r="U190" s="386"/>
      <c r="V190" s="265">
        <f t="shared" si="28"/>
        <v>0</v>
      </c>
      <c r="W190" s="266"/>
      <c r="X190" s="267" t="str">
        <f t="shared" si="25"/>
        <v/>
      </c>
      <c r="Y190" s="267" t="str">
        <f>IF(V190=1,V190+MAX($Y$5:Y189),"")</f>
        <v/>
      </c>
      <c r="Z190" s="267"/>
      <c r="AA190" s="265" t="str">
        <f>IF(ISTEXT(W190),IF(ISTEXT(Z190),Z190,'Datasource 2'!$M$14),"")</f>
        <v/>
      </c>
      <c r="AB190" s="261"/>
      <c r="AC190" s="261" t="str">
        <f t="shared" si="26"/>
        <v/>
      </c>
      <c r="AD190" s="261" t="str">
        <f t="shared" si="27"/>
        <v/>
      </c>
      <c r="AE190" s="262"/>
      <c r="AF190" s="380"/>
      <c r="AG190" s="380"/>
      <c r="AH190" s="389"/>
    </row>
    <row r="191" spans="1:34" ht="35.1" customHeight="1" x14ac:dyDescent="0.35">
      <c r="A191" s="207">
        <v>19</v>
      </c>
      <c r="B191" s="416"/>
      <c r="C191" s="383"/>
      <c r="D191" s="263"/>
      <c r="E191" s="380"/>
      <c r="F191" s="380"/>
      <c r="G191" s="377"/>
      <c r="H191" s="386"/>
      <c r="I191" s="406"/>
      <c r="J191" s="407"/>
      <c r="K191" s="407"/>
      <c r="L191" s="407"/>
      <c r="M191" s="407"/>
      <c r="N191" s="408"/>
      <c r="O191" s="264"/>
      <c r="P191" s="380"/>
      <c r="Q191" s="383"/>
      <c r="R191" s="380"/>
      <c r="S191" s="383"/>
      <c r="T191" s="380"/>
      <c r="U191" s="386"/>
      <c r="V191" s="265">
        <f t="shared" si="28"/>
        <v>0</v>
      </c>
      <c r="W191" s="266"/>
      <c r="X191" s="267" t="str">
        <f t="shared" si="25"/>
        <v/>
      </c>
      <c r="Y191" s="267" t="str">
        <f>IF(V191=1,V191+MAX($Y$5:Y190),"")</f>
        <v/>
      </c>
      <c r="Z191" s="267"/>
      <c r="AA191" s="265" t="str">
        <f>IF(ISTEXT(W191),IF(ISTEXT(Z191),Z191,'Datasource 2'!$M$14),"")</f>
        <v/>
      </c>
      <c r="AB191" s="261"/>
      <c r="AC191" s="261" t="str">
        <f t="shared" si="26"/>
        <v/>
      </c>
      <c r="AD191" s="261" t="str">
        <f t="shared" si="27"/>
        <v/>
      </c>
      <c r="AE191" s="262"/>
      <c r="AF191" s="380"/>
      <c r="AG191" s="380"/>
      <c r="AH191" s="389"/>
    </row>
    <row r="192" spans="1:34" ht="35.1" customHeight="1" x14ac:dyDescent="0.35">
      <c r="A192" s="207">
        <v>19</v>
      </c>
      <c r="B192" s="416"/>
      <c r="C192" s="383"/>
      <c r="D192" s="263"/>
      <c r="E192" s="380"/>
      <c r="F192" s="380"/>
      <c r="G192" s="377"/>
      <c r="H192" s="386"/>
      <c r="I192" s="406"/>
      <c r="J192" s="407"/>
      <c r="K192" s="407"/>
      <c r="L192" s="407"/>
      <c r="M192" s="407"/>
      <c r="N192" s="408"/>
      <c r="O192" s="264"/>
      <c r="P192" s="380"/>
      <c r="Q192" s="383"/>
      <c r="R192" s="380"/>
      <c r="S192" s="383"/>
      <c r="T192" s="380"/>
      <c r="U192" s="386"/>
      <c r="V192" s="265">
        <f t="shared" si="28"/>
        <v>0</v>
      </c>
      <c r="W192" s="266"/>
      <c r="X192" s="267" t="str">
        <f t="shared" si="25"/>
        <v/>
      </c>
      <c r="Y192" s="267" t="str">
        <f>IF(V192=1,V192+MAX($Y$5:Y191),"")</f>
        <v/>
      </c>
      <c r="Z192" s="267"/>
      <c r="AA192" s="265" t="str">
        <f>IF(ISTEXT(W192),IF(ISTEXT(Z192),Z192,'Datasource 2'!$M$14),"")</f>
        <v/>
      </c>
      <c r="AB192" s="261"/>
      <c r="AC192" s="261" t="str">
        <f t="shared" si="26"/>
        <v/>
      </c>
      <c r="AD192" s="261" t="str">
        <f t="shared" si="27"/>
        <v/>
      </c>
      <c r="AE192" s="262"/>
      <c r="AF192" s="380"/>
      <c r="AG192" s="380"/>
      <c r="AH192" s="389"/>
    </row>
    <row r="193" spans="1:34" ht="35.1" customHeight="1" x14ac:dyDescent="0.35">
      <c r="A193" s="207">
        <v>19</v>
      </c>
      <c r="B193" s="416"/>
      <c r="C193" s="383"/>
      <c r="D193" s="263"/>
      <c r="E193" s="380"/>
      <c r="F193" s="380"/>
      <c r="G193" s="377"/>
      <c r="H193" s="386"/>
      <c r="I193" s="406"/>
      <c r="J193" s="407"/>
      <c r="K193" s="407"/>
      <c r="L193" s="407"/>
      <c r="M193" s="407"/>
      <c r="N193" s="408"/>
      <c r="O193" s="264"/>
      <c r="P193" s="380"/>
      <c r="Q193" s="383"/>
      <c r="R193" s="380"/>
      <c r="S193" s="383"/>
      <c r="T193" s="380"/>
      <c r="U193" s="386"/>
      <c r="V193" s="265">
        <f t="shared" si="28"/>
        <v>0</v>
      </c>
      <c r="W193" s="266"/>
      <c r="X193" s="267" t="str">
        <f t="shared" si="25"/>
        <v/>
      </c>
      <c r="Y193" s="267" t="str">
        <f>IF(V193=1,V193+MAX($Y$5:Y192),"")</f>
        <v/>
      </c>
      <c r="Z193" s="267"/>
      <c r="AA193" s="265" t="str">
        <f>IF(ISTEXT(W193),IF(ISTEXT(Z193),Z193,'Datasource 2'!$M$14),"")</f>
        <v/>
      </c>
      <c r="AB193" s="261"/>
      <c r="AC193" s="261" t="str">
        <f t="shared" si="26"/>
        <v/>
      </c>
      <c r="AD193" s="261" t="str">
        <f t="shared" si="27"/>
        <v/>
      </c>
      <c r="AE193" s="262"/>
      <c r="AF193" s="380"/>
      <c r="AG193" s="380"/>
      <c r="AH193" s="389"/>
    </row>
    <row r="194" spans="1:34" ht="35.1" customHeight="1" thickBot="1" x14ac:dyDescent="0.4">
      <c r="A194" s="208">
        <v>19</v>
      </c>
      <c r="B194" s="417"/>
      <c r="C194" s="384"/>
      <c r="D194" s="268"/>
      <c r="E194" s="381"/>
      <c r="F194" s="381"/>
      <c r="G194" s="378"/>
      <c r="H194" s="387"/>
      <c r="I194" s="409"/>
      <c r="J194" s="410"/>
      <c r="K194" s="410"/>
      <c r="L194" s="410"/>
      <c r="M194" s="410"/>
      <c r="N194" s="411"/>
      <c r="O194" s="269"/>
      <c r="P194" s="381"/>
      <c r="Q194" s="384"/>
      <c r="R194" s="381"/>
      <c r="S194" s="384"/>
      <c r="T194" s="381"/>
      <c r="U194" s="387"/>
      <c r="V194" s="270">
        <f t="shared" si="28"/>
        <v>0</v>
      </c>
      <c r="W194" s="271"/>
      <c r="X194" s="272" t="str">
        <f t="shared" si="25"/>
        <v/>
      </c>
      <c r="Y194" s="272" t="str">
        <f>IF(V194=1,V194+MAX($Y$5:Y193),"")</f>
        <v/>
      </c>
      <c r="Z194" s="272"/>
      <c r="AA194" s="270" t="str">
        <f>IF(ISTEXT(W194),IF(ISTEXT(Z194),Z194,'Datasource 2'!$M$14),"")</f>
        <v/>
      </c>
      <c r="AB194" s="273"/>
      <c r="AC194" s="261" t="str">
        <f t="shared" si="26"/>
        <v/>
      </c>
      <c r="AD194" s="261" t="str">
        <f t="shared" si="27"/>
        <v/>
      </c>
      <c r="AE194" s="274"/>
      <c r="AF194" s="381"/>
      <c r="AG194" s="381"/>
      <c r="AH194" s="390"/>
    </row>
    <row r="195" spans="1:34" ht="35.1" customHeight="1" x14ac:dyDescent="0.35">
      <c r="A195" s="205">
        <v>20</v>
      </c>
      <c r="B195" s="391">
        <v>20</v>
      </c>
      <c r="C195" s="364"/>
      <c r="D195" s="323"/>
      <c r="E195" s="361"/>
      <c r="F195" s="361"/>
      <c r="G195" s="373"/>
      <c r="H195" s="367" t="e">
        <f>IF(VLOOKUP(G195,Trusselvurdering!$B$3:$P$28,15,FALSE)=0,VLOOKUP(G195,Trusselvurdering!$B$3:$P$28,14,FALSE),VLOOKUP(G195,Trusselvurdering!$B$3:$P$28,15,FALSE))</f>
        <v>#N/A</v>
      </c>
      <c r="I195" s="394"/>
      <c r="J195" s="395"/>
      <c r="K195" s="395"/>
      <c r="L195" s="395"/>
      <c r="M195" s="395"/>
      <c r="N195" s="396"/>
      <c r="O195" s="324"/>
      <c r="P195" s="361"/>
      <c r="Q195" s="364"/>
      <c r="R195" s="361"/>
      <c r="S195" s="364"/>
      <c r="T195" s="361"/>
      <c r="U195" s="367" t="e">
        <f>VLOOKUP(Risikovurdering_data!C193,Akseptkriterier!$C$33:$H$37,MATCH(Risikovurdering_data!D193,Akseptkriterier!$D$32:$H$32,0)+1,FALSE)</f>
        <v>#N/A</v>
      </c>
      <c r="V195" s="325">
        <f t="shared" si="28"/>
        <v>0</v>
      </c>
      <c r="W195" s="326"/>
      <c r="X195" s="327" t="str">
        <f t="shared" si="25"/>
        <v/>
      </c>
      <c r="Y195" s="327" t="str">
        <f>IF(V195=1,V195+MAX($Y$5:Y194),"")</f>
        <v/>
      </c>
      <c r="Z195" s="327"/>
      <c r="AA195" s="325" t="str">
        <f>IF(ISTEXT(W195),IF(ISTEXT(Z195),Z195,'Datasource 2'!$M$14),"")</f>
        <v/>
      </c>
      <c r="AB195" s="328"/>
      <c r="AC195" s="328" t="str">
        <f t="shared" si="26"/>
        <v/>
      </c>
      <c r="AD195" s="328" t="str">
        <f t="shared" si="27"/>
        <v/>
      </c>
      <c r="AE195" s="329"/>
      <c r="AF195" s="361"/>
      <c r="AG195" s="361"/>
      <c r="AH195" s="370" t="e">
        <f>VLOOKUP(Risikovurdering_data!F193,Akseptkriterier!$C$33:$H$37,MATCH(Risikovurdering_data!G193,Akseptkriterier!$D$32:$H$32,0)+1,FALSE)</f>
        <v>#N/A</v>
      </c>
    </row>
    <row r="196" spans="1:34" ht="35.1" customHeight="1" x14ac:dyDescent="0.35">
      <c r="A196" s="205">
        <v>20</v>
      </c>
      <c r="B196" s="392"/>
      <c r="C196" s="365"/>
      <c r="D196" s="330"/>
      <c r="E196" s="362"/>
      <c r="F196" s="362"/>
      <c r="G196" s="374"/>
      <c r="H196" s="368"/>
      <c r="I196" s="397"/>
      <c r="J196" s="398"/>
      <c r="K196" s="398"/>
      <c r="L196" s="398"/>
      <c r="M196" s="398"/>
      <c r="N196" s="399"/>
      <c r="O196" s="331"/>
      <c r="P196" s="362"/>
      <c r="Q196" s="365"/>
      <c r="R196" s="362"/>
      <c r="S196" s="365"/>
      <c r="T196" s="362"/>
      <c r="U196" s="368"/>
      <c r="V196" s="332">
        <f t="shared" si="28"/>
        <v>0</v>
      </c>
      <c r="W196" s="333"/>
      <c r="X196" s="334" t="str">
        <f t="shared" si="25"/>
        <v/>
      </c>
      <c r="Y196" s="334" t="str">
        <f>IF(V196=1,V196+MAX($Y$5:Y195),"")</f>
        <v/>
      </c>
      <c r="Z196" s="334"/>
      <c r="AA196" s="332" t="str">
        <f>IF(ISTEXT(W196),IF(ISTEXT(Z196),Z196,'Datasource 2'!$M$14),"")</f>
        <v/>
      </c>
      <c r="AB196" s="328"/>
      <c r="AC196" s="328" t="str">
        <f t="shared" si="26"/>
        <v/>
      </c>
      <c r="AD196" s="328" t="str">
        <f t="shared" si="27"/>
        <v/>
      </c>
      <c r="AE196" s="329"/>
      <c r="AF196" s="362"/>
      <c r="AG196" s="362"/>
      <c r="AH196" s="371"/>
    </row>
    <row r="197" spans="1:34" ht="35.1" customHeight="1" x14ac:dyDescent="0.35">
      <c r="A197" s="205">
        <v>20</v>
      </c>
      <c r="B197" s="392"/>
      <c r="C197" s="365"/>
      <c r="D197" s="330"/>
      <c r="E197" s="362"/>
      <c r="F197" s="362"/>
      <c r="G197" s="374"/>
      <c r="H197" s="368"/>
      <c r="I197" s="397"/>
      <c r="J197" s="398"/>
      <c r="K197" s="398"/>
      <c r="L197" s="398"/>
      <c r="M197" s="398"/>
      <c r="N197" s="399"/>
      <c r="O197" s="331"/>
      <c r="P197" s="362"/>
      <c r="Q197" s="365"/>
      <c r="R197" s="362"/>
      <c r="S197" s="365"/>
      <c r="T197" s="362"/>
      <c r="U197" s="368"/>
      <c r="V197" s="332">
        <f t="shared" si="28"/>
        <v>0</v>
      </c>
      <c r="W197" s="333"/>
      <c r="X197" s="334" t="str">
        <f t="shared" ref="X197:X260" si="29">IF(W197="","",A197)</f>
        <v/>
      </c>
      <c r="Y197" s="334" t="str">
        <f>IF(V197=1,V197+MAX($Y$5:Y196),"")</f>
        <v/>
      </c>
      <c r="Z197" s="334"/>
      <c r="AA197" s="332" t="str">
        <f>IF(ISTEXT(W197),IF(ISTEXT(Z197),Z197,'Datasource 2'!$M$14),"")</f>
        <v/>
      </c>
      <c r="AB197" s="328"/>
      <c r="AC197" s="328" t="str">
        <f t="shared" si="26"/>
        <v/>
      </c>
      <c r="AD197" s="328" t="str">
        <f t="shared" si="27"/>
        <v/>
      </c>
      <c r="AE197" s="329"/>
      <c r="AF197" s="362"/>
      <c r="AG197" s="362"/>
      <c r="AH197" s="371"/>
    </row>
    <row r="198" spans="1:34" ht="35.1" customHeight="1" x14ac:dyDescent="0.35">
      <c r="A198" s="205">
        <v>20</v>
      </c>
      <c r="B198" s="392"/>
      <c r="C198" s="365"/>
      <c r="D198" s="330"/>
      <c r="E198" s="362"/>
      <c r="F198" s="362"/>
      <c r="G198" s="374"/>
      <c r="H198" s="368"/>
      <c r="I198" s="397"/>
      <c r="J198" s="398"/>
      <c r="K198" s="398"/>
      <c r="L198" s="398"/>
      <c r="M198" s="398"/>
      <c r="N198" s="399"/>
      <c r="O198" s="331"/>
      <c r="P198" s="362"/>
      <c r="Q198" s="365"/>
      <c r="R198" s="362"/>
      <c r="S198" s="365"/>
      <c r="T198" s="362"/>
      <c r="U198" s="368"/>
      <c r="V198" s="332">
        <f t="shared" si="28"/>
        <v>0</v>
      </c>
      <c r="W198" s="333"/>
      <c r="X198" s="334" t="str">
        <f t="shared" si="29"/>
        <v/>
      </c>
      <c r="Y198" s="334" t="str">
        <f>IF(V198=1,V198+MAX($Y$5:Y197),"")</f>
        <v/>
      </c>
      <c r="Z198" s="334"/>
      <c r="AA198" s="332" t="str">
        <f>IF(ISTEXT(W198),IF(ISTEXT(Z198),Z198,'Datasource 2'!$M$14),"")</f>
        <v/>
      </c>
      <c r="AB198" s="328"/>
      <c r="AC198" s="328" t="str">
        <f t="shared" ref="AC198:AC261" si="30">IF(ISTEXT(W198),IF(ISTEXT(AB198),AB198,"Ikke angitt"),"")</f>
        <v/>
      </c>
      <c r="AD198" s="328" t="str">
        <f t="shared" ref="AD198:AD261" si="31">IF(ISTEXT(W198),IF(ISBLANK(AE198),"Ikke angitt", AE198),"")</f>
        <v/>
      </c>
      <c r="AE198" s="329"/>
      <c r="AF198" s="362"/>
      <c r="AG198" s="362"/>
      <c r="AH198" s="371"/>
    </row>
    <row r="199" spans="1:34" ht="35.1" customHeight="1" x14ac:dyDescent="0.35">
      <c r="A199" s="205">
        <v>20</v>
      </c>
      <c r="B199" s="392"/>
      <c r="C199" s="365"/>
      <c r="D199" s="330"/>
      <c r="E199" s="362"/>
      <c r="F199" s="362"/>
      <c r="G199" s="374"/>
      <c r="H199" s="368"/>
      <c r="I199" s="397"/>
      <c r="J199" s="398"/>
      <c r="K199" s="398"/>
      <c r="L199" s="398"/>
      <c r="M199" s="398"/>
      <c r="N199" s="399"/>
      <c r="O199" s="331"/>
      <c r="P199" s="362"/>
      <c r="Q199" s="365"/>
      <c r="R199" s="362"/>
      <c r="S199" s="365"/>
      <c r="T199" s="362"/>
      <c r="U199" s="368"/>
      <c r="V199" s="332">
        <f t="shared" si="28"/>
        <v>0</v>
      </c>
      <c r="W199" s="333"/>
      <c r="X199" s="334" t="str">
        <f t="shared" si="29"/>
        <v/>
      </c>
      <c r="Y199" s="334" t="str">
        <f>IF(V199=1,V199+MAX($Y$5:Y198),"")</f>
        <v/>
      </c>
      <c r="Z199" s="334"/>
      <c r="AA199" s="332" t="str">
        <f>IF(ISTEXT(W199),IF(ISTEXT(Z199),Z199,'Datasource 2'!$M$14),"")</f>
        <v/>
      </c>
      <c r="AB199" s="328"/>
      <c r="AC199" s="328" t="str">
        <f t="shared" si="30"/>
        <v/>
      </c>
      <c r="AD199" s="328" t="str">
        <f t="shared" si="31"/>
        <v/>
      </c>
      <c r="AE199" s="329"/>
      <c r="AF199" s="362"/>
      <c r="AG199" s="362"/>
      <c r="AH199" s="371"/>
    </row>
    <row r="200" spans="1:34" ht="35.1" customHeight="1" x14ac:dyDescent="0.35">
      <c r="A200" s="205">
        <v>20</v>
      </c>
      <c r="B200" s="392"/>
      <c r="C200" s="365"/>
      <c r="D200" s="330"/>
      <c r="E200" s="362"/>
      <c r="F200" s="362"/>
      <c r="G200" s="374"/>
      <c r="H200" s="368"/>
      <c r="I200" s="397"/>
      <c r="J200" s="398"/>
      <c r="K200" s="398"/>
      <c r="L200" s="398"/>
      <c r="M200" s="398"/>
      <c r="N200" s="399"/>
      <c r="O200" s="331"/>
      <c r="P200" s="362"/>
      <c r="Q200" s="365"/>
      <c r="R200" s="362"/>
      <c r="S200" s="365"/>
      <c r="T200" s="362"/>
      <c r="U200" s="368"/>
      <c r="V200" s="332">
        <f t="shared" si="28"/>
        <v>0</v>
      </c>
      <c r="W200" s="333"/>
      <c r="X200" s="334" t="str">
        <f t="shared" si="29"/>
        <v/>
      </c>
      <c r="Y200" s="334" t="str">
        <f>IF(V200=1,V200+MAX($Y$5:Y199),"")</f>
        <v/>
      </c>
      <c r="Z200" s="334"/>
      <c r="AA200" s="332" t="str">
        <f>IF(ISTEXT(W200),IF(ISTEXT(Z200),Z200,'Datasource 2'!$M$14),"")</f>
        <v/>
      </c>
      <c r="AB200" s="328"/>
      <c r="AC200" s="328" t="str">
        <f t="shared" si="30"/>
        <v/>
      </c>
      <c r="AD200" s="328" t="str">
        <f t="shared" si="31"/>
        <v/>
      </c>
      <c r="AE200" s="329"/>
      <c r="AF200" s="362"/>
      <c r="AG200" s="362"/>
      <c r="AH200" s="371"/>
    </row>
    <row r="201" spans="1:34" ht="35.1" customHeight="1" x14ac:dyDescent="0.35">
      <c r="A201" s="205">
        <v>20</v>
      </c>
      <c r="B201" s="392"/>
      <c r="C201" s="365"/>
      <c r="D201" s="330"/>
      <c r="E201" s="362"/>
      <c r="F201" s="362"/>
      <c r="G201" s="374"/>
      <c r="H201" s="368"/>
      <c r="I201" s="397"/>
      <c r="J201" s="398"/>
      <c r="K201" s="398"/>
      <c r="L201" s="398"/>
      <c r="M201" s="398"/>
      <c r="N201" s="399"/>
      <c r="O201" s="331"/>
      <c r="P201" s="362"/>
      <c r="Q201" s="365"/>
      <c r="R201" s="362"/>
      <c r="S201" s="365"/>
      <c r="T201" s="362"/>
      <c r="U201" s="368"/>
      <c r="V201" s="332">
        <f t="shared" si="28"/>
        <v>0</v>
      </c>
      <c r="W201" s="333"/>
      <c r="X201" s="334" t="str">
        <f t="shared" si="29"/>
        <v/>
      </c>
      <c r="Y201" s="334" t="str">
        <f>IF(V201=1,V201+MAX($Y$5:Y200),"")</f>
        <v/>
      </c>
      <c r="Z201" s="334"/>
      <c r="AA201" s="332" t="str">
        <f>IF(ISTEXT(W201),IF(ISTEXT(Z201),Z201,'Datasource 2'!$M$14),"")</f>
        <v/>
      </c>
      <c r="AB201" s="328"/>
      <c r="AC201" s="328" t="str">
        <f t="shared" si="30"/>
        <v/>
      </c>
      <c r="AD201" s="328" t="str">
        <f t="shared" si="31"/>
        <v/>
      </c>
      <c r="AE201" s="329"/>
      <c r="AF201" s="362"/>
      <c r="AG201" s="362"/>
      <c r="AH201" s="371"/>
    </row>
    <row r="202" spans="1:34" ht="35.1" customHeight="1" x14ac:dyDescent="0.35">
      <c r="A202" s="205">
        <v>20</v>
      </c>
      <c r="B202" s="392"/>
      <c r="C202" s="365"/>
      <c r="D202" s="330"/>
      <c r="E202" s="362"/>
      <c r="F202" s="362"/>
      <c r="G202" s="374"/>
      <c r="H202" s="368"/>
      <c r="I202" s="397"/>
      <c r="J202" s="398"/>
      <c r="K202" s="398"/>
      <c r="L202" s="398"/>
      <c r="M202" s="398"/>
      <c r="N202" s="399"/>
      <c r="O202" s="331"/>
      <c r="P202" s="362"/>
      <c r="Q202" s="365"/>
      <c r="R202" s="362"/>
      <c r="S202" s="365"/>
      <c r="T202" s="362"/>
      <c r="U202" s="368"/>
      <c r="V202" s="332">
        <f t="shared" si="28"/>
        <v>0</v>
      </c>
      <c r="W202" s="333"/>
      <c r="X202" s="334" t="str">
        <f t="shared" si="29"/>
        <v/>
      </c>
      <c r="Y202" s="334" t="str">
        <f>IF(V202=1,V202+MAX($Y$5:Y201),"")</f>
        <v/>
      </c>
      <c r="Z202" s="334"/>
      <c r="AA202" s="332" t="str">
        <f>IF(ISTEXT(W202),IF(ISTEXT(Z202),Z202,'Datasource 2'!$M$14),"")</f>
        <v/>
      </c>
      <c r="AB202" s="328"/>
      <c r="AC202" s="328" t="str">
        <f t="shared" si="30"/>
        <v/>
      </c>
      <c r="AD202" s="328" t="str">
        <f t="shared" si="31"/>
        <v/>
      </c>
      <c r="AE202" s="329"/>
      <c r="AF202" s="362"/>
      <c r="AG202" s="362"/>
      <c r="AH202" s="371"/>
    </row>
    <row r="203" spans="1:34" ht="35.1" customHeight="1" x14ac:dyDescent="0.35">
      <c r="A203" s="205">
        <v>20</v>
      </c>
      <c r="B203" s="392"/>
      <c r="C203" s="365"/>
      <c r="D203" s="330"/>
      <c r="E203" s="362"/>
      <c r="F203" s="362"/>
      <c r="G203" s="374"/>
      <c r="H203" s="368"/>
      <c r="I203" s="397"/>
      <c r="J203" s="398"/>
      <c r="K203" s="398"/>
      <c r="L203" s="398"/>
      <c r="M203" s="398"/>
      <c r="N203" s="399"/>
      <c r="O203" s="331"/>
      <c r="P203" s="362"/>
      <c r="Q203" s="365"/>
      <c r="R203" s="362"/>
      <c r="S203" s="365"/>
      <c r="T203" s="362"/>
      <c r="U203" s="368"/>
      <c r="V203" s="332">
        <f t="shared" si="28"/>
        <v>0</v>
      </c>
      <c r="W203" s="333"/>
      <c r="X203" s="334" t="str">
        <f t="shared" si="29"/>
        <v/>
      </c>
      <c r="Y203" s="334" t="str">
        <f>IF(V203=1,V203+MAX($Y$5:Y202),"")</f>
        <v/>
      </c>
      <c r="Z203" s="334"/>
      <c r="AA203" s="332" t="str">
        <f>IF(ISTEXT(W203),IF(ISTEXT(Z203),Z203,'Datasource 2'!$M$14),"")</f>
        <v/>
      </c>
      <c r="AB203" s="328"/>
      <c r="AC203" s="328" t="str">
        <f t="shared" si="30"/>
        <v/>
      </c>
      <c r="AD203" s="328" t="str">
        <f t="shared" si="31"/>
        <v/>
      </c>
      <c r="AE203" s="329"/>
      <c r="AF203" s="362"/>
      <c r="AG203" s="362"/>
      <c r="AH203" s="371"/>
    </row>
    <row r="204" spans="1:34" ht="35.1" customHeight="1" thickBot="1" x14ac:dyDescent="0.4">
      <c r="A204" s="205">
        <v>20</v>
      </c>
      <c r="B204" s="393"/>
      <c r="C204" s="366"/>
      <c r="D204" s="335"/>
      <c r="E204" s="363"/>
      <c r="F204" s="363"/>
      <c r="G204" s="375"/>
      <c r="H204" s="369"/>
      <c r="I204" s="400"/>
      <c r="J204" s="401"/>
      <c r="K204" s="401"/>
      <c r="L204" s="401"/>
      <c r="M204" s="401"/>
      <c r="N204" s="402"/>
      <c r="O204" s="336"/>
      <c r="P204" s="363"/>
      <c r="Q204" s="366"/>
      <c r="R204" s="363"/>
      <c r="S204" s="366"/>
      <c r="T204" s="363"/>
      <c r="U204" s="369"/>
      <c r="V204" s="337">
        <f t="shared" si="28"/>
        <v>0</v>
      </c>
      <c r="W204" s="338"/>
      <c r="X204" s="339" t="str">
        <f t="shared" si="29"/>
        <v/>
      </c>
      <c r="Y204" s="339" t="str">
        <f>IF(V204=1,V204+MAX($Y$5:Y203),"")</f>
        <v/>
      </c>
      <c r="Z204" s="339"/>
      <c r="AA204" s="337" t="str">
        <f>IF(ISTEXT(W204),IF(ISTEXT(Z204),Z204,'Datasource 2'!$M$14),"")</f>
        <v/>
      </c>
      <c r="AB204" s="339"/>
      <c r="AC204" s="328" t="str">
        <f t="shared" si="30"/>
        <v/>
      </c>
      <c r="AD204" s="328" t="str">
        <f t="shared" si="31"/>
        <v/>
      </c>
      <c r="AE204" s="340"/>
      <c r="AF204" s="363"/>
      <c r="AG204" s="363"/>
      <c r="AH204" s="372"/>
    </row>
    <row r="205" spans="1:34" ht="35.1" customHeight="1" x14ac:dyDescent="0.35">
      <c r="A205" s="205">
        <v>21</v>
      </c>
      <c r="B205" s="412">
        <v>21</v>
      </c>
      <c r="C205" s="382"/>
      <c r="D205" s="257"/>
      <c r="E205" s="379"/>
      <c r="F205" s="379"/>
      <c r="G205" s="376"/>
      <c r="H205" s="385" t="e">
        <f>IF(VLOOKUP(G205,Trusselvurdering!$B$3:$P$28,15,FALSE)=0,VLOOKUP(G205,Trusselvurdering!$B$3:$P$28,14,FALSE),VLOOKUP(G205,Trusselvurdering!$B$3:$P$28,15,FALSE))</f>
        <v>#N/A</v>
      </c>
      <c r="I205" s="403"/>
      <c r="J205" s="404"/>
      <c r="K205" s="404"/>
      <c r="L205" s="404"/>
      <c r="M205" s="404"/>
      <c r="N205" s="405"/>
      <c r="O205" s="258"/>
      <c r="P205" s="379"/>
      <c r="Q205" s="382"/>
      <c r="R205" s="379"/>
      <c r="S205" s="382"/>
      <c r="T205" s="379"/>
      <c r="U205" s="385" t="e">
        <f>VLOOKUP(Risikovurdering_data!C203,Akseptkriterier!$C$33:$H$37,MATCH(Risikovurdering_data!D203,Akseptkriterier!$D$32:$H$32,0)+1,FALSE)</f>
        <v>#N/A</v>
      </c>
      <c r="V205" s="259">
        <f t="shared" si="28"/>
        <v>0</v>
      </c>
      <c r="W205" s="260"/>
      <c r="X205" s="261" t="str">
        <f t="shared" si="29"/>
        <v/>
      </c>
      <c r="Y205" s="261" t="str">
        <f>IF(V205=1,V205+MAX($Y$5:Y204),"")</f>
        <v/>
      </c>
      <c r="Z205" s="261"/>
      <c r="AA205" s="259" t="str">
        <f>IF(ISTEXT(W205),IF(ISTEXT(Z205),Z205,'Datasource 2'!$M$14),"")</f>
        <v/>
      </c>
      <c r="AB205" s="261"/>
      <c r="AC205" s="261" t="str">
        <f t="shared" si="30"/>
        <v/>
      </c>
      <c r="AD205" s="261" t="str">
        <f t="shared" si="31"/>
        <v/>
      </c>
      <c r="AE205" s="262"/>
      <c r="AF205" s="379"/>
      <c r="AG205" s="379"/>
      <c r="AH205" s="388" t="e">
        <f>VLOOKUP(Risikovurdering_data!F203,Akseptkriterier!$C$33:$H$37,MATCH(Risikovurdering_data!G203,Akseptkriterier!$D$32:$H$32,0)+1,FALSE)</f>
        <v>#N/A</v>
      </c>
    </row>
    <row r="206" spans="1:34" ht="35.1" customHeight="1" x14ac:dyDescent="0.35">
      <c r="A206" s="205">
        <v>21</v>
      </c>
      <c r="B206" s="413"/>
      <c r="C206" s="383"/>
      <c r="D206" s="263"/>
      <c r="E206" s="380"/>
      <c r="F206" s="380"/>
      <c r="G206" s="377"/>
      <c r="H206" s="386"/>
      <c r="I206" s="406"/>
      <c r="J206" s="407"/>
      <c r="K206" s="407"/>
      <c r="L206" s="407"/>
      <c r="M206" s="407"/>
      <c r="N206" s="408"/>
      <c r="O206" s="264"/>
      <c r="P206" s="380"/>
      <c r="Q206" s="383"/>
      <c r="R206" s="380"/>
      <c r="S206" s="383"/>
      <c r="T206" s="380"/>
      <c r="U206" s="386"/>
      <c r="V206" s="265">
        <f t="shared" si="28"/>
        <v>0</v>
      </c>
      <c r="W206" s="266"/>
      <c r="X206" s="267" t="str">
        <f t="shared" si="29"/>
        <v/>
      </c>
      <c r="Y206" s="267" t="str">
        <f>IF(V206=1,V206+MAX($Y$5:Y205),"")</f>
        <v/>
      </c>
      <c r="Z206" s="267"/>
      <c r="AA206" s="265" t="str">
        <f>IF(ISTEXT(W206),IF(ISTEXT(Z206),Z206,'Datasource 2'!$M$14),"")</f>
        <v/>
      </c>
      <c r="AB206" s="261"/>
      <c r="AC206" s="261" t="str">
        <f t="shared" si="30"/>
        <v/>
      </c>
      <c r="AD206" s="261" t="str">
        <f t="shared" si="31"/>
        <v/>
      </c>
      <c r="AE206" s="262"/>
      <c r="AF206" s="380"/>
      <c r="AG206" s="380"/>
      <c r="AH206" s="389"/>
    </row>
    <row r="207" spans="1:34" ht="35.1" customHeight="1" x14ac:dyDescent="0.35">
      <c r="A207" s="205">
        <v>21</v>
      </c>
      <c r="B207" s="413"/>
      <c r="C207" s="383"/>
      <c r="D207" s="263"/>
      <c r="E207" s="380"/>
      <c r="F207" s="380"/>
      <c r="G207" s="377"/>
      <c r="H207" s="386"/>
      <c r="I207" s="406"/>
      <c r="J207" s="407"/>
      <c r="K207" s="407"/>
      <c r="L207" s="407"/>
      <c r="M207" s="407"/>
      <c r="N207" s="408"/>
      <c r="O207" s="264"/>
      <c r="P207" s="380"/>
      <c r="Q207" s="383"/>
      <c r="R207" s="380"/>
      <c r="S207" s="383"/>
      <c r="T207" s="380"/>
      <c r="U207" s="386"/>
      <c r="V207" s="265">
        <f t="shared" si="28"/>
        <v>0</v>
      </c>
      <c r="W207" s="266"/>
      <c r="X207" s="267" t="str">
        <f t="shared" si="29"/>
        <v/>
      </c>
      <c r="Y207" s="267" t="str">
        <f>IF(V207=1,V207+MAX($Y$5:Y206),"")</f>
        <v/>
      </c>
      <c r="Z207" s="267"/>
      <c r="AA207" s="265" t="str">
        <f>IF(ISTEXT(W207),IF(ISTEXT(Z207),Z207,'Datasource 2'!$M$14),"")</f>
        <v/>
      </c>
      <c r="AB207" s="261"/>
      <c r="AC207" s="261" t="str">
        <f t="shared" si="30"/>
        <v/>
      </c>
      <c r="AD207" s="261" t="str">
        <f t="shared" si="31"/>
        <v/>
      </c>
      <c r="AE207" s="262"/>
      <c r="AF207" s="380"/>
      <c r="AG207" s="380"/>
      <c r="AH207" s="389"/>
    </row>
    <row r="208" spans="1:34" ht="35.1" customHeight="1" x14ac:dyDescent="0.35">
      <c r="A208" s="205">
        <v>21</v>
      </c>
      <c r="B208" s="413"/>
      <c r="C208" s="383"/>
      <c r="D208" s="263"/>
      <c r="E208" s="380"/>
      <c r="F208" s="380"/>
      <c r="G208" s="377"/>
      <c r="H208" s="386"/>
      <c r="I208" s="406"/>
      <c r="J208" s="407"/>
      <c r="K208" s="407"/>
      <c r="L208" s="407"/>
      <c r="M208" s="407"/>
      <c r="N208" s="408"/>
      <c r="O208" s="264"/>
      <c r="P208" s="380"/>
      <c r="Q208" s="383"/>
      <c r="R208" s="380"/>
      <c r="S208" s="383"/>
      <c r="T208" s="380"/>
      <c r="U208" s="386"/>
      <c r="V208" s="265">
        <f t="shared" si="28"/>
        <v>0</v>
      </c>
      <c r="W208" s="266"/>
      <c r="X208" s="267" t="str">
        <f t="shared" si="29"/>
        <v/>
      </c>
      <c r="Y208" s="267" t="str">
        <f>IF(V208=1,V208+MAX($Y$5:Y207),"")</f>
        <v/>
      </c>
      <c r="Z208" s="267"/>
      <c r="AA208" s="265" t="str">
        <f>IF(ISTEXT(W208),IF(ISTEXT(Z208),Z208,'Datasource 2'!$M$14),"")</f>
        <v/>
      </c>
      <c r="AB208" s="261"/>
      <c r="AC208" s="261" t="str">
        <f t="shared" si="30"/>
        <v/>
      </c>
      <c r="AD208" s="261" t="str">
        <f t="shared" si="31"/>
        <v/>
      </c>
      <c r="AE208" s="262"/>
      <c r="AF208" s="380"/>
      <c r="AG208" s="380"/>
      <c r="AH208" s="389"/>
    </row>
    <row r="209" spans="1:34" ht="35.1" customHeight="1" x14ac:dyDescent="0.35">
      <c r="A209" s="205">
        <v>21</v>
      </c>
      <c r="B209" s="413"/>
      <c r="C209" s="383"/>
      <c r="D209" s="263"/>
      <c r="E209" s="380"/>
      <c r="F209" s="380"/>
      <c r="G209" s="377"/>
      <c r="H209" s="386"/>
      <c r="I209" s="406"/>
      <c r="J209" s="407"/>
      <c r="K209" s="407"/>
      <c r="L209" s="407"/>
      <c r="M209" s="407"/>
      <c r="N209" s="408"/>
      <c r="O209" s="264"/>
      <c r="P209" s="380"/>
      <c r="Q209" s="383"/>
      <c r="R209" s="380"/>
      <c r="S209" s="383"/>
      <c r="T209" s="380"/>
      <c r="U209" s="386"/>
      <c r="V209" s="265">
        <f t="shared" si="28"/>
        <v>0</v>
      </c>
      <c r="W209" s="266"/>
      <c r="X209" s="267" t="str">
        <f t="shared" si="29"/>
        <v/>
      </c>
      <c r="Y209" s="267" t="str">
        <f>IF(V209=1,V209+MAX($Y$5:Y208),"")</f>
        <v/>
      </c>
      <c r="Z209" s="267"/>
      <c r="AA209" s="265" t="str">
        <f>IF(ISTEXT(W209),IF(ISTEXT(Z209),Z209,'Datasource 2'!$M$14),"")</f>
        <v/>
      </c>
      <c r="AB209" s="261"/>
      <c r="AC209" s="261" t="str">
        <f t="shared" si="30"/>
        <v/>
      </c>
      <c r="AD209" s="261" t="str">
        <f t="shared" si="31"/>
        <v/>
      </c>
      <c r="AE209" s="262"/>
      <c r="AF209" s="380"/>
      <c r="AG209" s="380"/>
      <c r="AH209" s="389"/>
    </row>
    <row r="210" spans="1:34" ht="35.1" customHeight="1" x14ac:dyDescent="0.35">
      <c r="A210" s="205">
        <v>21</v>
      </c>
      <c r="B210" s="413"/>
      <c r="C210" s="383"/>
      <c r="D210" s="263"/>
      <c r="E210" s="380"/>
      <c r="F210" s="380"/>
      <c r="G210" s="377"/>
      <c r="H210" s="386"/>
      <c r="I210" s="406"/>
      <c r="J210" s="407"/>
      <c r="K210" s="407"/>
      <c r="L210" s="407"/>
      <c r="M210" s="407"/>
      <c r="N210" s="408"/>
      <c r="O210" s="264"/>
      <c r="P210" s="380"/>
      <c r="Q210" s="383"/>
      <c r="R210" s="380"/>
      <c r="S210" s="383"/>
      <c r="T210" s="380"/>
      <c r="U210" s="386"/>
      <c r="V210" s="265">
        <f t="shared" si="28"/>
        <v>0</v>
      </c>
      <c r="W210" s="266"/>
      <c r="X210" s="267" t="str">
        <f t="shared" si="29"/>
        <v/>
      </c>
      <c r="Y210" s="267" t="str">
        <f>IF(V210=1,V210+MAX($Y$5:Y209),"")</f>
        <v/>
      </c>
      <c r="Z210" s="267"/>
      <c r="AA210" s="265" t="str">
        <f>IF(ISTEXT(W210),IF(ISTEXT(Z210),Z210,'Datasource 2'!$M$14),"")</f>
        <v/>
      </c>
      <c r="AB210" s="261"/>
      <c r="AC210" s="261" t="str">
        <f t="shared" si="30"/>
        <v/>
      </c>
      <c r="AD210" s="261" t="str">
        <f t="shared" si="31"/>
        <v/>
      </c>
      <c r="AE210" s="262"/>
      <c r="AF210" s="380"/>
      <c r="AG210" s="380"/>
      <c r="AH210" s="389"/>
    </row>
    <row r="211" spans="1:34" ht="35.1" customHeight="1" x14ac:dyDescent="0.35">
      <c r="A211" s="205">
        <v>21</v>
      </c>
      <c r="B211" s="413"/>
      <c r="C211" s="383"/>
      <c r="D211" s="263"/>
      <c r="E211" s="380"/>
      <c r="F211" s="380"/>
      <c r="G211" s="377"/>
      <c r="H211" s="386"/>
      <c r="I211" s="406"/>
      <c r="J211" s="407"/>
      <c r="K211" s="407"/>
      <c r="L211" s="407"/>
      <c r="M211" s="407"/>
      <c r="N211" s="408"/>
      <c r="O211" s="264"/>
      <c r="P211" s="380"/>
      <c r="Q211" s="383"/>
      <c r="R211" s="380"/>
      <c r="S211" s="383"/>
      <c r="T211" s="380"/>
      <c r="U211" s="386"/>
      <c r="V211" s="265">
        <f t="shared" si="28"/>
        <v>0</v>
      </c>
      <c r="W211" s="266"/>
      <c r="X211" s="267" t="str">
        <f t="shared" si="29"/>
        <v/>
      </c>
      <c r="Y211" s="267" t="str">
        <f>IF(V211=1,V211+MAX($Y$5:Y210),"")</f>
        <v/>
      </c>
      <c r="Z211" s="267"/>
      <c r="AA211" s="265" t="str">
        <f>IF(ISTEXT(W211),IF(ISTEXT(Z211),Z211,'Datasource 2'!$M$14),"")</f>
        <v/>
      </c>
      <c r="AB211" s="261"/>
      <c r="AC211" s="261" t="str">
        <f t="shared" si="30"/>
        <v/>
      </c>
      <c r="AD211" s="261" t="str">
        <f t="shared" si="31"/>
        <v/>
      </c>
      <c r="AE211" s="262"/>
      <c r="AF211" s="380"/>
      <c r="AG211" s="380"/>
      <c r="AH211" s="389"/>
    </row>
    <row r="212" spans="1:34" ht="35.1" customHeight="1" x14ac:dyDescent="0.35">
      <c r="A212" s="205">
        <v>21</v>
      </c>
      <c r="B212" s="413"/>
      <c r="C212" s="383"/>
      <c r="D212" s="263"/>
      <c r="E212" s="380"/>
      <c r="F212" s="380"/>
      <c r="G212" s="377"/>
      <c r="H212" s="386"/>
      <c r="I212" s="406"/>
      <c r="J212" s="407"/>
      <c r="K212" s="407"/>
      <c r="L212" s="407"/>
      <c r="M212" s="407"/>
      <c r="N212" s="408"/>
      <c r="O212" s="264"/>
      <c r="P212" s="380"/>
      <c r="Q212" s="383"/>
      <c r="R212" s="380"/>
      <c r="S212" s="383"/>
      <c r="T212" s="380"/>
      <c r="U212" s="386"/>
      <c r="V212" s="265">
        <f t="shared" si="28"/>
        <v>0</v>
      </c>
      <c r="W212" s="266"/>
      <c r="X212" s="267" t="str">
        <f t="shared" si="29"/>
        <v/>
      </c>
      <c r="Y212" s="267" t="str">
        <f>IF(V212=1,V212+MAX($Y$5:Y211),"")</f>
        <v/>
      </c>
      <c r="Z212" s="267"/>
      <c r="AA212" s="265" t="str">
        <f>IF(ISTEXT(W212),IF(ISTEXT(Z212),Z212,'Datasource 2'!$M$14),"")</f>
        <v/>
      </c>
      <c r="AB212" s="261"/>
      <c r="AC212" s="261" t="str">
        <f t="shared" si="30"/>
        <v/>
      </c>
      <c r="AD212" s="261" t="str">
        <f t="shared" si="31"/>
        <v/>
      </c>
      <c r="AE212" s="262"/>
      <c r="AF212" s="380"/>
      <c r="AG212" s="380"/>
      <c r="AH212" s="389"/>
    </row>
    <row r="213" spans="1:34" ht="35.1" customHeight="1" x14ac:dyDescent="0.35">
      <c r="A213" s="205">
        <v>21</v>
      </c>
      <c r="B213" s="413"/>
      <c r="C213" s="383"/>
      <c r="D213" s="263"/>
      <c r="E213" s="380"/>
      <c r="F213" s="380"/>
      <c r="G213" s="377"/>
      <c r="H213" s="386"/>
      <c r="I213" s="406"/>
      <c r="J213" s="407"/>
      <c r="K213" s="407"/>
      <c r="L213" s="407"/>
      <c r="M213" s="407"/>
      <c r="N213" s="408"/>
      <c r="O213" s="264"/>
      <c r="P213" s="380"/>
      <c r="Q213" s="383"/>
      <c r="R213" s="380"/>
      <c r="S213" s="383"/>
      <c r="T213" s="380"/>
      <c r="U213" s="386"/>
      <c r="V213" s="265">
        <f t="shared" si="28"/>
        <v>0</v>
      </c>
      <c r="W213" s="266"/>
      <c r="X213" s="267" t="str">
        <f t="shared" si="29"/>
        <v/>
      </c>
      <c r="Y213" s="267" t="str">
        <f>IF(V213=1,V213+MAX($Y$5:Y212),"")</f>
        <v/>
      </c>
      <c r="Z213" s="267"/>
      <c r="AA213" s="265" t="str">
        <f>IF(ISTEXT(W213),IF(ISTEXT(Z213),Z213,'Datasource 2'!$M$14),"")</f>
        <v/>
      </c>
      <c r="AB213" s="261"/>
      <c r="AC213" s="261" t="str">
        <f t="shared" si="30"/>
        <v/>
      </c>
      <c r="AD213" s="261" t="str">
        <f t="shared" si="31"/>
        <v/>
      </c>
      <c r="AE213" s="262"/>
      <c r="AF213" s="380"/>
      <c r="AG213" s="380"/>
      <c r="AH213" s="389"/>
    </row>
    <row r="214" spans="1:34" ht="35.1" customHeight="1" thickBot="1" x14ac:dyDescent="0.4">
      <c r="A214" s="205">
        <v>21</v>
      </c>
      <c r="B214" s="414"/>
      <c r="C214" s="384"/>
      <c r="D214" s="268"/>
      <c r="E214" s="381"/>
      <c r="F214" s="381"/>
      <c r="G214" s="378"/>
      <c r="H214" s="387"/>
      <c r="I214" s="409"/>
      <c r="J214" s="410"/>
      <c r="K214" s="410"/>
      <c r="L214" s="410"/>
      <c r="M214" s="410"/>
      <c r="N214" s="411"/>
      <c r="O214" s="269"/>
      <c r="P214" s="381"/>
      <c r="Q214" s="384"/>
      <c r="R214" s="381"/>
      <c r="S214" s="384"/>
      <c r="T214" s="381"/>
      <c r="U214" s="387"/>
      <c r="V214" s="270">
        <f t="shared" si="28"/>
        <v>0</v>
      </c>
      <c r="W214" s="271"/>
      <c r="X214" s="272" t="str">
        <f t="shared" si="29"/>
        <v/>
      </c>
      <c r="Y214" s="272" t="str">
        <f>IF(V214=1,V214+MAX($Y$5:Y213),"")</f>
        <v/>
      </c>
      <c r="Z214" s="272"/>
      <c r="AA214" s="270" t="str">
        <f>IF(ISTEXT(W214),IF(ISTEXT(Z214),Z214,'Datasource 2'!$M$14),"")</f>
        <v/>
      </c>
      <c r="AB214" s="273"/>
      <c r="AC214" s="261" t="str">
        <f t="shared" si="30"/>
        <v/>
      </c>
      <c r="AD214" s="261" t="str">
        <f t="shared" si="31"/>
        <v/>
      </c>
      <c r="AE214" s="274"/>
      <c r="AF214" s="381"/>
      <c r="AG214" s="381"/>
      <c r="AH214" s="390"/>
    </row>
    <row r="215" spans="1:34" ht="35.1" customHeight="1" x14ac:dyDescent="0.35">
      <c r="A215" s="205">
        <v>22</v>
      </c>
      <c r="B215" s="391">
        <v>22</v>
      </c>
      <c r="C215" s="364"/>
      <c r="D215" s="323"/>
      <c r="E215" s="361"/>
      <c r="F215" s="361"/>
      <c r="G215" s="373"/>
      <c r="H215" s="367" t="e">
        <f>IF(VLOOKUP(G215,Trusselvurdering!$B$3:$P$28,15,FALSE)=0,VLOOKUP(G215,Trusselvurdering!$B$3:$P$28,14,FALSE),VLOOKUP(G215,Trusselvurdering!$B$3:$P$28,15,FALSE))</f>
        <v>#N/A</v>
      </c>
      <c r="I215" s="394"/>
      <c r="J215" s="395"/>
      <c r="K215" s="395"/>
      <c r="L215" s="395"/>
      <c r="M215" s="395"/>
      <c r="N215" s="396"/>
      <c r="O215" s="324"/>
      <c r="P215" s="361"/>
      <c r="Q215" s="364"/>
      <c r="R215" s="361"/>
      <c r="S215" s="364"/>
      <c r="T215" s="361"/>
      <c r="U215" s="367" t="e">
        <f>VLOOKUP(Risikovurdering_data!C213,Akseptkriterier!$C$33:$H$37,MATCH(Risikovurdering_data!D213,Akseptkriterier!$D$32:$H$32,0)+1,FALSE)</f>
        <v>#N/A</v>
      </c>
      <c r="V215" s="325">
        <f t="shared" si="28"/>
        <v>0</v>
      </c>
      <c r="W215" s="326"/>
      <c r="X215" s="327" t="str">
        <f t="shared" si="29"/>
        <v/>
      </c>
      <c r="Y215" s="327" t="str">
        <f>IF(V215=1,V215+MAX($Y$5:Y214),"")</f>
        <v/>
      </c>
      <c r="Z215" s="327"/>
      <c r="AA215" s="325" t="str">
        <f>IF(ISTEXT(W215),IF(ISTEXT(Z215),Z215,'Datasource 2'!$M$14),"")</f>
        <v/>
      </c>
      <c r="AB215" s="328"/>
      <c r="AC215" s="328" t="str">
        <f t="shared" si="30"/>
        <v/>
      </c>
      <c r="AD215" s="328" t="str">
        <f t="shared" si="31"/>
        <v/>
      </c>
      <c r="AE215" s="329"/>
      <c r="AF215" s="361"/>
      <c r="AG215" s="361"/>
      <c r="AH215" s="370" t="e">
        <f>VLOOKUP(Risikovurdering_data!F213,Akseptkriterier!$C$33:$H$37,MATCH(Risikovurdering_data!G213,Akseptkriterier!$D$32:$H$32,0)+1,FALSE)</f>
        <v>#N/A</v>
      </c>
    </row>
    <row r="216" spans="1:34" ht="35.1" customHeight="1" x14ac:dyDescent="0.35">
      <c r="A216" s="205">
        <v>22</v>
      </c>
      <c r="B216" s="392"/>
      <c r="C216" s="365"/>
      <c r="D216" s="330"/>
      <c r="E216" s="362"/>
      <c r="F216" s="362"/>
      <c r="G216" s="374"/>
      <c r="H216" s="368"/>
      <c r="I216" s="397"/>
      <c r="J216" s="398"/>
      <c r="K216" s="398"/>
      <c r="L216" s="398"/>
      <c r="M216" s="398"/>
      <c r="N216" s="399"/>
      <c r="O216" s="331"/>
      <c r="P216" s="362"/>
      <c r="Q216" s="365"/>
      <c r="R216" s="362"/>
      <c r="S216" s="365"/>
      <c r="T216" s="362"/>
      <c r="U216" s="368"/>
      <c r="V216" s="332">
        <f t="shared" si="28"/>
        <v>0</v>
      </c>
      <c r="W216" s="333"/>
      <c r="X216" s="334" t="str">
        <f t="shared" si="29"/>
        <v/>
      </c>
      <c r="Y216" s="334" t="str">
        <f>IF(V216=1,V216+MAX($Y$5:Y215),"")</f>
        <v/>
      </c>
      <c r="Z216" s="334"/>
      <c r="AA216" s="332" t="str">
        <f>IF(ISTEXT(W216),IF(ISTEXT(Z216),Z216,'Datasource 2'!$M$14),"")</f>
        <v/>
      </c>
      <c r="AB216" s="328"/>
      <c r="AC216" s="328" t="str">
        <f t="shared" si="30"/>
        <v/>
      </c>
      <c r="AD216" s="328" t="str">
        <f t="shared" si="31"/>
        <v/>
      </c>
      <c r="AE216" s="329"/>
      <c r="AF216" s="362"/>
      <c r="AG216" s="362"/>
      <c r="AH216" s="371"/>
    </row>
    <row r="217" spans="1:34" ht="35.1" customHeight="1" x14ac:dyDescent="0.35">
      <c r="A217" s="205">
        <v>22</v>
      </c>
      <c r="B217" s="392"/>
      <c r="C217" s="365"/>
      <c r="D217" s="330"/>
      <c r="E217" s="362"/>
      <c r="F217" s="362"/>
      <c r="G217" s="374"/>
      <c r="H217" s="368"/>
      <c r="I217" s="397"/>
      <c r="J217" s="398"/>
      <c r="K217" s="398"/>
      <c r="L217" s="398"/>
      <c r="M217" s="398"/>
      <c r="N217" s="399"/>
      <c r="O217" s="331"/>
      <c r="P217" s="362"/>
      <c r="Q217" s="365"/>
      <c r="R217" s="362"/>
      <c r="S217" s="365"/>
      <c r="T217" s="362"/>
      <c r="U217" s="368"/>
      <c r="V217" s="332">
        <f t="shared" si="28"/>
        <v>0</v>
      </c>
      <c r="W217" s="333"/>
      <c r="X217" s="334" t="str">
        <f t="shared" si="29"/>
        <v/>
      </c>
      <c r="Y217" s="334" t="str">
        <f>IF(V217=1,V217+MAX($Y$5:Y216),"")</f>
        <v/>
      </c>
      <c r="Z217" s="334"/>
      <c r="AA217" s="332" t="str">
        <f>IF(ISTEXT(W217),IF(ISTEXT(Z217),Z217,'Datasource 2'!$M$14),"")</f>
        <v/>
      </c>
      <c r="AB217" s="328"/>
      <c r="AC217" s="328" t="str">
        <f t="shared" si="30"/>
        <v/>
      </c>
      <c r="AD217" s="328" t="str">
        <f t="shared" si="31"/>
        <v/>
      </c>
      <c r="AE217" s="329"/>
      <c r="AF217" s="362"/>
      <c r="AG217" s="362"/>
      <c r="AH217" s="371"/>
    </row>
    <row r="218" spans="1:34" ht="35.1" customHeight="1" x14ac:dyDescent="0.35">
      <c r="A218" s="205">
        <v>22</v>
      </c>
      <c r="B218" s="392"/>
      <c r="C218" s="365"/>
      <c r="D218" s="330"/>
      <c r="E218" s="362"/>
      <c r="F218" s="362"/>
      <c r="G218" s="374"/>
      <c r="H218" s="368"/>
      <c r="I218" s="397"/>
      <c r="J218" s="398"/>
      <c r="K218" s="398"/>
      <c r="L218" s="398"/>
      <c r="M218" s="398"/>
      <c r="N218" s="399"/>
      <c r="O218" s="331"/>
      <c r="P218" s="362"/>
      <c r="Q218" s="365"/>
      <c r="R218" s="362"/>
      <c r="S218" s="365"/>
      <c r="T218" s="362"/>
      <c r="U218" s="368"/>
      <c r="V218" s="332">
        <f t="shared" si="28"/>
        <v>0</v>
      </c>
      <c r="W218" s="333"/>
      <c r="X218" s="334" t="str">
        <f t="shared" si="29"/>
        <v/>
      </c>
      <c r="Y218" s="334" t="str">
        <f>IF(V218=1,V218+MAX($Y$5:Y217),"")</f>
        <v/>
      </c>
      <c r="Z218" s="334"/>
      <c r="AA218" s="332" t="str">
        <f>IF(ISTEXT(W218),IF(ISTEXT(Z218),Z218,'Datasource 2'!$M$14),"")</f>
        <v/>
      </c>
      <c r="AB218" s="328"/>
      <c r="AC218" s="328" t="str">
        <f t="shared" si="30"/>
        <v/>
      </c>
      <c r="AD218" s="328" t="str">
        <f t="shared" si="31"/>
        <v/>
      </c>
      <c r="AE218" s="329"/>
      <c r="AF218" s="362"/>
      <c r="AG218" s="362"/>
      <c r="AH218" s="371"/>
    </row>
    <row r="219" spans="1:34" ht="35.1" customHeight="1" x14ac:dyDescent="0.35">
      <c r="A219" s="205">
        <v>22</v>
      </c>
      <c r="B219" s="392"/>
      <c r="C219" s="365"/>
      <c r="D219" s="330"/>
      <c r="E219" s="362"/>
      <c r="F219" s="362"/>
      <c r="G219" s="374"/>
      <c r="H219" s="368"/>
      <c r="I219" s="397"/>
      <c r="J219" s="398"/>
      <c r="K219" s="398"/>
      <c r="L219" s="398"/>
      <c r="M219" s="398"/>
      <c r="N219" s="399"/>
      <c r="O219" s="331"/>
      <c r="P219" s="362"/>
      <c r="Q219" s="365"/>
      <c r="R219" s="362"/>
      <c r="S219" s="365"/>
      <c r="T219" s="362"/>
      <c r="U219" s="368"/>
      <c r="V219" s="332">
        <f t="shared" si="28"/>
        <v>0</v>
      </c>
      <c r="W219" s="333"/>
      <c r="X219" s="334" t="str">
        <f t="shared" si="29"/>
        <v/>
      </c>
      <c r="Y219" s="334" t="str">
        <f>IF(V219=1,V219+MAX($Y$5:Y218),"")</f>
        <v/>
      </c>
      <c r="Z219" s="334"/>
      <c r="AA219" s="332" t="str">
        <f>IF(ISTEXT(W219),IF(ISTEXT(Z219),Z219,'Datasource 2'!$M$14),"")</f>
        <v/>
      </c>
      <c r="AB219" s="328"/>
      <c r="AC219" s="328" t="str">
        <f t="shared" si="30"/>
        <v/>
      </c>
      <c r="AD219" s="328" t="str">
        <f t="shared" si="31"/>
        <v/>
      </c>
      <c r="AE219" s="329"/>
      <c r="AF219" s="362"/>
      <c r="AG219" s="362"/>
      <c r="AH219" s="371"/>
    </row>
    <row r="220" spans="1:34" ht="35.1" customHeight="1" x14ac:dyDescent="0.35">
      <c r="A220" s="205">
        <v>22</v>
      </c>
      <c r="B220" s="392"/>
      <c r="C220" s="365"/>
      <c r="D220" s="330"/>
      <c r="E220" s="362"/>
      <c r="F220" s="362"/>
      <c r="G220" s="374"/>
      <c r="H220" s="368"/>
      <c r="I220" s="397"/>
      <c r="J220" s="398"/>
      <c r="K220" s="398"/>
      <c r="L220" s="398"/>
      <c r="M220" s="398"/>
      <c r="N220" s="399"/>
      <c r="O220" s="331"/>
      <c r="P220" s="362"/>
      <c r="Q220" s="365"/>
      <c r="R220" s="362"/>
      <c r="S220" s="365"/>
      <c r="T220" s="362"/>
      <c r="U220" s="368"/>
      <c r="V220" s="332">
        <f t="shared" si="28"/>
        <v>0</v>
      </c>
      <c r="W220" s="333"/>
      <c r="X220" s="334" t="str">
        <f t="shared" si="29"/>
        <v/>
      </c>
      <c r="Y220" s="334" t="str">
        <f>IF(V220=1,V220+MAX($Y$5:Y219),"")</f>
        <v/>
      </c>
      <c r="Z220" s="334"/>
      <c r="AA220" s="332" t="str">
        <f>IF(ISTEXT(W220),IF(ISTEXT(Z220),Z220,'Datasource 2'!$M$14),"")</f>
        <v/>
      </c>
      <c r="AB220" s="328"/>
      <c r="AC220" s="328" t="str">
        <f t="shared" si="30"/>
        <v/>
      </c>
      <c r="AD220" s="328" t="str">
        <f t="shared" si="31"/>
        <v/>
      </c>
      <c r="AE220" s="329"/>
      <c r="AF220" s="362"/>
      <c r="AG220" s="362"/>
      <c r="AH220" s="371"/>
    </row>
    <row r="221" spans="1:34" ht="35.1" customHeight="1" x14ac:dyDescent="0.35">
      <c r="A221" s="205">
        <v>22</v>
      </c>
      <c r="B221" s="392"/>
      <c r="C221" s="365"/>
      <c r="D221" s="330"/>
      <c r="E221" s="362"/>
      <c r="F221" s="362"/>
      <c r="G221" s="374"/>
      <c r="H221" s="368"/>
      <c r="I221" s="397"/>
      <c r="J221" s="398"/>
      <c r="K221" s="398"/>
      <c r="L221" s="398"/>
      <c r="M221" s="398"/>
      <c r="N221" s="399"/>
      <c r="O221" s="331"/>
      <c r="P221" s="362"/>
      <c r="Q221" s="365"/>
      <c r="R221" s="362"/>
      <c r="S221" s="365"/>
      <c r="T221" s="362"/>
      <c r="U221" s="368"/>
      <c r="V221" s="332">
        <f t="shared" si="28"/>
        <v>0</v>
      </c>
      <c r="W221" s="333"/>
      <c r="X221" s="334" t="str">
        <f t="shared" si="29"/>
        <v/>
      </c>
      <c r="Y221" s="334" t="str">
        <f>IF(V221=1,V221+MAX($Y$5:Y220),"")</f>
        <v/>
      </c>
      <c r="Z221" s="334"/>
      <c r="AA221" s="332" t="str">
        <f>IF(ISTEXT(W221),IF(ISTEXT(Z221),Z221,'Datasource 2'!$M$14),"")</f>
        <v/>
      </c>
      <c r="AB221" s="328"/>
      <c r="AC221" s="328" t="str">
        <f t="shared" si="30"/>
        <v/>
      </c>
      <c r="AD221" s="328" t="str">
        <f t="shared" si="31"/>
        <v/>
      </c>
      <c r="AE221" s="329"/>
      <c r="AF221" s="362"/>
      <c r="AG221" s="362"/>
      <c r="AH221" s="371"/>
    </row>
    <row r="222" spans="1:34" ht="35.1" customHeight="1" x14ac:dyDescent="0.35">
      <c r="A222" s="205">
        <v>22</v>
      </c>
      <c r="B222" s="392"/>
      <c r="C222" s="365"/>
      <c r="D222" s="330"/>
      <c r="E222" s="362"/>
      <c r="F222" s="362"/>
      <c r="G222" s="374"/>
      <c r="H222" s="368"/>
      <c r="I222" s="397"/>
      <c r="J222" s="398"/>
      <c r="K222" s="398"/>
      <c r="L222" s="398"/>
      <c r="M222" s="398"/>
      <c r="N222" s="399"/>
      <c r="O222" s="331"/>
      <c r="P222" s="362"/>
      <c r="Q222" s="365"/>
      <c r="R222" s="362"/>
      <c r="S222" s="365"/>
      <c r="T222" s="362"/>
      <c r="U222" s="368"/>
      <c r="V222" s="332">
        <f t="shared" si="28"/>
        <v>0</v>
      </c>
      <c r="W222" s="333"/>
      <c r="X222" s="334" t="str">
        <f t="shared" si="29"/>
        <v/>
      </c>
      <c r="Y222" s="334" t="str">
        <f>IF(V222=1,V222+MAX($Y$5:Y221),"")</f>
        <v/>
      </c>
      <c r="Z222" s="334"/>
      <c r="AA222" s="332" t="str">
        <f>IF(ISTEXT(W222),IF(ISTEXT(Z222),Z222,'Datasource 2'!$M$14),"")</f>
        <v/>
      </c>
      <c r="AB222" s="328"/>
      <c r="AC222" s="328" t="str">
        <f t="shared" si="30"/>
        <v/>
      </c>
      <c r="AD222" s="328" t="str">
        <f t="shared" si="31"/>
        <v/>
      </c>
      <c r="AE222" s="329"/>
      <c r="AF222" s="362"/>
      <c r="AG222" s="362"/>
      <c r="AH222" s="371"/>
    </row>
    <row r="223" spans="1:34" ht="35.1" customHeight="1" x14ac:dyDescent="0.35">
      <c r="A223" s="205">
        <v>22</v>
      </c>
      <c r="B223" s="392"/>
      <c r="C223" s="365"/>
      <c r="D223" s="330"/>
      <c r="E223" s="362"/>
      <c r="F223" s="362"/>
      <c r="G223" s="374"/>
      <c r="H223" s="368"/>
      <c r="I223" s="397"/>
      <c r="J223" s="398"/>
      <c r="K223" s="398"/>
      <c r="L223" s="398"/>
      <c r="M223" s="398"/>
      <c r="N223" s="399"/>
      <c r="O223" s="331"/>
      <c r="P223" s="362"/>
      <c r="Q223" s="365"/>
      <c r="R223" s="362"/>
      <c r="S223" s="365"/>
      <c r="T223" s="362"/>
      <c r="U223" s="368"/>
      <c r="V223" s="332">
        <f t="shared" si="28"/>
        <v>0</v>
      </c>
      <c r="W223" s="333"/>
      <c r="X223" s="334" t="str">
        <f t="shared" si="29"/>
        <v/>
      </c>
      <c r="Y223" s="334" t="str">
        <f>IF(V223=1,V223+MAX($Y$5:Y222),"")</f>
        <v/>
      </c>
      <c r="Z223" s="334"/>
      <c r="AA223" s="332" t="str">
        <f>IF(ISTEXT(W223),IF(ISTEXT(Z223),Z223,'Datasource 2'!$M$14),"")</f>
        <v/>
      </c>
      <c r="AB223" s="328"/>
      <c r="AC223" s="328" t="str">
        <f t="shared" si="30"/>
        <v/>
      </c>
      <c r="AD223" s="328" t="str">
        <f t="shared" si="31"/>
        <v/>
      </c>
      <c r="AE223" s="329"/>
      <c r="AF223" s="362"/>
      <c r="AG223" s="362"/>
      <c r="AH223" s="371"/>
    </row>
    <row r="224" spans="1:34" ht="35.1" customHeight="1" thickBot="1" x14ac:dyDescent="0.4">
      <c r="A224" s="205">
        <v>22</v>
      </c>
      <c r="B224" s="393"/>
      <c r="C224" s="366"/>
      <c r="D224" s="335"/>
      <c r="E224" s="363"/>
      <c r="F224" s="363"/>
      <c r="G224" s="375"/>
      <c r="H224" s="369"/>
      <c r="I224" s="400"/>
      <c r="J224" s="401"/>
      <c r="K224" s="401"/>
      <c r="L224" s="401"/>
      <c r="M224" s="401"/>
      <c r="N224" s="402"/>
      <c r="O224" s="336"/>
      <c r="P224" s="363"/>
      <c r="Q224" s="366"/>
      <c r="R224" s="363"/>
      <c r="S224" s="366"/>
      <c r="T224" s="363"/>
      <c r="U224" s="369"/>
      <c r="V224" s="337">
        <f t="shared" si="28"/>
        <v>0</v>
      </c>
      <c r="W224" s="338"/>
      <c r="X224" s="339" t="str">
        <f t="shared" si="29"/>
        <v/>
      </c>
      <c r="Y224" s="339" t="str">
        <f>IF(V224=1,V224+MAX($Y$5:Y223),"")</f>
        <v/>
      </c>
      <c r="Z224" s="339"/>
      <c r="AA224" s="337" t="str">
        <f>IF(ISTEXT(W224),IF(ISTEXT(Z224),Z224,'Datasource 2'!$M$14),"")</f>
        <v/>
      </c>
      <c r="AB224" s="339"/>
      <c r="AC224" s="328" t="str">
        <f t="shared" si="30"/>
        <v/>
      </c>
      <c r="AD224" s="328" t="str">
        <f t="shared" si="31"/>
        <v/>
      </c>
      <c r="AE224" s="340"/>
      <c r="AF224" s="363"/>
      <c r="AG224" s="363"/>
      <c r="AH224" s="372"/>
    </row>
    <row r="225" spans="1:34" ht="35.1" customHeight="1" thickBot="1" x14ac:dyDescent="0.4">
      <c r="A225" s="205">
        <f>$B$225</f>
        <v>23</v>
      </c>
      <c r="B225" s="412">
        <v>23</v>
      </c>
      <c r="C225" s="382"/>
      <c r="D225" s="257"/>
      <c r="E225" s="379"/>
      <c r="F225" s="379"/>
      <c r="G225" s="376"/>
      <c r="H225" s="385" t="e">
        <f>IF(VLOOKUP(G225,Trusselvurdering!$B$3:$P$28,15,FALSE)=0,VLOOKUP(G225,Trusselvurdering!$B$3:$P$28,14,FALSE),VLOOKUP(G225,Trusselvurdering!$B$3:$P$28,15,FALSE))</f>
        <v>#N/A</v>
      </c>
      <c r="I225" s="403"/>
      <c r="J225" s="404"/>
      <c r="K225" s="404"/>
      <c r="L225" s="404"/>
      <c r="M225" s="404"/>
      <c r="N225" s="405"/>
      <c r="O225" s="258"/>
      <c r="P225" s="379"/>
      <c r="Q225" s="382"/>
      <c r="R225" s="379"/>
      <c r="S225" s="382"/>
      <c r="T225" s="379" t="s">
        <v>9</v>
      </c>
      <c r="U225" s="385" t="e">
        <f>VLOOKUP(Risikovurdering_data!C223,Akseptkriterier!$C$33:$H$37,MATCH(Risikovurdering_data!D223,Akseptkriterier!$D$32:$H$32,0)+1,FALSE)</f>
        <v>#N/A</v>
      </c>
      <c r="V225" s="259">
        <f t="shared" si="28"/>
        <v>0</v>
      </c>
      <c r="W225" s="260"/>
      <c r="X225" s="261" t="str">
        <f t="shared" si="29"/>
        <v/>
      </c>
      <c r="Y225" s="261" t="str">
        <f>IF(V225=1,V225+MAX($Y$5:Y224),"")</f>
        <v/>
      </c>
      <c r="Z225" s="261"/>
      <c r="AA225" s="259" t="str">
        <f>IF(ISTEXT(W225),IF(ISTEXT(Z225),Z225,'Datasource 2'!$M$14),"")</f>
        <v/>
      </c>
      <c r="AB225" s="261"/>
      <c r="AC225" s="261" t="str">
        <f t="shared" si="30"/>
        <v/>
      </c>
      <c r="AD225" s="261" t="str">
        <f t="shared" si="31"/>
        <v/>
      </c>
      <c r="AE225" s="262"/>
      <c r="AF225" s="379"/>
      <c r="AG225" s="379"/>
      <c r="AH225" s="388" t="e">
        <f>VLOOKUP(Risikovurdering_data!F223,Akseptkriterier!$C$33:$H$37,MATCH(Risikovurdering_data!G223,Akseptkriterier!$D$32:$H$32,0)+1,FALSE)</f>
        <v>#N/A</v>
      </c>
    </row>
    <row r="226" spans="1:34" ht="35.1" customHeight="1" thickBot="1" x14ac:dyDescent="0.4">
      <c r="A226" s="203">
        <f t="shared" ref="A226:A234" si="32">$B$225</f>
        <v>23</v>
      </c>
      <c r="B226" s="413"/>
      <c r="C226" s="383"/>
      <c r="D226" s="263"/>
      <c r="E226" s="380"/>
      <c r="F226" s="380"/>
      <c r="G226" s="377"/>
      <c r="H226" s="386"/>
      <c r="I226" s="406"/>
      <c r="J226" s="407"/>
      <c r="K226" s="407"/>
      <c r="L226" s="407"/>
      <c r="M226" s="407"/>
      <c r="N226" s="408"/>
      <c r="O226" s="264"/>
      <c r="P226" s="380"/>
      <c r="Q226" s="383"/>
      <c r="R226" s="380"/>
      <c r="S226" s="383"/>
      <c r="T226" s="380"/>
      <c r="U226" s="386"/>
      <c r="V226" s="265">
        <f t="shared" si="28"/>
        <v>0</v>
      </c>
      <c r="W226" s="266"/>
      <c r="X226" s="267" t="str">
        <f t="shared" si="29"/>
        <v/>
      </c>
      <c r="Y226" s="267" t="str">
        <f>IF(V226=1,V226+MAX($Y$5:Y225),"")</f>
        <v/>
      </c>
      <c r="Z226" s="267"/>
      <c r="AA226" s="265" t="str">
        <f>IF(ISTEXT(W226),IF(ISTEXT(Z226),Z226,'Datasource 2'!$M$14),"")</f>
        <v/>
      </c>
      <c r="AB226" s="261"/>
      <c r="AC226" s="261" t="str">
        <f t="shared" si="30"/>
        <v/>
      </c>
      <c r="AD226" s="261" t="str">
        <f t="shared" si="31"/>
        <v/>
      </c>
      <c r="AE226" s="262"/>
      <c r="AF226" s="380"/>
      <c r="AG226" s="380"/>
      <c r="AH226" s="389"/>
    </row>
    <row r="227" spans="1:34" ht="35.1" customHeight="1" thickBot="1" x14ac:dyDescent="0.4">
      <c r="A227" s="203">
        <f t="shared" si="32"/>
        <v>23</v>
      </c>
      <c r="B227" s="413"/>
      <c r="C227" s="383"/>
      <c r="D227" s="263"/>
      <c r="E227" s="380"/>
      <c r="F227" s="380"/>
      <c r="G227" s="377"/>
      <c r="H227" s="386"/>
      <c r="I227" s="406"/>
      <c r="J227" s="407"/>
      <c r="K227" s="407"/>
      <c r="L227" s="407"/>
      <c r="M227" s="407"/>
      <c r="N227" s="408"/>
      <c r="O227" s="264"/>
      <c r="P227" s="380"/>
      <c r="Q227" s="383"/>
      <c r="R227" s="380"/>
      <c r="S227" s="383"/>
      <c r="T227" s="380"/>
      <c r="U227" s="386"/>
      <c r="V227" s="265">
        <f t="shared" si="28"/>
        <v>0</v>
      </c>
      <c r="W227" s="266"/>
      <c r="X227" s="267" t="str">
        <f t="shared" si="29"/>
        <v/>
      </c>
      <c r="Y227" s="267" t="str">
        <f>IF(V227=1,V227+MAX($Y$5:Y226),"")</f>
        <v/>
      </c>
      <c r="Z227" s="267"/>
      <c r="AA227" s="265" t="str">
        <f>IF(ISTEXT(W227),IF(ISTEXT(Z227),Z227,'Datasource 2'!$M$14),"")</f>
        <v/>
      </c>
      <c r="AB227" s="261"/>
      <c r="AC227" s="261" t="str">
        <f t="shared" si="30"/>
        <v/>
      </c>
      <c r="AD227" s="261" t="str">
        <f t="shared" si="31"/>
        <v/>
      </c>
      <c r="AE227" s="262"/>
      <c r="AF227" s="380"/>
      <c r="AG227" s="380"/>
      <c r="AH227" s="389"/>
    </row>
    <row r="228" spans="1:34" ht="35.1" customHeight="1" thickBot="1" x14ac:dyDescent="0.4">
      <c r="A228" s="203">
        <f t="shared" si="32"/>
        <v>23</v>
      </c>
      <c r="B228" s="413"/>
      <c r="C228" s="383"/>
      <c r="D228" s="263"/>
      <c r="E228" s="380"/>
      <c r="F228" s="380"/>
      <c r="G228" s="377"/>
      <c r="H228" s="386"/>
      <c r="I228" s="406"/>
      <c r="J228" s="407"/>
      <c r="K228" s="407"/>
      <c r="L228" s="407"/>
      <c r="M228" s="407"/>
      <c r="N228" s="408"/>
      <c r="O228" s="264"/>
      <c r="P228" s="380"/>
      <c r="Q228" s="383"/>
      <c r="R228" s="380"/>
      <c r="S228" s="383"/>
      <c r="T228" s="380"/>
      <c r="U228" s="386"/>
      <c r="V228" s="265">
        <f t="shared" si="28"/>
        <v>0</v>
      </c>
      <c r="W228" s="266"/>
      <c r="X228" s="267" t="str">
        <f t="shared" si="29"/>
        <v/>
      </c>
      <c r="Y228" s="267" t="str">
        <f>IF(V228=1,V228+MAX($Y$5:Y227),"")</f>
        <v/>
      </c>
      <c r="Z228" s="267"/>
      <c r="AA228" s="265" t="str">
        <f>IF(ISTEXT(W228),IF(ISTEXT(Z228),Z228,'Datasource 2'!$M$14),"")</f>
        <v/>
      </c>
      <c r="AB228" s="261"/>
      <c r="AC228" s="261" t="str">
        <f t="shared" si="30"/>
        <v/>
      </c>
      <c r="AD228" s="261" t="str">
        <f t="shared" si="31"/>
        <v/>
      </c>
      <c r="AE228" s="262"/>
      <c r="AF228" s="380"/>
      <c r="AG228" s="380"/>
      <c r="AH228" s="389"/>
    </row>
    <row r="229" spans="1:34" ht="35.1" customHeight="1" thickBot="1" x14ac:dyDescent="0.4">
      <c r="A229" s="203">
        <f t="shared" si="32"/>
        <v>23</v>
      </c>
      <c r="B229" s="413"/>
      <c r="C229" s="383"/>
      <c r="D229" s="263"/>
      <c r="E229" s="380"/>
      <c r="F229" s="380"/>
      <c r="G229" s="377"/>
      <c r="H229" s="386"/>
      <c r="I229" s="406"/>
      <c r="J229" s="407"/>
      <c r="K229" s="407"/>
      <c r="L229" s="407"/>
      <c r="M229" s="407"/>
      <c r="N229" s="408"/>
      <c r="O229" s="264"/>
      <c r="P229" s="380"/>
      <c r="Q229" s="383"/>
      <c r="R229" s="380"/>
      <c r="S229" s="383"/>
      <c r="T229" s="380"/>
      <c r="U229" s="386"/>
      <c r="V229" s="265">
        <f t="shared" si="28"/>
        <v>0</v>
      </c>
      <c r="W229" s="266"/>
      <c r="X229" s="267" t="str">
        <f t="shared" si="29"/>
        <v/>
      </c>
      <c r="Y229" s="267" t="str">
        <f>IF(V229=1,V229+MAX($Y$5:Y228),"")</f>
        <v/>
      </c>
      <c r="Z229" s="267"/>
      <c r="AA229" s="265" t="str">
        <f>IF(ISTEXT(W229),IF(ISTEXT(Z229),Z229,'Datasource 2'!$M$14),"")</f>
        <v/>
      </c>
      <c r="AB229" s="261"/>
      <c r="AC229" s="261" t="str">
        <f t="shared" si="30"/>
        <v/>
      </c>
      <c r="AD229" s="261" t="str">
        <f t="shared" si="31"/>
        <v/>
      </c>
      <c r="AE229" s="262"/>
      <c r="AF229" s="380"/>
      <c r="AG229" s="380"/>
      <c r="AH229" s="389"/>
    </row>
    <row r="230" spans="1:34" ht="35.1" customHeight="1" thickBot="1" x14ac:dyDescent="0.4">
      <c r="A230" s="203">
        <f t="shared" si="32"/>
        <v>23</v>
      </c>
      <c r="B230" s="413"/>
      <c r="C230" s="383"/>
      <c r="D230" s="263"/>
      <c r="E230" s="380"/>
      <c r="F230" s="380"/>
      <c r="G230" s="377"/>
      <c r="H230" s="386"/>
      <c r="I230" s="406"/>
      <c r="J230" s="407"/>
      <c r="K230" s="407"/>
      <c r="L230" s="407"/>
      <c r="M230" s="407"/>
      <c r="N230" s="408"/>
      <c r="O230" s="264"/>
      <c r="P230" s="380"/>
      <c r="Q230" s="383"/>
      <c r="R230" s="380"/>
      <c r="S230" s="383"/>
      <c r="T230" s="380"/>
      <c r="U230" s="386"/>
      <c r="V230" s="265">
        <f t="shared" si="28"/>
        <v>0</v>
      </c>
      <c r="W230" s="266"/>
      <c r="X230" s="267" t="str">
        <f t="shared" si="29"/>
        <v/>
      </c>
      <c r="Y230" s="267" t="str">
        <f>IF(V230=1,V230+MAX($Y$5:Y229),"")</f>
        <v/>
      </c>
      <c r="Z230" s="267"/>
      <c r="AA230" s="265" t="str">
        <f>IF(ISTEXT(W230),IF(ISTEXT(Z230),Z230,'Datasource 2'!$M$14),"")</f>
        <v/>
      </c>
      <c r="AB230" s="261"/>
      <c r="AC230" s="261" t="str">
        <f t="shared" si="30"/>
        <v/>
      </c>
      <c r="AD230" s="261" t="str">
        <f t="shared" si="31"/>
        <v/>
      </c>
      <c r="AE230" s="262"/>
      <c r="AF230" s="380"/>
      <c r="AG230" s="380"/>
      <c r="AH230" s="389"/>
    </row>
    <row r="231" spans="1:34" ht="35.1" customHeight="1" thickBot="1" x14ac:dyDescent="0.4">
      <c r="A231" s="203">
        <f t="shared" si="32"/>
        <v>23</v>
      </c>
      <c r="B231" s="413"/>
      <c r="C231" s="383"/>
      <c r="D231" s="263"/>
      <c r="E231" s="380"/>
      <c r="F231" s="380"/>
      <c r="G231" s="377"/>
      <c r="H231" s="386"/>
      <c r="I231" s="406"/>
      <c r="J231" s="407"/>
      <c r="K231" s="407"/>
      <c r="L231" s="407"/>
      <c r="M231" s="407"/>
      <c r="N231" s="408"/>
      <c r="O231" s="264"/>
      <c r="P231" s="380"/>
      <c r="Q231" s="383"/>
      <c r="R231" s="380"/>
      <c r="S231" s="383"/>
      <c r="T231" s="380"/>
      <c r="U231" s="386"/>
      <c r="V231" s="265">
        <f t="shared" si="28"/>
        <v>0</v>
      </c>
      <c r="W231" s="266"/>
      <c r="X231" s="267" t="str">
        <f t="shared" si="29"/>
        <v/>
      </c>
      <c r="Y231" s="267" t="str">
        <f>IF(V231=1,V231+MAX($Y$5:Y230),"")</f>
        <v/>
      </c>
      <c r="Z231" s="267"/>
      <c r="AA231" s="265" t="str">
        <f>IF(ISTEXT(W231),IF(ISTEXT(Z231),Z231,'Datasource 2'!$M$14),"")</f>
        <v/>
      </c>
      <c r="AB231" s="261"/>
      <c r="AC231" s="261" t="str">
        <f t="shared" si="30"/>
        <v/>
      </c>
      <c r="AD231" s="261" t="str">
        <f t="shared" si="31"/>
        <v/>
      </c>
      <c r="AE231" s="262"/>
      <c r="AF231" s="380"/>
      <c r="AG231" s="380"/>
      <c r="AH231" s="389"/>
    </row>
    <row r="232" spans="1:34" ht="35.1" customHeight="1" thickBot="1" x14ac:dyDescent="0.4">
      <c r="A232" s="203">
        <f t="shared" si="32"/>
        <v>23</v>
      </c>
      <c r="B232" s="413"/>
      <c r="C232" s="383"/>
      <c r="D232" s="263"/>
      <c r="E232" s="380"/>
      <c r="F232" s="380"/>
      <c r="G232" s="377"/>
      <c r="H232" s="386"/>
      <c r="I232" s="406"/>
      <c r="J232" s="407"/>
      <c r="K232" s="407"/>
      <c r="L232" s="407"/>
      <c r="M232" s="407"/>
      <c r="N232" s="408"/>
      <c r="O232" s="264"/>
      <c r="P232" s="380"/>
      <c r="Q232" s="383"/>
      <c r="R232" s="380"/>
      <c r="S232" s="383"/>
      <c r="T232" s="380"/>
      <c r="U232" s="386"/>
      <c r="V232" s="265">
        <f t="shared" si="28"/>
        <v>0</v>
      </c>
      <c r="W232" s="266"/>
      <c r="X232" s="267" t="str">
        <f t="shared" si="29"/>
        <v/>
      </c>
      <c r="Y232" s="267" t="str">
        <f>IF(V232=1,V232+MAX($Y$5:Y231),"")</f>
        <v/>
      </c>
      <c r="Z232" s="267"/>
      <c r="AA232" s="265" t="str">
        <f>IF(ISTEXT(W232),IF(ISTEXT(Z232),Z232,'Datasource 2'!$M$14),"")</f>
        <v/>
      </c>
      <c r="AB232" s="261"/>
      <c r="AC232" s="261" t="str">
        <f t="shared" si="30"/>
        <v/>
      </c>
      <c r="AD232" s="261" t="str">
        <f t="shared" si="31"/>
        <v/>
      </c>
      <c r="AE232" s="262"/>
      <c r="AF232" s="380"/>
      <c r="AG232" s="380"/>
      <c r="AH232" s="389"/>
    </row>
    <row r="233" spans="1:34" ht="35.1" customHeight="1" thickBot="1" x14ac:dyDescent="0.4">
      <c r="A233" s="203">
        <f t="shared" si="32"/>
        <v>23</v>
      </c>
      <c r="B233" s="413"/>
      <c r="C233" s="383"/>
      <c r="D233" s="263"/>
      <c r="E233" s="380"/>
      <c r="F233" s="380"/>
      <c r="G233" s="377"/>
      <c r="H233" s="386"/>
      <c r="I233" s="406"/>
      <c r="J233" s="407"/>
      <c r="K233" s="407"/>
      <c r="L233" s="407"/>
      <c r="M233" s="407"/>
      <c r="N233" s="408"/>
      <c r="O233" s="264"/>
      <c r="P233" s="380"/>
      <c r="Q233" s="383"/>
      <c r="R233" s="380"/>
      <c r="S233" s="383"/>
      <c r="T233" s="380"/>
      <c r="U233" s="386"/>
      <c r="V233" s="265">
        <f t="shared" si="28"/>
        <v>0</v>
      </c>
      <c r="W233" s="266"/>
      <c r="X233" s="267" t="str">
        <f t="shared" si="29"/>
        <v/>
      </c>
      <c r="Y233" s="267" t="str">
        <f>IF(V233=1,V233+MAX($Y$5:Y232),"")</f>
        <v/>
      </c>
      <c r="Z233" s="267"/>
      <c r="AA233" s="265" t="str">
        <f>IF(ISTEXT(W233),IF(ISTEXT(Z233),Z233,'Datasource 2'!$M$14),"")</f>
        <v/>
      </c>
      <c r="AB233" s="261"/>
      <c r="AC233" s="261" t="str">
        <f t="shared" si="30"/>
        <v/>
      </c>
      <c r="AD233" s="261" t="str">
        <f t="shared" si="31"/>
        <v/>
      </c>
      <c r="AE233" s="262"/>
      <c r="AF233" s="380"/>
      <c r="AG233" s="380"/>
      <c r="AH233" s="389"/>
    </row>
    <row r="234" spans="1:34" ht="35.1" customHeight="1" thickBot="1" x14ac:dyDescent="0.4">
      <c r="A234" s="203">
        <f t="shared" si="32"/>
        <v>23</v>
      </c>
      <c r="B234" s="414"/>
      <c r="C234" s="384"/>
      <c r="D234" s="268"/>
      <c r="E234" s="381"/>
      <c r="F234" s="381"/>
      <c r="G234" s="378"/>
      <c r="H234" s="387"/>
      <c r="I234" s="409"/>
      <c r="J234" s="410"/>
      <c r="K234" s="410"/>
      <c r="L234" s="410"/>
      <c r="M234" s="410"/>
      <c r="N234" s="411"/>
      <c r="O234" s="269"/>
      <c r="P234" s="381"/>
      <c r="Q234" s="384"/>
      <c r="R234" s="381"/>
      <c r="S234" s="384"/>
      <c r="T234" s="381"/>
      <c r="U234" s="387"/>
      <c r="V234" s="270">
        <f t="shared" si="28"/>
        <v>0</v>
      </c>
      <c r="W234" s="271"/>
      <c r="X234" s="272" t="str">
        <f t="shared" si="29"/>
        <v/>
      </c>
      <c r="Y234" s="272" t="str">
        <f>IF(V234=1,V234+MAX($Y$5:Y233),"")</f>
        <v/>
      </c>
      <c r="Z234" s="272"/>
      <c r="AA234" s="270" t="str">
        <f>IF(ISTEXT(W234),IF(ISTEXT(Z234),Z234,'Datasource 2'!$M$14),"")</f>
        <v/>
      </c>
      <c r="AB234" s="273"/>
      <c r="AC234" s="261" t="str">
        <f t="shared" si="30"/>
        <v/>
      </c>
      <c r="AD234" s="261" t="str">
        <f t="shared" si="31"/>
        <v/>
      </c>
      <c r="AE234" s="274"/>
      <c r="AF234" s="381"/>
      <c r="AG234" s="381"/>
      <c r="AH234" s="390"/>
    </row>
    <row r="235" spans="1:34" ht="35.1" customHeight="1" thickBot="1" x14ac:dyDescent="0.4">
      <c r="A235" s="205">
        <f>$B$235</f>
        <v>24</v>
      </c>
      <c r="B235" s="391">
        <v>24</v>
      </c>
      <c r="C235" s="364"/>
      <c r="D235" s="323"/>
      <c r="E235" s="361"/>
      <c r="F235" s="361"/>
      <c r="G235" s="373"/>
      <c r="H235" s="367" t="e">
        <f>IF(VLOOKUP(G235,Trusselvurdering!$B$3:$P$28,15,FALSE)=0,VLOOKUP(G235,Trusselvurdering!$B$3:$P$28,14,FALSE),VLOOKUP(G235,Trusselvurdering!$B$3:$P$28,15,FALSE))</f>
        <v>#N/A</v>
      </c>
      <c r="I235" s="394"/>
      <c r="J235" s="395"/>
      <c r="K235" s="395"/>
      <c r="L235" s="395"/>
      <c r="M235" s="395"/>
      <c r="N235" s="396"/>
      <c r="O235" s="324"/>
      <c r="P235" s="361"/>
      <c r="Q235" s="364"/>
      <c r="R235" s="361"/>
      <c r="S235" s="364"/>
      <c r="T235" s="361"/>
      <c r="U235" s="367" t="e">
        <f>VLOOKUP(Risikovurdering_data!C233,Akseptkriterier!$C$33:$H$37,MATCH(Risikovurdering_data!D233,Akseptkriterier!$D$32:$H$32,0)+1,FALSE)</f>
        <v>#N/A</v>
      </c>
      <c r="V235" s="325">
        <f t="shared" si="28"/>
        <v>0</v>
      </c>
      <c r="W235" s="326"/>
      <c r="X235" s="327" t="str">
        <f t="shared" si="29"/>
        <v/>
      </c>
      <c r="Y235" s="327" t="str">
        <f>IF(V235=1,V235+MAX($Y$5:Y234),"")</f>
        <v/>
      </c>
      <c r="Z235" s="327"/>
      <c r="AA235" s="325" t="str">
        <f>IF(ISTEXT(W235),IF(ISTEXT(Z235),Z235,'Datasource 2'!$M$14),"")</f>
        <v/>
      </c>
      <c r="AB235" s="328"/>
      <c r="AC235" s="328" t="str">
        <f t="shared" si="30"/>
        <v/>
      </c>
      <c r="AD235" s="328" t="str">
        <f t="shared" si="31"/>
        <v/>
      </c>
      <c r="AE235" s="329"/>
      <c r="AF235" s="361"/>
      <c r="AG235" s="361"/>
      <c r="AH235" s="370" t="e">
        <f>VLOOKUP(Risikovurdering_data!F233,Akseptkriterier!$C$33:$H$37,MATCH(Risikovurdering_data!G233,Akseptkriterier!$D$32:$H$32,0)+1,FALSE)</f>
        <v>#N/A</v>
      </c>
    </row>
    <row r="236" spans="1:34" ht="35.1" customHeight="1" thickBot="1" x14ac:dyDescent="0.4">
      <c r="A236" s="203">
        <f t="shared" ref="A236:A244" si="33">$B$235</f>
        <v>24</v>
      </c>
      <c r="B236" s="392"/>
      <c r="C236" s="365"/>
      <c r="D236" s="330"/>
      <c r="E236" s="362"/>
      <c r="F236" s="362"/>
      <c r="G236" s="374"/>
      <c r="H236" s="368"/>
      <c r="I236" s="397"/>
      <c r="J236" s="398"/>
      <c r="K236" s="398"/>
      <c r="L236" s="398"/>
      <c r="M236" s="398"/>
      <c r="N236" s="399"/>
      <c r="O236" s="331"/>
      <c r="P236" s="362"/>
      <c r="Q236" s="365"/>
      <c r="R236" s="362"/>
      <c r="S236" s="365"/>
      <c r="T236" s="362"/>
      <c r="U236" s="368"/>
      <c r="V236" s="332">
        <f t="shared" si="28"/>
        <v>0</v>
      </c>
      <c r="W236" s="333"/>
      <c r="X236" s="334" t="str">
        <f t="shared" si="29"/>
        <v/>
      </c>
      <c r="Y236" s="334" t="str">
        <f>IF(V236=1,V236+MAX($Y$5:Y235),"")</f>
        <v/>
      </c>
      <c r="Z236" s="334"/>
      <c r="AA236" s="332" t="str">
        <f>IF(ISTEXT(W236),IF(ISTEXT(Z236),Z236,'Datasource 2'!$M$14),"")</f>
        <v/>
      </c>
      <c r="AB236" s="328"/>
      <c r="AC236" s="328" t="str">
        <f t="shared" si="30"/>
        <v/>
      </c>
      <c r="AD236" s="328" t="str">
        <f t="shared" si="31"/>
        <v/>
      </c>
      <c r="AE236" s="329"/>
      <c r="AF236" s="362"/>
      <c r="AG236" s="362"/>
      <c r="AH236" s="371"/>
    </row>
    <row r="237" spans="1:34" ht="35.1" customHeight="1" thickBot="1" x14ac:dyDescent="0.4">
      <c r="A237" s="203">
        <f t="shared" si="33"/>
        <v>24</v>
      </c>
      <c r="B237" s="392"/>
      <c r="C237" s="365"/>
      <c r="D237" s="330"/>
      <c r="E237" s="362"/>
      <c r="F237" s="362"/>
      <c r="G237" s="374"/>
      <c r="H237" s="368"/>
      <c r="I237" s="397"/>
      <c r="J237" s="398"/>
      <c r="K237" s="398"/>
      <c r="L237" s="398"/>
      <c r="M237" s="398"/>
      <c r="N237" s="399"/>
      <c r="O237" s="331"/>
      <c r="P237" s="362"/>
      <c r="Q237" s="365"/>
      <c r="R237" s="362"/>
      <c r="S237" s="365"/>
      <c r="T237" s="362"/>
      <c r="U237" s="368"/>
      <c r="V237" s="332">
        <f t="shared" si="28"/>
        <v>0</v>
      </c>
      <c r="W237" s="333"/>
      <c r="X237" s="334" t="str">
        <f t="shared" si="29"/>
        <v/>
      </c>
      <c r="Y237" s="334" t="str">
        <f>IF(V237=1,V237+MAX($Y$5:Y236),"")</f>
        <v/>
      </c>
      <c r="Z237" s="334"/>
      <c r="AA237" s="332" t="str">
        <f>IF(ISTEXT(W237),IF(ISTEXT(Z237),Z237,'Datasource 2'!$M$14),"")</f>
        <v/>
      </c>
      <c r="AB237" s="328"/>
      <c r="AC237" s="328" t="str">
        <f t="shared" si="30"/>
        <v/>
      </c>
      <c r="AD237" s="328" t="str">
        <f t="shared" si="31"/>
        <v/>
      </c>
      <c r="AE237" s="329"/>
      <c r="AF237" s="362"/>
      <c r="AG237" s="362"/>
      <c r="AH237" s="371"/>
    </row>
    <row r="238" spans="1:34" ht="35.1" customHeight="1" thickBot="1" x14ac:dyDescent="0.4">
      <c r="A238" s="203">
        <f t="shared" si="33"/>
        <v>24</v>
      </c>
      <c r="B238" s="392"/>
      <c r="C238" s="365"/>
      <c r="D238" s="330"/>
      <c r="E238" s="362"/>
      <c r="F238" s="362"/>
      <c r="G238" s="374"/>
      <c r="H238" s="368"/>
      <c r="I238" s="397"/>
      <c r="J238" s="398"/>
      <c r="K238" s="398"/>
      <c r="L238" s="398"/>
      <c r="M238" s="398"/>
      <c r="N238" s="399"/>
      <c r="O238" s="331"/>
      <c r="P238" s="362"/>
      <c r="Q238" s="365"/>
      <c r="R238" s="362"/>
      <c r="S238" s="365"/>
      <c r="T238" s="362"/>
      <c r="U238" s="368"/>
      <c r="V238" s="332">
        <f t="shared" si="28"/>
        <v>0</v>
      </c>
      <c r="W238" s="333"/>
      <c r="X238" s="334" t="str">
        <f t="shared" si="29"/>
        <v/>
      </c>
      <c r="Y238" s="334" t="str">
        <f>IF(V238=1,V238+MAX($Y$5:Y237),"")</f>
        <v/>
      </c>
      <c r="Z238" s="334"/>
      <c r="AA238" s="332" t="str">
        <f>IF(ISTEXT(W238),IF(ISTEXT(Z238),Z238,'Datasource 2'!$M$14),"")</f>
        <v/>
      </c>
      <c r="AB238" s="328"/>
      <c r="AC238" s="328" t="str">
        <f t="shared" si="30"/>
        <v/>
      </c>
      <c r="AD238" s="328" t="str">
        <f t="shared" si="31"/>
        <v/>
      </c>
      <c r="AE238" s="329"/>
      <c r="AF238" s="362"/>
      <c r="AG238" s="362"/>
      <c r="AH238" s="371"/>
    </row>
    <row r="239" spans="1:34" ht="35.1" customHeight="1" thickBot="1" x14ac:dyDescent="0.4">
      <c r="A239" s="203">
        <f t="shared" si="33"/>
        <v>24</v>
      </c>
      <c r="B239" s="392"/>
      <c r="C239" s="365"/>
      <c r="D239" s="330"/>
      <c r="E239" s="362"/>
      <c r="F239" s="362"/>
      <c r="G239" s="374"/>
      <c r="H239" s="368"/>
      <c r="I239" s="397"/>
      <c r="J239" s="398"/>
      <c r="K239" s="398"/>
      <c r="L239" s="398"/>
      <c r="M239" s="398"/>
      <c r="N239" s="399"/>
      <c r="O239" s="331"/>
      <c r="P239" s="362"/>
      <c r="Q239" s="365"/>
      <c r="R239" s="362"/>
      <c r="S239" s="365"/>
      <c r="T239" s="362"/>
      <c r="U239" s="368"/>
      <c r="V239" s="332">
        <f t="shared" ref="V239:V296" si="34">IF(W239="",0,1)</f>
        <v>0</v>
      </c>
      <c r="W239" s="333"/>
      <c r="X239" s="334" t="str">
        <f t="shared" si="29"/>
        <v/>
      </c>
      <c r="Y239" s="334" t="str">
        <f>IF(V239=1,V239+MAX($Y$5:Y238),"")</f>
        <v/>
      </c>
      <c r="Z239" s="334"/>
      <c r="AA239" s="332" t="str">
        <f>IF(ISTEXT(W239),IF(ISTEXT(Z239),Z239,'Datasource 2'!$M$14),"")</f>
        <v/>
      </c>
      <c r="AB239" s="328"/>
      <c r="AC239" s="328" t="str">
        <f t="shared" si="30"/>
        <v/>
      </c>
      <c r="AD239" s="328" t="str">
        <f t="shared" si="31"/>
        <v/>
      </c>
      <c r="AE239" s="329"/>
      <c r="AF239" s="362"/>
      <c r="AG239" s="362"/>
      <c r="AH239" s="371"/>
    </row>
    <row r="240" spans="1:34" ht="35.1" customHeight="1" thickBot="1" x14ac:dyDescent="0.4">
      <c r="A240" s="203">
        <f t="shared" si="33"/>
        <v>24</v>
      </c>
      <c r="B240" s="392"/>
      <c r="C240" s="365"/>
      <c r="D240" s="330"/>
      <c r="E240" s="362"/>
      <c r="F240" s="362"/>
      <c r="G240" s="374"/>
      <c r="H240" s="368"/>
      <c r="I240" s="397"/>
      <c r="J240" s="398"/>
      <c r="K240" s="398"/>
      <c r="L240" s="398"/>
      <c r="M240" s="398"/>
      <c r="N240" s="399"/>
      <c r="O240" s="331"/>
      <c r="P240" s="362"/>
      <c r="Q240" s="365"/>
      <c r="R240" s="362"/>
      <c r="S240" s="365"/>
      <c r="T240" s="362"/>
      <c r="U240" s="368"/>
      <c r="V240" s="332">
        <f t="shared" si="34"/>
        <v>0</v>
      </c>
      <c r="W240" s="333"/>
      <c r="X240" s="334" t="str">
        <f t="shared" si="29"/>
        <v/>
      </c>
      <c r="Y240" s="334" t="str">
        <f>IF(V240=1,V240+MAX($Y$5:Y239),"")</f>
        <v/>
      </c>
      <c r="Z240" s="334"/>
      <c r="AA240" s="332" t="str">
        <f>IF(ISTEXT(W240),IF(ISTEXT(Z240),Z240,'Datasource 2'!$M$14),"")</f>
        <v/>
      </c>
      <c r="AB240" s="328"/>
      <c r="AC240" s="328" t="str">
        <f t="shared" si="30"/>
        <v/>
      </c>
      <c r="AD240" s="328" t="str">
        <f t="shared" si="31"/>
        <v/>
      </c>
      <c r="AE240" s="329"/>
      <c r="AF240" s="362"/>
      <c r="AG240" s="362"/>
      <c r="AH240" s="371"/>
    </row>
    <row r="241" spans="1:34" ht="35.1" customHeight="1" thickBot="1" x14ac:dyDescent="0.4">
      <c r="A241" s="203">
        <f t="shared" si="33"/>
        <v>24</v>
      </c>
      <c r="B241" s="392"/>
      <c r="C241" s="365"/>
      <c r="D241" s="330"/>
      <c r="E241" s="362"/>
      <c r="F241" s="362"/>
      <c r="G241" s="374"/>
      <c r="H241" s="368"/>
      <c r="I241" s="397"/>
      <c r="J241" s="398"/>
      <c r="K241" s="398"/>
      <c r="L241" s="398"/>
      <c r="M241" s="398"/>
      <c r="N241" s="399"/>
      <c r="O241" s="331"/>
      <c r="P241" s="362"/>
      <c r="Q241" s="365"/>
      <c r="R241" s="362"/>
      <c r="S241" s="365"/>
      <c r="T241" s="362"/>
      <c r="U241" s="368"/>
      <c r="V241" s="332">
        <f t="shared" si="34"/>
        <v>0</v>
      </c>
      <c r="W241" s="333"/>
      <c r="X241" s="334" t="str">
        <f t="shared" si="29"/>
        <v/>
      </c>
      <c r="Y241" s="334" t="str">
        <f>IF(V241=1,V241+MAX($Y$5:Y240),"")</f>
        <v/>
      </c>
      <c r="Z241" s="334"/>
      <c r="AA241" s="332" t="str">
        <f>IF(ISTEXT(W241),IF(ISTEXT(Z241),Z241,'Datasource 2'!$M$14),"")</f>
        <v/>
      </c>
      <c r="AB241" s="328"/>
      <c r="AC241" s="328" t="str">
        <f t="shared" si="30"/>
        <v/>
      </c>
      <c r="AD241" s="328" t="str">
        <f t="shared" si="31"/>
        <v/>
      </c>
      <c r="AE241" s="329"/>
      <c r="AF241" s="362"/>
      <c r="AG241" s="362"/>
      <c r="AH241" s="371"/>
    </row>
    <row r="242" spans="1:34" ht="35.1" customHeight="1" thickBot="1" x14ac:dyDescent="0.4">
      <c r="A242" s="203">
        <f t="shared" si="33"/>
        <v>24</v>
      </c>
      <c r="B242" s="392"/>
      <c r="C242" s="365"/>
      <c r="D242" s="330"/>
      <c r="E242" s="362"/>
      <c r="F242" s="362"/>
      <c r="G242" s="374"/>
      <c r="H242" s="368"/>
      <c r="I242" s="397"/>
      <c r="J242" s="398"/>
      <c r="K242" s="398"/>
      <c r="L242" s="398"/>
      <c r="M242" s="398"/>
      <c r="N242" s="399"/>
      <c r="O242" s="331"/>
      <c r="P242" s="362"/>
      <c r="Q242" s="365"/>
      <c r="R242" s="362"/>
      <c r="S242" s="365"/>
      <c r="T242" s="362"/>
      <c r="U242" s="368"/>
      <c r="V242" s="332">
        <f t="shared" si="34"/>
        <v>0</v>
      </c>
      <c r="W242" s="333"/>
      <c r="X242" s="334" t="str">
        <f t="shared" si="29"/>
        <v/>
      </c>
      <c r="Y242" s="334" t="str">
        <f>IF(V242=1,V242+MAX($Y$5:Y241),"")</f>
        <v/>
      </c>
      <c r="Z242" s="334"/>
      <c r="AA242" s="332" t="str">
        <f>IF(ISTEXT(W242),IF(ISTEXT(Z242),Z242,'Datasource 2'!$M$14),"")</f>
        <v/>
      </c>
      <c r="AB242" s="328"/>
      <c r="AC242" s="328" t="str">
        <f t="shared" si="30"/>
        <v/>
      </c>
      <c r="AD242" s="328" t="str">
        <f t="shared" si="31"/>
        <v/>
      </c>
      <c r="AE242" s="329"/>
      <c r="AF242" s="362"/>
      <c r="AG242" s="362"/>
      <c r="AH242" s="371"/>
    </row>
    <row r="243" spans="1:34" ht="35.1" customHeight="1" thickBot="1" x14ac:dyDescent="0.4">
      <c r="A243" s="203">
        <f t="shared" si="33"/>
        <v>24</v>
      </c>
      <c r="B243" s="392"/>
      <c r="C243" s="365"/>
      <c r="D243" s="330"/>
      <c r="E243" s="362"/>
      <c r="F243" s="362"/>
      <c r="G243" s="374"/>
      <c r="H243" s="368"/>
      <c r="I243" s="397"/>
      <c r="J243" s="398"/>
      <c r="K243" s="398"/>
      <c r="L243" s="398"/>
      <c r="M243" s="398"/>
      <c r="N243" s="399"/>
      <c r="O243" s="331"/>
      <c r="P243" s="362"/>
      <c r="Q243" s="365"/>
      <c r="R243" s="362"/>
      <c r="S243" s="365"/>
      <c r="T243" s="362"/>
      <c r="U243" s="368"/>
      <c r="V243" s="332">
        <f t="shared" si="34"/>
        <v>0</v>
      </c>
      <c r="W243" s="333"/>
      <c r="X243" s="334" t="str">
        <f t="shared" si="29"/>
        <v/>
      </c>
      <c r="Y243" s="334" t="str">
        <f>IF(V243=1,V243+MAX($Y$5:Y242),"")</f>
        <v/>
      </c>
      <c r="Z243" s="334"/>
      <c r="AA243" s="332" t="str">
        <f>IF(ISTEXT(W243),IF(ISTEXT(Z243),Z243,'Datasource 2'!$M$14),"")</f>
        <v/>
      </c>
      <c r="AB243" s="328"/>
      <c r="AC243" s="328" t="str">
        <f t="shared" si="30"/>
        <v/>
      </c>
      <c r="AD243" s="328" t="str">
        <f t="shared" si="31"/>
        <v/>
      </c>
      <c r="AE243" s="329"/>
      <c r="AF243" s="362"/>
      <c r="AG243" s="362"/>
      <c r="AH243" s="371"/>
    </row>
    <row r="244" spans="1:34" ht="35.1" customHeight="1" thickBot="1" x14ac:dyDescent="0.4">
      <c r="A244" s="203">
        <f t="shared" si="33"/>
        <v>24</v>
      </c>
      <c r="B244" s="393"/>
      <c r="C244" s="366"/>
      <c r="D244" s="335"/>
      <c r="E244" s="363"/>
      <c r="F244" s="363"/>
      <c r="G244" s="375"/>
      <c r="H244" s="369"/>
      <c r="I244" s="400"/>
      <c r="J244" s="401"/>
      <c r="K244" s="401"/>
      <c r="L244" s="401"/>
      <c r="M244" s="401"/>
      <c r="N244" s="402"/>
      <c r="O244" s="336"/>
      <c r="P244" s="363"/>
      <c r="Q244" s="366"/>
      <c r="R244" s="363"/>
      <c r="S244" s="366"/>
      <c r="T244" s="363"/>
      <c r="U244" s="369"/>
      <c r="V244" s="337">
        <f t="shared" si="34"/>
        <v>0</v>
      </c>
      <c r="W244" s="338"/>
      <c r="X244" s="339" t="str">
        <f t="shared" si="29"/>
        <v/>
      </c>
      <c r="Y244" s="339" t="str">
        <f>IF(V244=1,V244+MAX($Y$5:Y243),"")</f>
        <v/>
      </c>
      <c r="Z244" s="339"/>
      <c r="AA244" s="337" t="str">
        <f>IF(ISTEXT(W244),IF(ISTEXT(Z244),Z244,'Datasource 2'!$M$14),"")</f>
        <v/>
      </c>
      <c r="AB244" s="339"/>
      <c r="AC244" s="328" t="str">
        <f t="shared" si="30"/>
        <v/>
      </c>
      <c r="AD244" s="328" t="str">
        <f t="shared" si="31"/>
        <v/>
      </c>
      <c r="AE244" s="340"/>
      <c r="AF244" s="363"/>
      <c r="AG244" s="363"/>
      <c r="AH244" s="372"/>
    </row>
    <row r="245" spans="1:34" ht="35.1" customHeight="1" thickBot="1" x14ac:dyDescent="0.4">
      <c r="A245" s="205">
        <f>$B$245</f>
        <v>25</v>
      </c>
      <c r="B245" s="412">
        <v>25</v>
      </c>
      <c r="C245" s="382"/>
      <c r="D245" s="257"/>
      <c r="E245" s="379"/>
      <c r="F245" s="379"/>
      <c r="G245" s="376"/>
      <c r="H245" s="385" t="e">
        <f>IF(VLOOKUP(G245,Trusselvurdering!$B$3:$P$28,15,FALSE)=0,VLOOKUP(G245,Trusselvurdering!$B$3:$P$28,14,FALSE),VLOOKUP(G245,Trusselvurdering!$B$3:$P$28,15,FALSE))</f>
        <v>#N/A</v>
      </c>
      <c r="I245" s="403"/>
      <c r="J245" s="404"/>
      <c r="K245" s="404"/>
      <c r="L245" s="404"/>
      <c r="M245" s="404"/>
      <c r="N245" s="405"/>
      <c r="O245" s="258"/>
      <c r="P245" s="379"/>
      <c r="Q245" s="382"/>
      <c r="R245" s="379"/>
      <c r="S245" s="382"/>
      <c r="T245" s="379"/>
      <c r="U245" s="385" t="e">
        <f>VLOOKUP(Risikovurdering_data!C243,Akseptkriterier!$C$33:$H$37,MATCH(Risikovurdering_data!D243,Akseptkriterier!$D$32:$H$32,0)+1,FALSE)</f>
        <v>#N/A</v>
      </c>
      <c r="V245" s="259">
        <f t="shared" si="34"/>
        <v>0</v>
      </c>
      <c r="W245" s="260"/>
      <c r="X245" s="261" t="str">
        <f t="shared" si="29"/>
        <v/>
      </c>
      <c r="Y245" s="261" t="str">
        <f>IF(V245=1,V245+MAX($Y$5:Y244),"")</f>
        <v/>
      </c>
      <c r="Z245" s="261"/>
      <c r="AA245" s="259" t="str">
        <f>IF(ISTEXT(W245),IF(ISTEXT(Z245),Z245,'Datasource 2'!$M$14),"")</f>
        <v/>
      </c>
      <c r="AB245" s="261"/>
      <c r="AC245" s="261" t="str">
        <f t="shared" si="30"/>
        <v/>
      </c>
      <c r="AD245" s="261" t="str">
        <f t="shared" si="31"/>
        <v/>
      </c>
      <c r="AE245" s="262"/>
      <c r="AF245" s="379"/>
      <c r="AG245" s="379"/>
      <c r="AH245" s="388" t="e">
        <f>VLOOKUP(Risikovurdering_data!F243,Akseptkriterier!$C$33:$H$37,MATCH(Risikovurdering_data!G243,Akseptkriterier!$D$32:$H$32,0)+1,FALSE)</f>
        <v>#N/A</v>
      </c>
    </row>
    <row r="246" spans="1:34" ht="35.1" customHeight="1" thickBot="1" x14ac:dyDescent="0.4">
      <c r="A246" s="203">
        <f t="shared" ref="A246:A254" si="35">$B$245</f>
        <v>25</v>
      </c>
      <c r="B246" s="413"/>
      <c r="C246" s="383"/>
      <c r="D246" s="263"/>
      <c r="E246" s="380"/>
      <c r="F246" s="380"/>
      <c r="G246" s="377"/>
      <c r="H246" s="386"/>
      <c r="I246" s="406"/>
      <c r="J246" s="407"/>
      <c r="K246" s="407"/>
      <c r="L246" s="407"/>
      <c r="M246" s="407"/>
      <c r="N246" s="408"/>
      <c r="O246" s="264"/>
      <c r="P246" s="380"/>
      <c r="Q246" s="383"/>
      <c r="R246" s="380"/>
      <c r="S246" s="383"/>
      <c r="T246" s="380"/>
      <c r="U246" s="386"/>
      <c r="V246" s="265">
        <f t="shared" si="34"/>
        <v>0</v>
      </c>
      <c r="W246" s="266"/>
      <c r="X246" s="267" t="str">
        <f t="shared" si="29"/>
        <v/>
      </c>
      <c r="Y246" s="267" t="str">
        <f>IF(V246=1,V246+MAX($Y$5:Y245),"")</f>
        <v/>
      </c>
      <c r="Z246" s="267"/>
      <c r="AA246" s="265" t="str">
        <f>IF(ISTEXT(W246),IF(ISTEXT(Z246),Z246,'Datasource 2'!$M$14),"")</f>
        <v/>
      </c>
      <c r="AB246" s="261"/>
      <c r="AC246" s="261" t="str">
        <f t="shared" si="30"/>
        <v/>
      </c>
      <c r="AD246" s="261" t="str">
        <f t="shared" si="31"/>
        <v/>
      </c>
      <c r="AE246" s="262"/>
      <c r="AF246" s="380"/>
      <c r="AG246" s="380"/>
      <c r="AH246" s="389"/>
    </row>
    <row r="247" spans="1:34" ht="35.1" customHeight="1" thickBot="1" x14ac:dyDescent="0.4">
      <c r="A247" s="203">
        <f t="shared" si="35"/>
        <v>25</v>
      </c>
      <c r="B247" s="413"/>
      <c r="C247" s="383"/>
      <c r="D247" s="263"/>
      <c r="E247" s="380"/>
      <c r="F247" s="380"/>
      <c r="G247" s="377"/>
      <c r="H247" s="386"/>
      <c r="I247" s="406"/>
      <c r="J247" s="407"/>
      <c r="K247" s="407"/>
      <c r="L247" s="407"/>
      <c r="M247" s="407"/>
      <c r="N247" s="408"/>
      <c r="O247" s="264"/>
      <c r="P247" s="380"/>
      <c r="Q247" s="383"/>
      <c r="R247" s="380"/>
      <c r="S247" s="383"/>
      <c r="T247" s="380"/>
      <c r="U247" s="386"/>
      <c r="V247" s="265">
        <f t="shared" si="34"/>
        <v>0</v>
      </c>
      <c r="W247" s="266"/>
      <c r="X247" s="267" t="str">
        <f t="shared" si="29"/>
        <v/>
      </c>
      <c r="Y247" s="267" t="str">
        <f>IF(V247=1,V247+MAX($Y$5:Y246),"")</f>
        <v/>
      </c>
      <c r="Z247" s="267"/>
      <c r="AA247" s="265" t="str">
        <f>IF(ISTEXT(W247),IF(ISTEXT(Z247),Z247,'Datasource 2'!$M$14),"")</f>
        <v/>
      </c>
      <c r="AB247" s="261"/>
      <c r="AC247" s="261" t="str">
        <f t="shared" si="30"/>
        <v/>
      </c>
      <c r="AD247" s="261" t="str">
        <f t="shared" si="31"/>
        <v/>
      </c>
      <c r="AE247" s="262"/>
      <c r="AF247" s="380"/>
      <c r="AG247" s="380"/>
      <c r="AH247" s="389"/>
    </row>
    <row r="248" spans="1:34" ht="35.1" customHeight="1" thickBot="1" x14ac:dyDescent="0.4">
      <c r="A248" s="203">
        <f t="shared" si="35"/>
        <v>25</v>
      </c>
      <c r="B248" s="413"/>
      <c r="C248" s="383"/>
      <c r="D248" s="263"/>
      <c r="E248" s="380"/>
      <c r="F248" s="380"/>
      <c r="G248" s="377"/>
      <c r="H248" s="386"/>
      <c r="I248" s="406"/>
      <c r="J248" s="407"/>
      <c r="K248" s="407"/>
      <c r="L248" s="407"/>
      <c r="M248" s="407"/>
      <c r="N248" s="408"/>
      <c r="O248" s="264"/>
      <c r="P248" s="380"/>
      <c r="Q248" s="383"/>
      <c r="R248" s="380"/>
      <c r="S248" s="383"/>
      <c r="T248" s="380"/>
      <c r="U248" s="386"/>
      <c r="V248" s="265">
        <f t="shared" si="34"/>
        <v>0</v>
      </c>
      <c r="W248" s="266"/>
      <c r="X248" s="267" t="str">
        <f t="shared" si="29"/>
        <v/>
      </c>
      <c r="Y248" s="267" t="str">
        <f>IF(V248=1,V248+MAX($Y$5:Y247),"")</f>
        <v/>
      </c>
      <c r="Z248" s="267"/>
      <c r="AA248" s="265" t="str">
        <f>IF(ISTEXT(W248),IF(ISTEXT(Z248),Z248,'Datasource 2'!$M$14),"")</f>
        <v/>
      </c>
      <c r="AB248" s="261"/>
      <c r="AC248" s="261" t="str">
        <f t="shared" si="30"/>
        <v/>
      </c>
      <c r="AD248" s="261" t="str">
        <f t="shared" si="31"/>
        <v/>
      </c>
      <c r="AE248" s="262"/>
      <c r="AF248" s="380"/>
      <c r="AG248" s="380"/>
      <c r="AH248" s="389"/>
    </row>
    <row r="249" spans="1:34" ht="35.1" customHeight="1" thickBot="1" x14ac:dyDescent="0.4">
      <c r="A249" s="203">
        <f t="shared" si="35"/>
        <v>25</v>
      </c>
      <c r="B249" s="413"/>
      <c r="C249" s="383"/>
      <c r="D249" s="263"/>
      <c r="E249" s="380"/>
      <c r="F249" s="380"/>
      <c r="G249" s="377"/>
      <c r="H249" s="386"/>
      <c r="I249" s="406"/>
      <c r="J249" s="407"/>
      <c r="K249" s="407"/>
      <c r="L249" s="407"/>
      <c r="M249" s="407"/>
      <c r="N249" s="408"/>
      <c r="O249" s="264"/>
      <c r="P249" s="380"/>
      <c r="Q249" s="383"/>
      <c r="R249" s="380"/>
      <c r="S249" s="383"/>
      <c r="T249" s="380"/>
      <c r="U249" s="386"/>
      <c r="V249" s="265">
        <f t="shared" si="34"/>
        <v>0</v>
      </c>
      <c r="W249" s="266"/>
      <c r="X249" s="267" t="str">
        <f t="shared" si="29"/>
        <v/>
      </c>
      <c r="Y249" s="267" t="str">
        <f>IF(V249=1,V249+MAX($Y$5:Y248),"")</f>
        <v/>
      </c>
      <c r="Z249" s="267"/>
      <c r="AA249" s="265" t="str">
        <f>IF(ISTEXT(W249),IF(ISTEXT(Z249),Z249,'Datasource 2'!$M$14),"")</f>
        <v/>
      </c>
      <c r="AB249" s="261"/>
      <c r="AC249" s="261" t="str">
        <f t="shared" si="30"/>
        <v/>
      </c>
      <c r="AD249" s="261" t="str">
        <f t="shared" si="31"/>
        <v/>
      </c>
      <c r="AE249" s="262"/>
      <c r="AF249" s="380"/>
      <c r="AG249" s="380"/>
      <c r="AH249" s="389"/>
    </row>
    <row r="250" spans="1:34" ht="35.1" customHeight="1" thickBot="1" x14ac:dyDescent="0.4">
      <c r="A250" s="203">
        <f t="shared" si="35"/>
        <v>25</v>
      </c>
      <c r="B250" s="413"/>
      <c r="C250" s="383"/>
      <c r="D250" s="263"/>
      <c r="E250" s="380"/>
      <c r="F250" s="380"/>
      <c r="G250" s="377"/>
      <c r="H250" s="386"/>
      <c r="I250" s="406"/>
      <c r="J250" s="407"/>
      <c r="K250" s="407"/>
      <c r="L250" s="407"/>
      <c r="M250" s="407"/>
      <c r="N250" s="408"/>
      <c r="O250" s="264"/>
      <c r="P250" s="380"/>
      <c r="Q250" s="383"/>
      <c r="R250" s="380"/>
      <c r="S250" s="383"/>
      <c r="T250" s="380"/>
      <c r="U250" s="386"/>
      <c r="V250" s="265">
        <f t="shared" si="34"/>
        <v>0</v>
      </c>
      <c r="W250" s="266"/>
      <c r="X250" s="267" t="str">
        <f t="shared" si="29"/>
        <v/>
      </c>
      <c r="Y250" s="267" t="str">
        <f>IF(V250=1,V250+MAX($Y$5:Y249),"")</f>
        <v/>
      </c>
      <c r="Z250" s="267"/>
      <c r="AA250" s="265" t="str">
        <f>IF(ISTEXT(W250),IF(ISTEXT(Z250),Z250,'Datasource 2'!$M$14),"")</f>
        <v/>
      </c>
      <c r="AB250" s="261"/>
      <c r="AC250" s="261" t="str">
        <f t="shared" si="30"/>
        <v/>
      </c>
      <c r="AD250" s="261" t="str">
        <f t="shared" si="31"/>
        <v/>
      </c>
      <c r="AE250" s="262"/>
      <c r="AF250" s="380"/>
      <c r="AG250" s="380"/>
      <c r="AH250" s="389"/>
    </row>
    <row r="251" spans="1:34" ht="35.1" customHeight="1" thickBot="1" x14ac:dyDescent="0.4">
      <c r="A251" s="203">
        <f t="shared" si="35"/>
        <v>25</v>
      </c>
      <c r="B251" s="413"/>
      <c r="C251" s="383"/>
      <c r="D251" s="263"/>
      <c r="E251" s="380"/>
      <c r="F251" s="380"/>
      <c r="G251" s="377"/>
      <c r="H251" s="386"/>
      <c r="I251" s="406"/>
      <c r="J251" s="407"/>
      <c r="K251" s="407"/>
      <c r="L251" s="407"/>
      <c r="M251" s="407"/>
      <c r="N251" s="408"/>
      <c r="O251" s="264"/>
      <c r="P251" s="380"/>
      <c r="Q251" s="383"/>
      <c r="R251" s="380"/>
      <c r="S251" s="383"/>
      <c r="T251" s="380"/>
      <c r="U251" s="386"/>
      <c r="V251" s="265">
        <f t="shared" si="34"/>
        <v>0</v>
      </c>
      <c r="W251" s="266"/>
      <c r="X251" s="267" t="str">
        <f t="shared" si="29"/>
        <v/>
      </c>
      <c r="Y251" s="267" t="str">
        <f>IF(V251=1,V251+MAX($Y$5:Y250),"")</f>
        <v/>
      </c>
      <c r="Z251" s="267"/>
      <c r="AA251" s="265" t="str">
        <f>IF(ISTEXT(W251),IF(ISTEXT(Z251),Z251,'Datasource 2'!$M$14),"")</f>
        <v/>
      </c>
      <c r="AB251" s="261"/>
      <c r="AC251" s="261" t="str">
        <f t="shared" si="30"/>
        <v/>
      </c>
      <c r="AD251" s="261" t="str">
        <f t="shared" si="31"/>
        <v/>
      </c>
      <c r="AE251" s="262"/>
      <c r="AF251" s="380"/>
      <c r="AG251" s="380"/>
      <c r="AH251" s="389"/>
    </row>
    <row r="252" spans="1:34" ht="35.1" customHeight="1" thickBot="1" x14ac:dyDescent="0.4">
      <c r="A252" s="203">
        <f t="shared" si="35"/>
        <v>25</v>
      </c>
      <c r="B252" s="413"/>
      <c r="C252" s="383"/>
      <c r="D252" s="263"/>
      <c r="E252" s="380"/>
      <c r="F252" s="380"/>
      <c r="G252" s="377"/>
      <c r="H252" s="386"/>
      <c r="I252" s="406"/>
      <c r="J252" s="407"/>
      <c r="K252" s="407"/>
      <c r="L252" s="407"/>
      <c r="M252" s="407"/>
      <c r="N252" s="408"/>
      <c r="O252" s="264"/>
      <c r="P252" s="380"/>
      <c r="Q252" s="383"/>
      <c r="R252" s="380"/>
      <c r="S252" s="383"/>
      <c r="T252" s="380"/>
      <c r="U252" s="386"/>
      <c r="V252" s="265">
        <f t="shared" si="34"/>
        <v>0</v>
      </c>
      <c r="W252" s="266"/>
      <c r="X252" s="267" t="str">
        <f t="shared" si="29"/>
        <v/>
      </c>
      <c r="Y252" s="267" t="str">
        <f>IF(V252=1,V252+MAX($Y$5:Y251),"")</f>
        <v/>
      </c>
      <c r="Z252" s="267"/>
      <c r="AA252" s="265" t="str">
        <f>IF(ISTEXT(W252),IF(ISTEXT(Z252),Z252,'Datasource 2'!$M$14),"")</f>
        <v/>
      </c>
      <c r="AB252" s="261"/>
      <c r="AC252" s="261" t="str">
        <f t="shared" si="30"/>
        <v/>
      </c>
      <c r="AD252" s="261" t="str">
        <f t="shared" si="31"/>
        <v/>
      </c>
      <c r="AE252" s="262"/>
      <c r="AF252" s="380"/>
      <c r="AG252" s="380"/>
      <c r="AH252" s="389"/>
    </row>
    <row r="253" spans="1:34" ht="35.1" customHeight="1" thickBot="1" x14ac:dyDescent="0.4">
      <c r="A253" s="203">
        <f t="shared" si="35"/>
        <v>25</v>
      </c>
      <c r="B253" s="413"/>
      <c r="C253" s="383"/>
      <c r="D253" s="263"/>
      <c r="E253" s="380"/>
      <c r="F253" s="380"/>
      <c r="G253" s="377"/>
      <c r="H253" s="386"/>
      <c r="I253" s="406"/>
      <c r="J253" s="407"/>
      <c r="K253" s="407"/>
      <c r="L253" s="407"/>
      <c r="M253" s="407"/>
      <c r="N253" s="408"/>
      <c r="O253" s="264"/>
      <c r="P253" s="380"/>
      <c r="Q253" s="383"/>
      <c r="R253" s="380"/>
      <c r="S253" s="383"/>
      <c r="T253" s="380"/>
      <c r="U253" s="386"/>
      <c r="V253" s="265">
        <f t="shared" si="34"/>
        <v>0</v>
      </c>
      <c r="W253" s="266"/>
      <c r="X253" s="267" t="str">
        <f t="shared" si="29"/>
        <v/>
      </c>
      <c r="Y253" s="267" t="str">
        <f>IF(V253=1,V253+MAX($Y$5:Y252),"")</f>
        <v/>
      </c>
      <c r="Z253" s="267"/>
      <c r="AA253" s="265" t="str">
        <f>IF(ISTEXT(W253),IF(ISTEXT(Z253),Z253,'Datasource 2'!$M$14),"")</f>
        <v/>
      </c>
      <c r="AB253" s="261"/>
      <c r="AC253" s="261" t="str">
        <f t="shared" si="30"/>
        <v/>
      </c>
      <c r="AD253" s="261" t="str">
        <f t="shared" si="31"/>
        <v/>
      </c>
      <c r="AE253" s="262"/>
      <c r="AF253" s="380"/>
      <c r="AG253" s="380"/>
      <c r="AH253" s="389"/>
    </row>
    <row r="254" spans="1:34" ht="35.1" customHeight="1" thickBot="1" x14ac:dyDescent="0.4">
      <c r="A254" s="203">
        <f t="shared" si="35"/>
        <v>25</v>
      </c>
      <c r="B254" s="414"/>
      <c r="C254" s="384"/>
      <c r="D254" s="268"/>
      <c r="E254" s="381"/>
      <c r="F254" s="381"/>
      <c r="G254" s="378"/>
      <c r="H254" s="387"/>
      <c r="I254" s="409"/>
      <c r="J254" s="410"/>
      <c r="K254" s="410"/>
      <c r="L254" s="410"/>
      <c r="M254" s="410"/>
      <c r="N254" s="411"/>
      <c r="O254" s="269"/>
      <c r="P254" s="381"/>
      <c r="Q254" s="384"/>
      <c r="R254" s="381"/>
      <c r="S254" s="384"/>
      <c r="T254" s="381"/>
      <c r="U254" s="387"/>
      <c r="V254" s="270">
        <f t="shared" si="34"/>
        <v>0</v>
      </c>
      <c r="W254" s="271"/>
      <c r="X254" s="272" t="str">
        <f t="shared" si="29"/>
        <v/>
      </c>
      <c r="Y254" s="272" t="str">
        <f>IF(V254=1,V254+MAX($Y$5:Y253),"")</f>
        <v/>
      </c>
      <c r="Z254" s="272"/>
      <c r="AA254" s="270" t="str">
        <f>IF(ISTEXT(W254),IF(ISTEXT(Z254),Z254,'Datasource 2'!$M$14),"")</f>
        <v/>
      </c>
      <c r="AB254" s="273"/>
      <c r="AC254" s="261" t="str">
        <f t="shared" si="30"/>
        <v/>
      </c>
      <c r="AD254" s="261" t="str">
        <f t="shared" si="31"/>
        <v/>
      </c>
      <c r="AE254" s="274"/>
      <c r="AF254" s="381"/>
      <c r="AG254" s="381"/>
      <c r="AH254" s="390"/>
    </row>
    <row r="255" spans="1:34" ht="35.1" customHeight="1" thickBot="1" x14ac:dyDescent="0.4">
      <c r="A255" s="209">
        <v>26</v>
      </c>
      <c r="B255" s="391">
        <v>26</v>
      </c>
      <c r="C255" s="364"/>
      <c r="D255" s="323"/>
      <c r="E255" s="361"/>
      <c r="F255" s="361"/>
      <c r="G255" s="373"/>
      <c r="H255" s="367" t="e">
        <f>IF(VLOOKUP(G255,Trusselvurdering!$B$3:$P$28,15,FALSE)=0,VLOOKUP(G255,Trusselvurdering!$B$3:$P$28,14,FALSE),VLOOKUP(G255,Trusselvurdering!$B$3:$P$28,15,FALSE))</f>
        <v>#N/A</v>
      </c>
      <c r="I255" s="394"/>
      <c r="J255" s="395"/>
      <c r="K255" s="395"/>
      <c r="L255" s="395"/>
      <c r="M255" s="395"/>
      <c r="N255" s="396"/>
      <c r="O255" s="324"/>
      <c r="P255" s="361"/>
      <c r="Q255" s="364"/>
      <c r="R255" s="361"/>
      <c r="S255" s="364"/>
      <c r="T255" s="361"/>
      <c r="U255" s="367" t="e">
        <f>VLOOKUP(Risikovurdering_data!C253,Akseptkriterier!$C$33:$H$37,MATCH(Risikovurdering_data!D253,Akseptkriterier!$D$32:$H$32,0)+1,FALSE)</f>
        <v>#N/A</v>
      </c>
      <c r="V255" s="325">
        <f t="shared" si="34"/>
        <v>0</v>
      </c>
      <c r="W255" s="326"/>
      <c r="X255" s="327" t="str">
        <f t="shared" si="29"/>
        <v/>
      </c>
      <c r="Y255" s="327" t="str">
        <f>IF(V255=1,V255+MAX($Y$5:Y254),"")</f>
        <v/>
      </c>
      <c r="Z255" s="327"/>
      <c r="AA255" s="325" t="str">
        <f>IF(ISTEXT(W255),IF(ISTEXT(Z255),Z255,'Datasource 2'!$M$14),"")</f>
        <v/>
      </c>
      <c r="AB255" s="328"/>
      <c r="AC255" s="328" t="str">
        <f t="shared" si="30"/>
        <v/>
      </c>
      <c r="AD255" s="328" t="str">
        <f t="shared" si="31"/>
        <v/>
      </c>
      <c r="AE255" s="329"/>
      <c r="AF255" s="361"/>
      <c r="AG255" s="361"/>
      <c r="AH255" s="370" t="e">
        <f>VLOOKUP(Risikovurdering_data!F253,Akseptkriterier!$C$33:$H$37,MATCH(Risikovurdering_data!G253,Akseptkriterier!$D$32:$H$32,0)+1,FALSE)</f>
        <v>#N/A</v>
      </c>
    </row>
    <row r="256" spans="1:34" ht="35.1" customHeight="1" thickBot="1" x14ac:dyDescent="0.4">
      <c r="A256" s="210">
        <v>26</v>
      </c>
      <c r="B256" s="392"/>
      <c r="C256" s="365"/>
      <c r="D256" s="330"/>
      <c r="E256" s="362"/>
      <c r="F256" s="362"/>
      <c r="G256" s="374"/>
      <c r="H256" s="368"/>
      <c r="I256" s="397"/>
      <c r="J256" s="398"/>
      <c r="K256" s="398"/>
      <c r="L256" s="398"/>
      <c r="M256" s="398"/>
      <c r="N256" s="399"/>
      <c r="O256" s="331"/>
      <c r="P256" s="362"/>
      <c r="Q256" s="365"/>
      <c r="R256" s="362"/>
      <c r="S256" s="365"/>
      <c r="T256" s="362"/>
      <c r="U256" s="368"/>
      <c r="V256" s="332">
        <f t="shared" si="34"/>
        <v>0</v>
      </c>
      <c r="W256" s="333"/>
      <c r="X256" s="334" t="str">
        <f t="shared" si="29"/>
        <v/>
      </c>
      <c r="Y256" s="334" t="str">
        <f>IF(V256=1,V256+MAX($Y$5:Y255),"")</f>
        <v/>
      </c>
      <c r="Z256" s="334"/>
      <c r="AA256" s="332" t="str">
        <f>IF(ISTEXT(W256),IF(ISTEXT(Z256),Z256,'Datasource 2'!$M$14),"")</f>
        <v/>
      </c>
      <c r="AB256" s="328"/>
      <c r="AC256" s="328" t="str">
        <f t="shared" si="30"/>
        <v/>
      </c>
      <c r="AD256" s="328" t="str">
        <f t="shared" si="31"/>
        <v/>
      </c>
      <c r="AE256" s="329"/>
      <c r="AF256" s="362"/>
      <c r="AG256" s="362"/>
      <c r="AH256" s="371"/>
    </row>
    <row r="257" spans="1:34" ht="35.1" customHeight="1" thickBot="1" x14ac:dyDescent="0.4">
      <c r="A257" s="210">
        <v>26</v>
      </c>
      <c r="B257" s="392"/>
      <c r="C257" s="365"/>
      <c r="D257" s="330"/>
      <c r="E257" s="362"/>
      <c r="F257" s="362"/>
      <c r="G257" s="374"/>
      <c r="H257" s="368"/>
      <c r="I257" s="397"/>
      <c r="J257" s="398"/>
      <c r="K257" s="398"/>
      <c r="L257" s="398"/>
      <c r="M257" s="398"/>
      <c r="N257" s="399"/>
      <c r="O257" s="331"/>
      <c r="P257" s="362"/>
      <c r="Q257" s="365"/>
      <c r="R257" s="362"/>
      <c r="S257" s="365"/>
      <c r="T257" s="362"/>
      <c r="U257" s="368"/>
      <c r="V257" s="332">
        <f t="shared" si="34"/>
        <v>0</v>
      </c>
      <c r="W257" s="333"/>
      <c r="X257" s="334" t="str">
        <f t="shared" si="29"/>
        <v/>
      </c>
      <c r="Y257" s="334" t="str">
        <f>IF(V257=1,V257+MAX($Y$5:Y256),"")</f>
        <v/>
      </c>
      <c r="Z257" s="334"/>
      <c r="AA257" s="332" t="str">
        <f>IF(ISTEXT(W257),IF(ISTEXT(Z257),Z257,'Datasource 2'!$M$14),"")</f>
        <v/>
      </c>
      <c r="AB257" s="328"/>
      <c r="AC257" s="328" t="str">
        <f t="shared" si="30"/>
        <v/>
      </c>
      <c r="AD257" s="328" t="str">
        <f t="shared" si="31"/>
        <v/>
      </c>
      <c r="AE257" s="329"/>
      <c r="AF257" s="362"/>
      <c r="AG257" s="362"/>
      <c r="AH257" s="371"/>
    </row>
    <row r="258" spans="1:34" ht="35.1" customHeight="1" thickBot="1" x14ac:dyDescent="0.4">
      <c r="A258" s="210">
        <v>26</v>
      </c>
      <c r="B258" s="392"/>
      <c r="C258" s="365"/>
      <c r="D258" s="330"/>
      <c r="E258" s="362"/>
      <c r="F258" s="362"/>
      <c r="G258" s="374"/>
      <c r="H258" s="368"/>
      <c r="I258" s="397"/>
      <c r="J258" s="398"/>
      <c r="K258" s="398"/>
      <c r="L258" s="398"/>
      <c r="M258" s="398"/>
      <c r="N258" s="399"/>
      <c r="O258" s="331"/>
      <c r="P258" s="362"/>
      <c r="Q258" s="365"/>
      <c r="R258" s="362"/>
      <c r="S258" s="365"/>
      <c r="T258" s="362"/>
      <c r="U258" s="368"/>
      <c r="V258" s="332">
        <f t="shared" si="34"/>
        <v>0</v>
      </c>
      <c r="W258" s="333"/>
      <c r="X258" s="334" t="str">
        <f t="shared" si="29"/>
        <v/>
      </c>
      <c r="Y258" s="334" t="str">
        <f>IF(V258=1,V258+MAX($Y$5:Y257),"")</f>
        <v/>
      </c>
      <c r="Z258" s="334"/>
      <c r="AA258" s="332" t="str">
        <f>IF(ISTEXT(W258),IF(ISTEXT(Z258),Z258,'Datasource 2'!$M$14),"")</f>
        <v/>
      </c>
      <c r="AB258" s="328"/>
      <c r="AC258" s="328" t="str">
        <f t="shared" si="30"/>
        <v/>
      </c>
      <c r="AD258" s="328" t="str">
        <f t="shared" si="31"/>
        <v/>
      </c>
      <c r="AE258" s="329"/>
      <c r="AF258" s="362"/>
      <c r="AG258" s="362"/>
      <c r="AH258" s="371"/>
    </row>
    <row r="259" spans="1:34" ht="35.1" customHeight="1" thickBot="1" x14ac:dyDescent="0.4">
      <c r="A259" s="210">
        <v>26</v>
      </c>
      <c r="B259" s="392"/>
      <c r="C259" s="365"/>
      <c r="D259" s="330"/>
      <c r="E259" s="362"/>
      <c r="F259" s="362"/>
      <c r="G259" s="374"/>
      <c r="H259" s="368"/>
      <c r="I259" s="397"/>
      <c r="J259" s="398"/>
      <c r="K259" s="398"/>
      <c r="L259" s="398"/>
      <c r="M259" s="398"/>
      <c r="N259" s="399"/>
      <c r="O259" s="331"/>
      <c r="P259" s="362"/>
      <c r="Q259" s="365"/>
      <c r="R259" s="362"/>
      <c r="S259" s="365"/>
      <c r="T259" s="362"/>
      <c r="U259" s="368"/>
      <c r="V259" s="332">
        <f t="shared" si="34"/>
        <v>0</v>
      </c>
      <c r="W259" s="333"/>
      <c r="X259" s="334" t="str">
        <f t="shared" si="29"/>
        <v/>
      </c>
      <c r="Y259" s="334" t="str">
        <f>IF(V259=1,V259+MAX($Y$5:Y258),"")</f>
        <v/>
      </c>
      <c r="Z259" s="334"/>
      <c r="AA259" s="332" t="str">
        <f>IF(ISTEXT(W259),IF(ISTEXT(Z259),Z259,'Datasource 2'!$M$14),"")</f>
        <v/>
      </c>
      <c r="AB259" s="328"/>
      <c r="AC259" s="328" t="str">
        <f t="shared" si="30"/>
        <v/>
      </c>
      <c r="AD259" s="328" t="str">
        <f t="shared" si="31"/>
        <v/>
      </c>
      <c r="AE259" s="329"/>
      <c r="AF259" s="362"/>
      <c r="AG259" s="362"/>
      <c r="AH259" s="371"/>
    </row>
    <row r="260" spans="1:34" ht="35.1" customHeight="1" thickBot="1" x14ac:dyDescent="0.4">
      <c r="A260" s="210">
        <v>26</v>
      </c>
      <c r="B260" s="392"/>
      <c r="C260" s="365"/>
      <c r="D260" s="330"/>
      <c r="E260" s="362"/>
      <c r="F260" s="362"/>
      <c r="G260" s="374"/>
      <c r="H260" s="368"/>
      <c r="I260" s="397"/>
      <c r="J260" s="398"/>
      <c r="K260" s="398"/>
      <c r="L260" s="398"/>
      <c r="M260" s="398"/>
      <c r="N260" s="399"/>
      <c r="O260" s="331"/>
      <c r="P260" s="362"/>
      <c r="Q260" s="365"/>
      <c r="R260" s="362"/>
      <c r="S260" s="365"/>
      <c r="T260" s="362"/>
      <c r="U260" s="368"/>
      <c r="V260" s="332">
        <f t="shared" si="34"/>
        <v>0</v>
      </c>
      <c r="W260" s="333"/>
      <c r="X260" s="334" t="str">
        <f t="shared" si="29"/>
        <v/>
      </c>
      <c r="Y260" s="334" t="str">
        <f>IF(V260=1,V260+MAX($Y$5:Y259),"")</f>
        <v/>
      </c>
      <c r="Z260" s="334"/>
      <c r="AA260" s="332" t="str">
        <f>IF(ISTEXT(W260),IF(ISTEXT(Z260),Z260,'Datasource 2'!$M$14),"")</f>
        <v/>
      </c>
      <c r="AB260" s="328"/>
      <c r="AC260" s="328" t="str">
        <f t="shared" si="30"/>
        <v/>
      </c>
      <c r="AD260" s="328" t="str">
        <f t="shared" si="31"/>
        <v/>
      </c>
      <c r="AE260" s="329"/>
      <c r="AF260" s="362"/>
      <c r="AG260" s="362"/>
      <c r="AH260" s="371"/>
    </row>
    <row r="261" spans="1:34" ht="35.1" customHeight="1" thickBot="1" x14ac:dyDescent="0.4">
      <c r="A261" s="210">
        <v>26</v>
      </c>
      <c r="B261" s="392"/>
      <c r="C261" s="365"/>
      <c r="D261" s="330"/>
      <c r="E261" s="362"/>
      <c r="F261" s="362"/>
      <c r="G261" s="374"/>
      <c r="H261" s="368"/>
      <c r="I261" s="397"/>
      <c r="J261" s="398"/>
      <c r="K261" s="398"/>
      <c r="L261" s="398"/>
      <c r="M261" s="398"/>
      <c r="N261" s="399"/>
      <c r="O261" s="331"/>
      <c r="P261" s="362"/>
      <c r="Q261" s="365"/>
      <c r="R261" s="362"/>
      <c r="S261" s="365"/>
      <c r="T261" s="362"/>
      <c r="U261" s="368"/>
      <c r="V261" s="332">
        <f t="shared" si="34"/>
        <v>0</v>
      </c>
      <c r="W261" s="333"/>
      <c r="X261" s="334" t="str">
        <f t="shared" ref="X261:X324" si="36">IF(W261="","",A261)</f>
        <v/>
      </c>
      <c r="Y261" s="334" t="str">
        <f>IF(V261=1,V261+MAX($Y$5:Y260),"")</f>
        <v/>
      </c>
      <c r="Z261" s="334"/>
      <c r="AA261" s="332" t="str">
        <f>IF(ISTEXT(W261),IF(ISTEXT(Z261),Z261,'Datasource 2'!$M$14),"")</f>
        <v/>
      </c>
      <c r="AB261" s="328"/>
      <c r="AC261" s="328" t="str">
        <f t="shared" si="30"/>
        <v/>
      </c>
      <c r="AD261" s="328" t="str">
        <f t="shared" si="31"/>
        <v/>
      </c>
      <c r="AE261" s="329"/>
      <c r="AF261" s="362"/>
      <c r="AG261" s="362"/>
      <c r="AH261" s="371"/>
    </row>
    <row r="262" spans="1:34" ht="35.1" customHeight="1" thickBot="1" x14ac:dyDescent="0.4">
      <c r="A262" s="210">
        <v>26</v>
      </c>
      <c r="B262" s="392"/>
      <c r="C262" s="365"/>
      <c r="D262" s="330"/>
      <c r="E262" s="362"/>
      <c r="F262" s="362"/>
      <c r="G262" s="374"/>
      <c r="H262" s="368"/>
      <c r="I262" s="397"/>
      <c r="J262" s="398"/>
      <c r="K262" s="398"/>
      <c r="L262" s="398"/>
      <c r="M262" s="398"/>
      <c r="N262" s="399"/>
      <c r="O262" s="331"/>
      <c r="P262" s="362"/>
      <c r="Q262" s="365"/>
      <c r="R262" s="362"/>
      <c r="S262" s="365"/>
      <c r="T262" s="362"/>
      <c r="U262" s="368"/>
      <c r="V262" s="332">
        <f t="shared" si="34"/>
        <v>0</v>
      </c>
      <c r="W262" s="333"/>
      <c r="X262" s="334" t="str">
        <f t="shared" si="36"/>
        <v/>
      </c>
      <c r="Y262" s="334" t="str">
        <f>IF(V262=1,V262+MAX($Y$5:Y261),"")</f>
        <v/>
      </c>
      <c r="Z262" s="334"/>
      <c r="AA262" s="332" t="str">
        <f>IF(ISTEXT(W262),IF(ISTEXT(Z262),Z262,'Datasource 2'!$M$14),"")</f>
        <v/>
      </c>
      <c r="AB262" s="328"/>
      <c r="AC262" s="328" t="str">
        <f t="shared" ref="AC262:AC325" si="37">IF(ISTEXT(W262),IF(ISTEXT(AB262),AB262,"Ikke angitt"),"")</f>
        <v/>
      </c>
      <c r="AD262" s="328" t="str">
        <f t="shared" ref="AD262:AD325" si="38">IF(ISTEXT(W262),IF(ISBLANK(AE262),"Ikke angitt", AE262),"")</f>
        <v/>
      </c>
      <c r="AE262" s="329"/>
      <c r="AF262" s="362"/>
      <c r="AG262" s="362"/>
      <c r="AH262" s="371"/>
    </row>
    <row r="263" spans="1:34" ht="35.1" customHeight="1" thickBot="1" x14ac:dyDescent="0.4">
      <c r="A263" s="210">
        <v>26</v>
      </c>
      <c r="B263" s="392"/>
      <c r="C263" s="365"/>
      <c r="D263" s="330"/>
      <c r="E263" s="362"/>
      <c r="F263" s="362"/>
      <c r="G263" s="374"/>
      <c r="H263" s="368"/>
      <c r="I263" s="397"/>
      <c r="J263" s="398"/>
      <c r="K263" s="398"/>
      <c r="L263" s="398"/>
      <c r="M263" s="398"/>
      <c r="N263" s="399"/>
      <c r="O263" s="331"/>
      <c r="P263" s="362"/>
      <c r="Q263" s="365"/>
      <c r="R263" s="362"/>
      <c r="S263" s="365"/>
      <c r="T263" s="362"/>
      <c r="U263" s="368"/>
      <c r="V263" s="332">
        <f t="shared" si="34"/>
        <v>0</v>
      </c>
      <c r="W263" s="333"/>
      <c r="X263" s="334" t="str">
        <f t="shared" si="36"/>
        <v/>
      </c>
      <c r="Y263" s="334" t="str">
        <f>IF(V263=1,V263+MAX($Y$5:Y262),"")</f>
        <v/>
      </c>
      <c r="Z263" s="334"/>
      <c r="AA263" s="332" t="str">
        <f>IF(ISTEXT(W263),IF(ISTEXT(Z263),Z263,'Datasource 2'!$M$14),"")</f>
        <v/>
      </c>
      <c r="AB263" s="328"/>
      <c r="AC263" s="328" t="str">
        <f t="shared" si="37"/>
        <v/>
      </c>
      <c r="AD263" s="328" t="str">
        <f t="shared" si="38"/>
        <v/>
      </c>
      <c r="AE263" s="329"/>
      <c r="AF263" s="362"/>
      <c r="AG263" s="362"/>
      <c r="AH263" s="371"/>
    </row>
    <row r="264" spans="1:34" ht="35.1" customHeight="1" thickBot="1" x14ac:dyDescent="0.4">
      <c r="A264" s="210">
        <v>26</v>
      </c>
      <c r="B264" s="393"/>
      <c r="C264" s="366"/>
      <c r="D264" s="335"/>
      <c r="E264" s="363"/>
      <c r="F264" s="363"/>
      <c r="G264" s="375"/>
      <c r="H264" s="369"/>
      <c r="I264" s="400"/>
      <c r="J264" s="401"/>
      <c r="K264" s="401"/>
      <c r="L264" s="401"/>
      <c r="M264" s="401"/>
      <c r="N264" s="402"/>
      <c r="O264" s="336"/>
      <c r="P264" s="363"/>
      <c r="Q264" s="366"/>
      <c r="R264" s="363"/>
      <c r="S264" s="366"/>
      <c r="T264" s="363"/>
      <c r="U264" s="369"/>
      <c r="V264" s="337">
        <f t="shared" si="34"/>
        <v>0</v>
      </c>
      <c r="W264" s="338"/>
      <c r="X264" s="339" t="str">
        <f t="shared" si="36"/>
        <v/>
      </c>
      <c r="Y264" s="339" t="str">
        <f>IF(V264=1,V264+MAX($Y$5:Y263),"")</f>
        <v/>
      </c>
      <c r="Z264" s="339"/>
      <c r="AA264" s="337" t="str">
        <f>IF(ISTEXT(W264),IF(ISTEXT(Z264),Z264,'Datasource 2'!$M$14),"")</f>
        <v/>
      </c>
      <c r="AB264" s="339"/>
      <c r="AC264" s="328" t="str">
        <f t="shared" si="37"/>
        <v/>
      </c>
      <c r="AD264" s="328" t="str">
        <f t="shared" si="38"/>
        <v/>
      </c>
      <c r="AE264" s="340"/>
      <c r="AF264" s="363"/>
      <c r="AG264" s="363"/>
      <c r="AH264" s="372"/>
    </row>
    <row r="265" spans="1:34" ht="35.1" customHeight="1" thickBot="1" x14ac:dyDescent="0.4">
      <c r="A265" s="211">
        <v>27</v>
      </c>
      <c r="B265" s="412">
        <v>27</v>
      </c>
      <c r="C265" s="382"/>
      <c r="D265" s="257"/>
      <c r="E265" s="379"/>
      <c r="F265" s="379"/>
      <c r="G265" s="376"/>
      <c r="H265" s="385" t="e">
        <f>IF(VLOOKUP(G265,Trusselvurdering!$B$3:$P$28,15,FALSE)=0,VLOOKUP(G265,Trusselvurdering!$B$3:$P$28,14,FALSE),VLOOKUP(G265,Trusselvurdering!$B$3:$P$28,15,FALSE))</f>
        <v>#N/A</v>
      </c>
      <c r="I265" s="403"/>
      <c r="J265" s="404"/>
      <c r="K265" s="404"/>
      <c r="L265" s="404"/>
      <c r="M265" s="404"/>
      <c r="N265" s="405"/>
      <c r="O265" s="258"/>
      <c r="P265" s="379"/>
      <c r="Q265" s="382"/>
      <c r="R265" s="379"/>
      <c r="S265" s="382"/>
      <c r="T265" s="379"/>
      <c r="U265" s="385" t="e">
        <f>VLOOKUP(Risikovurdering_data!C263,Akseptkriterier!$C$33:$H$37,MATCH(Risikovurdering_data!D263,Akseptkriterier!$D$32:$H$32,0)+1,FALSE)</f>
        <v>#N/A</v>
      </c>
      <c r="V265" s="259">
        <f t="shared" si="34"/>
        <v>0</v>
      </c>
      <c r="W265" s="260"/>
      <c r="X265" s="261" t="str">
        <f t="shared" si="36"/>
        <v/>
      </c>
      <c r="Y265" s="261" t="str">
        <f>IF(V265=1,V265+MAX($Y$5:Y264),"")</f>
        <v/>
      </c>
      <c r="Z265" s="261"/>
      <c r="AA265" s="259" t="str">
        <f>IF(ISTEXT(W265),IF(ISTEXT(Z265),Z265,'Datasource 2'!$M$14),"")</f>
        <v/>
      </c>
      <c r="AB265" s="261"/>
      <c r="AC265" s="261" t="str">
        <f t="shared" si="37"/>
        <v/>
      </c>
      <c r="AD265" s="261" t="str">
        <f t="shared" si="38"/>
        <v/>
      </c>
      <c r="AE265" s="262"/>
      <c r="AF265" s="379"/>
      <c r="AG265" s="379"/>
      <c r="AH265" s="388" t="e">
        <f>VLOOKUP(Risikovurdering_data!F263,Akseptkriterier!$C$33:$H$37,MATCH(Risikovurdering_data!G263,Akseptkriterier!$D$32:$H$32,0)+1,FALSE)</f>
        <v>#N/A</v>
      </c>
    </row>
    <row r="266" spans="1:34" ht="35.1" customHeight="1" thickBot="1" x14ac:dyDescent="0.4">
      <c r="A266" s="212">
        <v>27</v>
      </c>
      <c r="B266" s="413"/>
      <c r="C266" s="383"/>
      <c r="D266" s="263"/>
      <c r="E266" s="380"/>
      <c r="F266" s="380"/>
      <c r="G266" s="377"/>
      <c r="H266" s="386"/>
      <c r="I266" s="406"/>
      <c r="J266" s="407"/>
      <c r="K266" s="407"/>
      <c r="L266" s="407"/>
      <c r="M266" s="407"/>
      <c r="N266" s="408"/>
      <c r="O266" s="264"/>
      <c r="P266" s="380"/>
      <c r="Q266" s="383"/>
      <c r="R266" s="380"/>
      <c r="S266" s="383"/>
      <c r="T266" s="380"/>
      <c r="U266" s="386"/>
      <c r="V266" s="265">
        <f t="shared" si="34"/>
        <v>0</v>
      </c>
      <c r="W266" s="266"/>
      <c r="X266" s="267" t="str">
        <f t="shared" si="36"/>
        <v/>
      </c>
      <c r="Y266" s="267" t="str">
        <f>IF(V266=1,V266+MAX($Y$5:Y265),"")</f>
        <v/>
      </c>
      <c r="Z266" s="267"/>
      <c r="AA266" s="265" t="str">
        <f>IF(ISTEXT(W266),IF(ISTEXT(Z266),Z266,'Datasource 2'!$M$14),"")</f>
        <v/>
      </c>
      <c r="AB266" s="261"/>
      <c r="AC266" s="261" t="str">
        <f t="shared" si="37"/>
        <v/>
      </c>
      <c r="AD266" s="261" t="str">
        <f t="shared" si="38"/>
        <v/>
      </c>
      <c r="AE266" s="262"/>
      <c r="AF266" s="380"/>
      <c r="AG266" s="380"/>
      <c r="AH266" s="389"/>
    </row>
    <row r="267" spans="1:34" ht="35.1" customHeight="1" thickBot="1" x14ac:dyDescent="0.4">
      <c r="A267" s="212">
        <v>27</v>
      </c>
      <c r="B267" s="413"/>
      <c r="C267" s="383"/>
      <c r="D267" s="263"/>
      <c r="E267" s="380"/>
      <c r="F267" s="380"/>
      <c r="G267" s="377"/>
      <c r="H267" s="386"/>
      <c r="I267" s="406"/>
      <c r="J267" s="407"/>
      <c r="K267" s="407"/>
      <c r="L267" s="407"/>
      <c r="M267" s="407"/>
      <c r="N267" s="408"/>
      <c r="O267" s="264"/>
      <c r="P267" s="380"/>
      <c r="Q267" s="383"/>
      <c r="R267" s="380"/>
      <c r="S267" s="383"/>
      <c r="T267" s="380"/>
      <c r="U267" s="386"/>
      <c r="V267" s="265">
        <f t="shared" si="34"/>
        <v>0</v>
      </c>
      <c r="W267" s="266"/>
      <c r="X267" s="267" t="str">
        <f t="shared" si="36"/>
        <v/>
      </c>
      <c r="Y267" s="267" t="str">
        <f>IF(V267=1,V267+MAX($Y$5:Y266),"")</f>
        <v/>
      </c>
      <c r="Z267" s="267"/>
      <c r="AA267" s="265" t="str">
        <f>IF(ISTEXT(W267),IF(ISTEXT(Z267),Z267,'Datasource 2'!$M$14),"")</f>
        <v/>
      </c>
      <c r="AB267" s="261"/>
      <c r="AC267" s="261" t="str">
        <f t="shared" si="37"/>
        <v/>
      </c>
      <c r="AD267" s="261" t="str">
        <f t="shared" si="38"/>
        <v/>
      </c>
      <c r="AE267" s="262"/>
      <c r="AF267" s="380"/>
      <c r="AG267" s="380"/>
      <c r="AH267" s="389"/>
    </row>
    <row r="268" spans="1:34" ht="35.1" customHeight="1" thickBot="1" x14ac:dyDescent="0.4">
      <c r="A268" s="212">
        <v>27</v>
      </c>
      <c r="B268" s="413"/>
      <c r="C268" s="383"/>
      <c r="D268" s="263"/>
      <c r="E268" s="380"/>
      <c r="F268" s="380"/>
      <c r="G268" s="377"/>
      <c r="H268" s="386"/>
      <c r="I268" s="406"/>
      <c r="J268" s="407"/>
      <c r="K268" s="407"/>
      <c r="L268" s="407"/>
      <c r="M268" s="407"/>
      <c r="N268" s="408"/>
      <c r="O268" s="264"/>
      <c r="P268" s="380"/>
      <c r="Q268" s="383"/>
      <c r="R268" s="380"/>
      <c r="S268" s="383"/>
      <c r="T268" s="380"/>
      <c r="U268" s="386"/>
      <c r="V268" s="265">
        <f t="shared" si="34"/>
        <v>0</v>
      </c>
      <c r="W268" s="266"/>
      <c r="X268" s="267" t="str">
        <f t="shared" si="36"/>
        <v/>
      </c>
      <c r="Y268" s="267" t="str">
        <f>IF(V268=1,V268+MAX($Y$5:Y267),"")</f>
        <v/>
      </c>
      <c r="Z268" s="267"/>
      <c r="AA268" s="265" t="str">
        <f>IF(ISTEXT(W268),IF(ISTEXT(Z268),Z268,'Datasource 2'!$M$14),"")</f>
        <v/>
      </c>
      <c r="AB268" s="261"/>
      <c r="AC268" s="261" t="str">
        <f t="shared" si="37"/>
        <v/>
      </c>
      <c r="AD268" s="261" t="str">
        <f t="shared" si="38"/>
        <v/>
      </c>
      <c r="AE268" s="262"/>
      <c r="AF268" s="380"/>
      <c r="AG268" s="380"/>
      <c r="AH268" s="389"/>
    </row>
    <row r="269" spans="1:34" ht="35.1" customHeight="1" thickBot="1" x14ac:dyDescent="0.4">
      <c r="A269" s="212">
        <v>27</v>
      </c>
      <c r="B269" s="413"/>
      <c r="C269" s="383"/>
      <c r="D269" s="263"/>
      <c r="E269" s="380"/>
      <c r="F269" s="380"/>
      <c r="G269" s="377"/>
      <c r="H269" s="386"/>
      <c r="I269" s="406"/>
      <c r="J269" s="407"/>
      <c r="K269" s="407"/>
      <c r="L269" s="407"/>
      <c r="M269" s="407"/>
      <c r="N269" s="408"/>
      <c r="O269" s="264"/>
      <c r="P269" s="380"/>
      <c r="Q269" s="383"/>
      <c r="R269" s="380"/>
      <c r="S269" s="383"/>
      <c r="T269" s="380"/>
      <c r="U269" s="386"/>
      <c r="V269" s="265">
        <f t="shared" si="34"/>
        <v>0</v>
      </c>
      <c r="W269" s="266"/>
      <c r="X269" s="267" t="str">
        <f t="shared" si="36"/>
        <v/>
      </c>
      <c r="Y269" s="267" t="str">
        <f>IF(V269=1,V269+MAX($Y$5:Y268),"")</f>
        <v/>
      </c>
      <c r="Z269" s="267"/>
      <c r="AA269" s="265" t="str">
        <f>IF(ISTEXT(W269),IF(ISTEXT(Z269),Z269,'Datasource 2'!$M$14),"")</f>
        <v/>
      </c>
      <c r="AB269" s="261"/>
      <c r="AC269" s="261" t="str">
        <f t="shared" si="37"/>
        <v/>
      </c>
      <c r="AD269" s="261" t="str">
        <f t="shared" si="38"/>
        <v/>
      </c>
      <c r="AE269" s="262"/>
      <c r="AF269" s="380"/>
      <c r="AG269" s="380"/>
      <c r="AH269" s="389"/>
    </row>
    <row r="270" spans="1:34" ht="35.1" customHeight="1" thickBot="1" x14ac:dyDescent="0.4">
      <c r="A270" s="212">
        <v>27</v>
      </c>
      <c r="B270" s="413"/>
      <c r="C270" s="383"/>
      <c r="D270" s="263"/>
      <c r="E270" s="380"/>
      <c r="F270" s="380"/>
      <c r="G270" s="377"/>
      <c r="H270" s="386"/>
      <c r="I270" s="406"/>
      <c r="J270" s="407"/>
      <c r="K270" s="407"/>
      <c r="L270" s="407"/>
      <c r="M270" s="407"/>
      <c r="N270" s="408"/>
      <c r="O270" s="264"/>
      <c r="P270" s="380"/>
      <c r="Q270" s="383"/>
      <c r="R270" s="380"/>
      <c r="S270" s="383"/>
      <c r="T270" s="380"/>
      <c r="U270" s="386"/>
      <c r="V270" s="265">
        <f t="shared" si="34"/>
        <v>0</v>
      </c>
      <c r="W270" s="266"/>
      <c r="X270" s="267" t="str">
        <f t="shared" si="36"/>
        <v/>
      </c>
      <c r="Y270" s="267" t="str">
        <f>IF(V270=1,V270+MAX($Y$5:Y269),"")</f>
        <v/>
      </c>
      <c r="Z270" s="267"/>
      <c r="AA270" s="265" t="str">
        <f>IF(ISTEXT(W270),IF(ISTEXT(Z270),Z270,'Datasource 2'!$M$14),"")</f>
        <v/>
      </c>
      <c r="AB270" s="261"/>
      <c r="AC270" s="261" t="str">
        <f t="shared" si="37"/>
        <v/>
      </c>
      <c r="AD270" s="261" t="str">
        <f t="shared" si="38"/>
        <v/>
      </c>
      <c r="AE270" s="262"/>
      <c r="AF270" s="380"/>
      <c r="AG270" s="380"/>
      <c r="AH270" s="389"/>
    </row>
    <row r="271" spans="1:34" ht="35.1" customHeight="1" thickBot="1" x14ac:dyDescent="0.4">
      <c r="A271" s="212">
        <v>27</v>
      </c>
      <c r="B271" s="413"/>
      <c r="C271" s="383"/>
      <c r="D271" s="263"/>
      <c r="E271" s="380"/>
      <c r="F271" s="380"/>
      <c r="G271" s="377"/>
      <c r="H271" s="386"/>
      <c r="I271" s="406"/>
      <c r="J271" s="407"/>
      <c r="K271" s="407"/>
      <c r="L271" s="407"/>
      <c r="M271" s="407"/>
      <c r="N271" s="408"/>
      <c r="O271" s="264"/>
      <c r="P271" s="380"/>
      <c r="Q271" s="383"/>
      <c r="R271" s="380"/>
      <c r="S271" s="383"/>
      <c r="T271" s="380"/>
      <c r="U271" s="386"/>
      <c r="V271" s="265">
        <f t="shared" si="34"/>
        <v>0</v>
      </c>
      <c r="W271" s="266"/>
      <c r="X271" s="267" t="str">
        <f t="shared" si="36"/>
        <v/>
      </c>
      <c r="Y271" s="267" t="str">
        <f>IF(V271=1,V271+MAX($Y$5:Y270),"")</f>
        <v/>
      </c>
      <c r="Z271" s="267"/>
      <c r="AA271" s="265" t="str">
        <f>IF(ISTEXT(W271),IF(ISTEXT(Z271),Z271,'Datasource 2'!$M$14),"")</f>
        <v/>
      </c>
      <c r="AB271" s="261"/>
      <c r="AC271" s="261" t="str">
        <f t="shared" si="37"/>
        <v/>
      </c>
      <c r="AD271" s="261" t="str">
        <f t="shared" si="38"/>
        <v/>
      </c>
      <c r="AE271" s="262"/>
      <c r="AF271" s="380"/>
      <c r="AG271" s="380"/>
      <c r="AH271" s="389"/>
    </row>
    <row r="272" spans="1:34" ht="35.1" customHeight="1" thickBot="1" x14ac:dyDescent="0.4">
      <c r="A272" s="212">
        <v>27</v>
      </c>
      <c r="B272" s="413"/>
      <c r="C272" s="383"/>
      <c r="D272" s="263"/>
      <c r="E272" s="380"/>
      <c r="F272" s="380"/>
      <c r="G272" s="377"/>
      <c r="H272" s="386"/>
      <c r="I272" s="406"/>
      <c r="J272" s="407"/>
      <c r="K272" s="407"/>
      <c r="L272" s="407"/>
      <c r="M272" s="407"/>
      <c r="N272" s="408"/>
      <c r="O272" s="264"/>
      <c r="P272" s="380"/>
      <c r="Q272" s="383"/>
      <c r="R272" s="380"/>
      <c r="S272" s="383"/>
      <c r="T272" s="380"/>
      <c r="U272" s="386"/>
      <c r="V272" s="265">
        <f t="shared" si="34"/>
        <v>0</v>
      </c>
      <c r="W272" s="266"/>
      <c r="X272" s="267" t="str">
        <f t="shared" si="36"/>
        <v/>
      </c>
      <c r="Y272" s="267" t="str">
        <f>IF(V272=1,V272+MAX($Y$5:Y271),"")</f>
        <v/>
      </c>
      <c r="Z272" s="267"/>
      <c r="AA272" s="265" t="str">
        <f>IF(ISTEXT(W272),IF(ISTEXT(Z272),Z272,'Datasource 2'!$M$14),"")</f>
        <v/>
      </c>
      <c r="AB272" s="261"/>
      <c r="AC272" s="261" t="str">
        <f t="shared" si="37"/>
        <v/>
      </c>
      <c r="AD272" s="261" t="str">
        <f t="shared" si="38"/>
        <v/>
      </c>
      <c r="AE272" s="262"/>
      <c r="AF272" s="380"/>
      <c r="AG272" s="380"/>
      <c r="AH272" s="389"/>
    </row>
    <row r="273" spans="1:34" ht="35.1" customHeight="1" thickBot="1" x14ac:dyDescent="0.4">
      <c r="A273" s="212">
        <v>27</v>
      </c>
      <c r="B273" s="413"/>
      <c r="C273" s="383"/>
      <c r="D273" s="263"/>
      <c r="E273" s="380"/>
      <c r="F273" s="380"/>
      <c r="G273" s="377"/>
      <c r="H273" s="386"/>
      <c r="I273" s="406"/>
      <c r="J273" s="407"/>
      <c r="K273" s="407"/>
      <c r="L273" s="407"/>
      <c r="M273" s="407"/>
      <c r="N273" s="408"/>
      <c r="O273" s="264"/>
      <c r="P273" s="380"/>
      <c r="Q273" s="383"/>
      <c r="R273" s="380"/>
      <c r="S273" s="383"/>
      <c r="T273" s="380"/>
      <c r="U273" s="386"/>
      <c r="V273" s="265">
        <f t="shared" si="34"/>
        <v>0</v>
      </c>
      <c r="W273" s="266"/>
      <c r="X273" s="267" t="str">
        <f t="shared" si="36"/>
        <v/>
      </c>
      <c r="Y273" s="267" t="str">
        <f>IF(V273=1,V273+MAX($Y$5:Y272),"")</f>
        <v/>
      </c>
      <c r="Z273" s="267"/>
      <c r="AA273" s="265" t="str">
        <f>IF(ISTEXT(W273),IF(ISTEXT(Z273),Z273,'Datasource 2'!$M$14),"")</f>
        <v/>
      </c>
      <c r="AB273" s="261"/>
      <c r="AC273" s="261" t="str">
        <f t="shared" si="37"/>
        <v/>
      </c>
      <c r="AD273" s="261" t="str">
        <f t="shared" si="38"/>
        <v/>
      </c>
      <c r="AE273" s="262"/>
      <c r="AF273" s="380"/>
      <c r="AG273" s="380"/>
      <c r="AH273" s="389"/>
    </row>
    <row r="274" spans="1:34" ht="35.1" customHeight="1" thickBot="1" x14ac:dyDescent="0.4">
      <c r="A274" s="210">
        <v>27</v>
      </c>
      <c r="B274" s="414"/>
      <c r="C274" s="384"/>
      <c r="D274" s="268"/>
      <c r="E274" s="381"/>
      <c r="F274" s="381"/>
      <c r="G274" s="378"/>
      <c r="H274" s="387"/>
      <c r="I274" s="409"/>
      <c r="J274" s="410"/>
      <c r="K274" s="410"/>
      <c r="L274" s="410"/>
      <c r="M274" s="410"/>
      <c r="N274" s="411"/>
      <c r="O274" s="269"/>
      <c r="P274" s="381"/>
      <c r="Q274" s="384"/>
      <c r="R274" s="381"/>
      <c r="S274" s="384"/>
      <c r="T274" s="381"/>
      <c r="U274" s="387"/>
      <c r="V274" s="270">
        <f t="shared" si="34"/>
        <v>0</v>
      </c>
      <c r="W274" s="271"/>
      <c r="X274" s="272" t="str">
        <f t="shared" si="36"/>
        <v/>
      </c>
      <c r="Y274" s="272" t="str">
        <f>IF(V274=1,V274+MAX($Y$5:Y273),"")</f>
        <v/>
      </c>
      <c r="Z274" s="272"/>
      <c r="AA274" s="270" t="str">
        <f>IF(ISTEXT(W274),IF(ISTEXT(Z274),Z274,'Datasource 2'!$M$14),"")</f>
        <v/>
      </c>
      <c r="AB274" s="273"/>
      <c r="AC274" s="261" t="str">
        <f t="shared" si="37"/>
        <v/>
      </c>
      <c r="AD274" s="261" t="str">
        <f t="shared" si="38"/>
        <v/>
      </c>
      <c r="AE274" s="274"/>
      <c r="AF274" s="381"/>
      <c r="AG274" s="381"/>
      <c r="AH274" s="390"/>
    </row>
    <row r="275" spans="1:34" ht="35.1" customHeight="1" thickBot="1" x14ac:dyDescent="0.4">
      <c r="A275" s="209">
        <v>28</v>
      </c>
      <c r="B275" s="391">
        <v>28</v>
      </c>
      <c r="C275" s="364"/>
      <c r="D275" s="323"/>
      <c r="E275" s="361"/>
      <c r="F275" s="361"/>
      <c r="G275" s="373"/>
      <c r="H275" s="367" t="e">
        <f>IF(VLOOKUP(G275,Trusselvurdering!$B$3:$P$28,15,FALSE)=0,VLOOKUP(G275,Trusselvurdering!$B$3:$P$28,14,FALSE),VLOOKUP(G275,Trusselvurdering!$B$3:$P$28,15,FALSE))</f>
        <v>#N/A</v>
      </c>
      <c r="I275" s="394"/>
      <c r="J275" s="395"/>
      <c r="K275" s="395"/>
      <c r="L275" s="395"/>
      <c r="M275" s="395"/>
      <c r="N275" s="396"/>
      <c r="O275" s="324"/>
      <c r="P275" s="361"/>
      <c r="Q275" s="364"/>
      <c r="R275" s="361"/>
      <c r="S275" s="364"/>
      <c r="T275" s="361"/>
      <c r="U275" s="367" t="e">
        <f>VLOOKUP(Risikovurdering_data!C273,Akseptkriterier!$C$33:$H$37,MATCH(Risikovurdering_data!D273,Akseptkriterier!$D$32:$H$32,0)+1,FALSE)</f>
        <v>#N/A</v>
      </c>
      <c r="V275" s="325">
        <f t="shared" si="34"/>
        <v>0</v>
      </c>
      <c r="W275" s="326"/>
      <c r="X275" s="327" t="str">
        <f t="shared" si="36"/>
        <v/>
      </c>
      <c r="Y275" s="327" t="str">
        <f>IF(V275=1,V275+MAX($Y$5:Y274),"")</f>
        <v/>
      </c>
      <c r="Z275" s="327"/>
      <c r="AA275" s="325" t="str">
        <f>IF(ISTEXT(W275),IF(ISTEXT(Z275),Z275,'Datasource 2'!$M$14),"")</f>
        <v/>
      </c>
      <c r="AB275" s="328"/>
      <c r="AC275" s="328" t="str">
        <f t="shared" si="37"/>
        <v/>
      </c>
      <c r="AD275" s="328" t="str">
        <f t="shared" si="38"/>
        <v/>
      </c>
      <c r="AE275" s="329"/>
      <c r="AF275" s="361"/>
      <c r="AG275" s="361"/>
      <c r="AH275" s="370" t="e">
        <f>VLOOKUP(Risikovurdering_data!F273,Akseptkriterier!$C$33:$H$37,MATCH(Risikovurdering_data!G273,Akseptkriterier!$D$32:$H$32,0)+1,FALSE)</f>
        <v>#N/A</v>
      </c>
    </row>
    <row r="276" spans="1:34" ht="35.1" customHeight="1" thickBot="1" x14ac:dyDescent="0.4">
      <c r="A276" s="210">
        <v>28</v>
      </c>
      <c r="B276" s="392"/>
      <c r="C276" s="365"/>
      <c r="D276" s="330"/>
      <c r="E276" s="362"/>
      <c r="F276" s="362"/>
      <c r="G276" s="374"/>
      <c r="H276" s="368"/>
      <c r="I276" s="397"/>
      <c r="J276" s="398"/>
      <c r="K276" s="398"/>
      <c r="L276" s="398"/>
      <c r="M276" s="398"/>
      <c r="N276" s="399"/>
      <c r="O276" s="331"/>
      <c r="P276" s="362"/>
      <c r="Q276" s="365"/>
      <c r="R276" s="362"/>
      <c r="S276" s="365"/>
      <c r="T276" s="362"/>
      <c r="U276" s="368"/>
      <c r="V276" s="332">
        <f t="shared" si="34"/>
        <v>0</v>
      </c>
      <c r="W276" s="333"/>
      <c r="X276" s="334" t="str">
        <f t="shared" si="36"/>
        <v/>
      </c>
      <c r="Y276" s="334" t="str">
        <f>IF(V276=1,V276+MAX($Y$5:Y275),"")</f>
        <v/>
      </c>
      <c r="Z276" s="334"/>
      <c r="AA276" s="332" t="str">
        <f>IF(ISTEXT(W276),IF(ISTEXT(Z276),Z276,'Datasource 2'!$M$14),"")</f>
        <v/>
      </c>
      <c r="AB276" s="328"/>
      <c r="AC276" s="328" t="str">
        <f t="shared" si="37"/>
        <v/>
      </c>
      <c r="AD276" s="328" t="str">
        <f t="shared" si="38"/>
        <v/>
      </c>
      <c r="AE276" s="329"/>
      <c r="AF276" s="362"/>
      <c r="AG276" s="362"/>
      <c r="AH276" s="371"/>
    </row>
    <row r="277" spans="1:34" ht="35.1" customHeight="1" thickBot="1" x14ac:dyDescent="0.4">
      <c r="A277" s="210">
        <v>28</v>
      </c>
      <c r="B277" s="392"/>
      <c r="C277" s="365"/>
      <c r="D277" s="330"/>
      <c r="E277" s="362"/>
      <c r="F277" s="362"/>
      <c r="G277" s="374"/>
      <c r="H277" s="368"/>
      <c r="I277" s="397"/>
      <c r="J277" s="398"/>
      <c r="K277" s="398"/>
      <c r="L277" s="398"/>
      <c r="M277" s="398"/>
      <c r="N277" s="399"/>
      <c r="O277" s="331"/>
      <c r="P277" s="362"/>
      <c r="Q277" s="365"/>
      <c r="R277" s="362"/>
      <c r="S277" s="365"/>
      <c r="T277" s="362"/>
      <c r="U277" s="368"/>
      <c r="V277" s="332">
        <f t="shared" si="34"/>
        <v>0</v>
      </c>
      <c r="W277" s="333"/>
      <c r="X277" s="334" t="str">
        <f t="shared" si="36"/>
        <v/>
      </c>
      <c r="Y277" s="334" t="str">
        <f>IF(V277=1,V277+MAX($Y$5:Y276),"")</f>
        <v/>
      </c>
      <c r="Z277" s="334"/>
      <c r="AA277" s="332" t="str">
        <f>IF(ISTEXT(W277),IF(ISTEXT(Z277),Z277,'Datasource 2'!$M$14),"")</f>
        <v/>
      </c>
      <c r="AB277" s="328"/>
      <c r="AC277" s="328" t="str">
        <f t="shared" si="37"/>
        <v/>
      </c>
      <c r="AD277" s="328" t="str">
        <f t="shared" si="38"/>
        <v/>
      </c>
      <c r="AE277" s="329"/>
      <c r="AF277" s="362"/>
      <c r="AG277" s="362"/>
      <c r="AH277" s="371"/>
    </row>
    <row r="278" spans="1:34" ht="35.1" customHeight="1" thickBot="1" x14ac:dyDescent="0.4">
      <c r="A278" s="210">
        <v>28</v>
      </c>
      <c r="B278" s="392"/>
      <c r="C278" s="365"/>
      <c r="D278" s="330"/>
      <c r="E278" s="362"/>
      <c r="F278" s="362"/>
      <c r="G278" s="374"/>
      <c r="H278" s="368"/>
      <c r="I278" s="397"/>
      <c r="J278" s="398"/>
      <c r="K278" s="398"/>
      <c r="L278" s="398"/>
      <c r="M278" s="398"/>
      <c r="N278" s="399"/>
      <c r="O278" s="331"/>
      <c r="P278" s="362"/>
      <c r="Q278" s="365"/>
      <c r="R278" s="362"/>
      <c r="S278" s="365"/>
      <c r="T278" s="362"/>
      <c r="U278" s="368"/>
      <c r="V278" s="332">
        <f t="shared" si="34"/>
        <v>0</v>
      </c>
      <c r="W278" s="333"/>
      <c r="X278" s="334" t="str">
        <f t="shared" si="36"/>
        <v/>
      </c>
      <c r="Y278" s="334" t="str">
        <f>IF(V278=1,V278+MAX($Y$5:Y277),"")</f>
        <v/>
      </c>
      <c r="Z278" s="334"/>
      <c r="AA278" s="332" t="str">
        <f>IF(ISTEXT(W278),IF(ISTEXT(Z278),Z278,'Datasource 2'!$M$14),"")</f>
        <v/>
      </c>
      <c r="AB278" s="328"/>
      <c r="AC278" s="328" t="str">
        <f t="shared" si="37"/>
        <v/>
      </c>
      <c r="AD278" s="328" t="str">
        <f t="shared" si="38"/>
        <v/>
      </c>
      <c r="AE278" s="329"/>
      <c r="AF278" s="362"/>
      <c r="AG278" s="362"/>
      <c r="AH278" s="371"/>
    </row>
    <row r="279" spans="1:34" ht="35.1" customHeight="1" thickBot="1" x14ac:dyDescent="0.4">
      <c r="A279" s="210">
        <v>28</v>
      </c>
      <c r="B279" s="392"/>
      <c r="C279" s="365"/>
      <c r="D279" s="330"/>
      <c r="E279" s="362"/>
      <c r="F279" s="362"/>
      <c r="G279" s="374"/>
      <c r="H279" s="368"/>
      <c r="I279" s="397"/>
      <c r="J279" s="398"/>
      <c r="K279" s="398"/>
      <c r="L279" s="398"/>
      <c r="M279" s="398"/>
      <c r="N279" s="399"/>
      <c r="O279" s="331"/>
      <c r="P279" s="362"/>
      <c r="Q279" s="365"/>
      <c r="R279" s="362"/>
      <c r="S279" s="365"/>
      <c r="T279" s="362"/>
      <c r="U279" s="368"/>
      <c r="V279" s="332">
        <f t="shared" si="34"/>
        <v>0</v>
      </c>
      <c r="W279" s="333"/>
      <c r="X279" s="334" t="str">
        <f t="shared" si="36"/>
        <v/>
      </c>
      <c r="Y279" s="334" t="str">
        <f>IF(V279=1,V279+MAX($Y$5:Y278),"")</f>
        <v/>
      </c>
      <c r="Z279" s="334"/>
      <c r="AA279" s="332" t="str">
        <f>IF(ISTEXT(W279),IF(ISTEXT(Z279),Z279,'Datasource 2'!$M$14),"")</f>
        <v/>
      </c>
      <c r="AB279" s="328"/>
      <c r="AC279" s="328" t="str">
        <f t="shared" si="37"/>
        <v/>
      </c>
      <c r="AD279" s="328" t="str">
        <f t="shared" si="38"/>
        <v/>
      </c>
      <c r="AE279" s="329"/>
      <c r="AF279" s="362"/>
      <c r="AG279" s="362"/>
      <c r="AH279" s="371"/>
    </row>
    <row r="280" spans="1:34" ht="35.1" customHeight="1" thickBot="1" x14ac:dyDescent="0.4">
      <c r="A280" s="210">
        <v>28</v>
      </c>
      <c r="B280" s="392"/>
      <c r="C280" s="365"/>
      <c r="D280" s="330"/>
      <c r="E280" s="362"/>
      <c r="F280" s="362"/>
      <c r="G280" s="374"/>
      <c r="H280" s="368"/>
      <c r="I280" s="397"/>
      <c r="J280" s="398"/>
      <c r="K280" s="398"/>
      <c r="L280" s="398"/>
      <c r="M280" s="398"/>
      <c r="N280" s="399"/>
      <c r="O280" s="331"/>
      <c r="P280" s="362"/>
      <c r="Q280" s="365"/>
      <c r="R280" s="362"/>
      <c r="S280" s="365"/>
      <c r="T280" s="362"/>
      <c r="U280" s="368"/>
      <c r="V280" s="332">
        <f t="shared" si="34"/>
        <v>0</v>
      </c>
      <c r="W280" s="333"/>
      <c r="X280" s="334" t="str">
        <f t="shared" si="36"/>
        <v/>
      </c>
      <c r="Y280" s="334" t="str">
        <f>IF(V280=1,V280+MAX($Y$5:Y279),"")</f>
        <v/>
      </c>
      <c r="Z280" s="334"/>
      <c r="AA280" s="332" t="str">
        <f>IF(ISTEXT(W280),IF(ISTEXT(Z280),Z280,'Datasource 2'!$M$14),"")</f>
        <v/>
      </c>
      <c r="AB280" s="328"/>
      <c r="AC280" s="328" t="str">
        <f t="shared" si="37"/>
        <v/>
      </c>
      <c r="AD280" s="328" t="str">
        <f t="shared" si="38"/>
        <v/>
      </c>
      <c r="AE280" s="329"/>
      <c r="AF280" s="362"/>
      <c r="AG280" s="362"/>
      <c r="AH280" s="371"/>
    </row>
    <row r="281" spans="1:34" ht="35.1" customHeight="1" thickBot="1" x14ac:dyDescent="0.4">
      <c r="A281" s="210">
        <v>28</v>
      </c>
      <c r="B281" s="392"/>
      <c r="C281" s="365"/>
      <c r="D281" s="330"/>
      <c r="E281" s="362"/>
      <c r="F281" s="362"/>
      <c r="G281" s="374"/>
      <c r="H281" s="368"/>
      <c r="I281" s="397"/>
      <c r="J281" s="398"/>
      <c r="K281" s="398"/>
      <c r="L281" s="398"/>
      <c r="M281" s="398"/>
      <c r="N281" s="399"/>
      <c r="O281" s="331"/>
      <c r="P281" s="362"/>
      <c r="Q281" s="365"/>
      <c r="R281" s="362"/>
      <c r="S281" s="365"/>
      <c r="T281" s="362"/>
      <c r="U281" s="368"/>
      <c r="V281" s="332">
        <f t="shared" si="34"/>
        <v>0</v>
      </c>
      <c r="W281" s="333"/>
      <c r="X281" s="334" t="str">
        <f t="shared" si="36"/>
        <v/>
      </c>
      <c r="Y281" s="334" t="str">
        <f>IF(V281=1,V281+MAX($Y$5:Y280),"")</f>
        <v/>
      </c>
      <c r="Z281" s="334"/>
      <c r="AA281" s="332" t="str">
        <f>IF(ISTEXT(W281),IF(ISTEXT(Z281),Z281,'Datasource 2'!$M$14),"")</f>
        <v/>
      </c>
      <c r="AB281" s="328"/>
      <c r="AC281" s="328" t="str">
        <f t="shared" si="37"/>
        <v/>
      </c>
      <c r="AD281" s="328" t="str">
        <f t="shared" si="38"/>
        <v/>
      </c>
      <c r="AE281" s="329"/>
      <c r="AF281" s="362"/>
      <c r="AG281" s="362"/>
      <c r="AH281" s="371"/>
    </row>
    <row r="282" spans="1:34" ht="35.1" customHeight="1" thickBot="1" x14ac:dyDescent="0.4">
      <c r="A282" s="210">
        <v>28</v>
      </c>
      <c r="B282" s="392"/>
      <c r="C282" s="365"/>
      <c r="D282" s="330"/>
      <c r="E282" s="362"/>
      <c r="F282" s="362"/>
      <c r="G282" s="374"/>
      <c r="H282" s="368"/>
      <c r="I282" s="397"/>
      <c r="J282" s="398"/>
      <c r="K282" s="398"/>
      <c r="L282" s="398"/>
      <c r="M282" s="398"/>
      <c r="N282" s="399"/>
      <c r="O282" s="331"/>
      <c r="P282" s="362"/>
      <c r="Q282" s="365"/>
      <c r="R282" s="362"/>
      <c r="S282" s="365"/>
      <c r="T282" s="362"/>
      <c r="U282" s="368"/>
      <c r="V282" s="332">
        <f t="shared" si="34"/>
        <v>0</v>
      </c>
      <c r="W282" s="333"/>
      <c r="X282" s="334" t="str">
        <f t="shared" si="36"/>
        <v/>
      </c>
      <c r="Y282" s="334" t="str">
        <f>IF(V282=1,V282+MAX($Y$5:Y281),"")</f>
        <v/>
      </c>
      <c r="Z282" s="334"/>
      <c r="AA282" s="332" t="str">
        <f>IF(ISTEXT(W282),IF(ISTEXT(Z282),Z282,'Datasource 2'!$M$14),"")</f>
        <v/>
      </c>
      <c r="AB282" s="328"/>
      <c r="AC282" s="328" t="str">
        <f t="shared" si="37"/>
        <v/>
      </c>
      <c r="AD282" s="328" t="str">
        <f t="shared" si="38"/>
        <v/>
      </c>
      <c r="AE282" s="329"/>
      <c r="AF282" s="362"/>
      <c r="AG282" s="362"/>
      <c r="AH282" s="371"/>
    </row>
    <row r="283" spans="1:34" ht="35.1" customHeight="1" thickBot="1" x14ac:dyDescent="0.4">
      <c r="A283" s="210">
        <v>28</v>
      </c>
      <c r="B283" s="392"/>
      <c r="C283" s="365"/>
      <c r="D283" s="330"/>
      <c r="E283" s="362"/>
      <c r="F283" s="362"/>
      <c r="G283" s="374"/>
      <c r="H283" s="368"/>
      <c r="I283" s="397"/>
      <c r="J283" s="398"/>
      <c r="K283" s="398"/>
      <c r="L283" s="398"/>
      <c r="M283" s="398"/>
      <c r="N283" s="399"/>
      <c r="O283" s="331"/>
      <c r="P283" s="362"/>
      <c r="Q283" s="365"/>
      <c r="R283" s="362"/>
      <c r="S283" s="365"/>
      <c r="T283" s="362"/>
      <c r="U283" s="368"/>
      <c r="V283" s="332">
        <f t="shared" si="34"/>
        <v>0</v>
      </c>
      <c r="W283" s="333"/>
      <c r="X283" s="334" t="str">
        <f t="shared" si="36"/>
        <v/>
      </c>
      <c r="Y283" s="334" t="str">
        <f>IF(V283=1,V283+MAX($Y$5:Y282),"")</f>
        <v/>
      </c>
      <c r="Z283" s="334"/>
      <c r="AA283" s="332" t="str">
        <f>IF(ISTEXT(W283),IF(ISTEXT(Z283),Z283,'Datasource 2'!$M$14),"")</f>
        <v/>
      </c>
      <c r="AB283" s="328"/>
      <c r="AC283" s="328" t="str">
        <f t="shared" si="37"/>
        <v/>
      </c>
      <c r="AD283" s="328" t="str">
        <f t="shared" si="38"/>
        <v/>
      </c>
      <c r="AE283" s="329"/>
      <c r="AF283" s="362"/>
      <c r="AG283" s="362"/>
      <c r="AH283" s="371"/>
    </row>
    <row r="284" spans="1:34" ht="35.1" customHeight="1" thickBot="1" x14ac:dyDescent="0.4">
      <c r="A284" s="210">
        <v>28</v>
      </c>
      <c r="B284" s="393"/>
      <c r="C284" s="366"/>
      <c r="D284" s="335"/>
      <c r="E284" s="363"/>
      <c r="F284" s="363"/>
      <c r="G284" s="375"/>
      <c r="H284" s="369"/>
      <c r="I284" s="400"/>
      <c r="J284" s="401"/>
      <c r="K284" s="401"/>
      <c r="L284" s="401"/>
      <c r="M284" s="401"/>
      <c r="N284" s="402"/>
      <c r="O284" s="336"/>
      <c r="P284" s="363"/>
      <c r="Q284" s="366"/>
      <c r="R284" s="363"/>
      <c r="S284" s="366"/>
      <c r="T284" s="363"/>
      <c r="U284" s="369"/>
      <c r="V284" s="337">
        <f t="shared" si="34"/>
        <v>0</v>
      </c>
      <c r="W284" s="338"/>
      <c r="X284" s="339" t="str">
        <f t="shared" si="36"/>
        <v/>
      </c>
      <c r="Y284" s="339" t="str">
        <f>IF(V284=1,V284+MAX($Y$5:Y283),"")</f>
        <v/>
      </c>
      <c r="Z284" s="339"/>
      <c r="AA284" s="337" t="str">
        <f>IF(ISTEXT(W284),IF(ISTEXT(Z284),Z284,'Datasource 2'!$M$14),"")</f>
        <v/>
      </c>
      <c r="AB284" s="339"/>
      <c r="AC284" s="328" t="str">
        <f t="shared" si="37"/>
        <v/>
      </c>
      <c r="AD284" s="328" t="str">
        <f t="shared" si="38"/>
        <v/>
      </c>
      <c r="AE284" s="340"/>
      <c r="AF284" s="363"/>
      <c r="AG284" s="363"/>
      <c r="AH284" s="372"/>
    </row>
    <row r="285" spans="1:34" ht="35.1" customHeight="1" thickBot="1" x14ac:dyDescent="0.4">
      <c r="A285" s="205">
        <v>29</v>
      </c>
      <c r="B285" s="412">
        <v>29</v>
      </c>
      <c r="C285" s="382"/>
      <c r="D285" s="257"/>
      <c r="E285" s="379"/>
      <c r="F285" s="379"/>
      <c r="G285" s="376"/>
      <c r="H285" s="385" t="e">
        <f>IF(VLOOKUP(G285,Trusselvurdering!$B$3:$P$28,15,FALSE)=0,VLOOKUP(G285,Trusselvurdering!$B$3:$P$28,14,FALSE),VLOOKUP(G285,Trusselvurdering!$B$3:$P$28,15,FALSE))</f>
        <v>#N/A</v>
      </c>
      <c r="I285" s="403"/>
      <c r="J285" s="404"/>
      <c r="K285" s="404"/>
      <c r="L285" s="404"/>
      <c r="M285" s="404"/>
      <c r="N285" s="405"/>
      <c r="O285" s="258"/>
      <c r="P285" s="379"/>
      <c r="Q285" s="382"/>
      <c r="R285" s="379"/>
      <c r="S285" s="382"/>
      <c r="T285" s="379"/>
      <c r="U285" s="385" t="e">
        <f>VLOOKUP(Risikovurdering_data!C283,Akseptkriterier!$C$33:$H$37,MATCH(Risikovurdering_data!D283,Akseptkriterier!$D$32:$H$32,0)+1,FALSE)</f>
        <v>#N/A</v>
      </c>
      <c r="V285" s="259">
        <f t="shared" si="34"/>
        <v>0</v>
      </c>
      <c r="W285" s="260"/>
      <c r="X285" s="261" t="str">
        <f t="shared" si="36"/>
        <v/>
      </c>
      <c r="Y285" s="261" t="str">
        <f>IF(V285=1,V285+MAX($Y$5:Y284),"")</f>
        <v/>
      </c>
      <c r="Z285" s="261"/>
      <c r="AA285" s="259" t="str">
        <f>IF(ISTEXT(W285),IF(ISTEXT(Z285),Z285,'Datasource 2'!$M$14),"")</f>
        <v/>
      </c>
      <c r="AB285" s="261"/>
      <c r="AC285" s="261" t="str">
        <f t="shared" si="37"/>
        <v/>
      </c>
      <c r="AD285" s="261" t="str">
        <f t="shared" si="38"/>
        <v/>
      </c>
      <c r="AE285" s="262"/>
      <c r="AF285" s="379"/>
      <c r="AG285" s="379"/>
      <c r="AH285" s="388" t="e">
        <f>VLOOKUP(Risikovurdering_data!F283,Akseptkriterier!$C$33:$H$37,MATCH(Risikovurdering_data!G283,Akseptkriterier!$D$32:$H$32,0)+1,FALSE)</f>
        <v>#N/A</v>
      </c>
    </row>
    <row r="286" spans="1:34" ht="35.1" customHeight="1" thickBot="1" x14ac:dyDescent="0.4">
      <c r="A286" s="203">
        <v>29</v>
      </c>
      <c r="B286" s="413"/>
      <c r="C286" s="383"/>
      <c r="D286" s="263"/>
      <c r="E286" s="380"/>
      <c r="F286" s="380"/>
      <c r="G286" s="377"/>
      <c r="H286" s="386"/>
      <c r="I286" s="406"/>
      <c r="J286" s="407"/>
      <c r="K286" s="407"/>
      <c r="L286" s="407"/>
      <c r="M286" s="407"/>
      <c r="N286" s="408"/>
      <c r="O286" s="264"/>
      <c r="P286" s="380"/>
      <c r="Q286" s="383"/>
      <c r="R286" s="380"/>
      <c r="S286" s="383"/>
      <c r="T286" s="380"/>
      <c r="U286" s="386"/>
      <c r="V286" s="265">
        <f t="shared" si="34"/>
        <v>0</v>
      </c>
      <c r="W286" s="266"/>
      <c r="X286" s="267" t="str">
        <f t="shared" si="36"/>
        <v/>
      </c>
      <c r="Y286" s="267" t="str">
        <f>IF(V286=1,V286+MAX($Y$5:Y285),"")</f>
        <v/>
      </c>
      <c r="Z286" s="267"/>
      <c r="AA286" s="265" t="str">
        <f>IF(ISTEXT(W286),IF(ISTEXT(Z286),Z286,'Datasource 2'!$M$14),"")</f>
        <v/>
      </c>
      <c r="AB286" s="261"/>
      <c r="AC286" s="261" t="str">
        <f t="shared" si="37"/>
        <v/>
      </c>
      <c r="AD286" s="261" t="str">
        <f t="shared" si="38"/>
        <v/>
      </c>
      <c r="AE286" s="262"/>
      <c r="AF286" s="380"/>
      <c r="AG286" s="380"/>
      <c r="AH286" s="389"/>
    </row>
    <row r="287" spans="1:34" ht="35.1" customHeight="1" thickBot="1" x14ac:dyDescent="0.4">
      <c r="A287" s="203">
        <v>29</v>
      </c>
      <c r="B287" s="413"/>
      <c r="C287" s="383"/>
      <c r="D287" s="263"/>
      <c r="E287" s="380"/>
      <c r="F287" s="380"/>
      <c r="G287" s="377"/>
      <c r="H287" s="386"/>
      <c r="I287" s="406"/>
      <c r="J287" s="407"/>
      <c r="K287" s="407"/>
      <c r="L287" s="407"/>
      <c r="M287" s="407"/>
      <c r="N287" s="408"/>
      <c r="O287" s="264"/>
      <c r="P287" s="380"/>
      <c r="Q287" s="383"/>
      <c r="R287" s="380"/>
      <c r="S287" s="383"/>
      <c r="T287" s="380"/>
      <c r="U287" s="386"/>
      <c r="V287" s="265">
        <f t="shared" si="34"/>
        <v>0</v>
      </c>
      <c r="W287" s="266"/>
      <c r="X287" s="267" t="str">
        <f t="shared" si="36"/>
        <v/>
      </c>
      <c r="Y287" s="267" t="str">
        <f>IF(V287=1,V287+MAX($Y$5:Y286),"")</f>
        <v/>
      </c>
      <c r="Z287" s="267"/>
      <c r="AA287" s="265" t="str">
        <f>IF(ISTEXT(W287),IF(ISTEXT(Z287),Z287,'Datasource 2'!$M$14),"")</f>
        <v/>
      </c>
      <c r="AB287" s="261"/>
      <c r="AC287" s="261" t="str">
        <f t="shared" si="37"/>
        <v/>
      </c>
      <c r="AD287" s="261" t="str">
        <f t="shared" si="38"/>
        <v/>
      </c>
      <c r="AE287" s="262"/>
      <c r="AF287" s="380"/>
      <c r="AG287" s="380"/>
      <c r="AH287" s="389"/>
    </row>
    <row r="288" spans="1:34" ht="35.1" customHeight="1" thickBot="1" x14ac:dyDescent="0.4">
      <c r="A288" s="203">
        <v>29</v>
      </c>
      <c r="B288" s="413"/>
      <c r="C288" s="383"/>
      <c r="D288" s="263"/>
      <c r="E288" s="380"/>
      <c r="F288" s="380"/>
      <c r="G288" s="377"/>
      <c r="H288" s="386"/>
      <c r="I288" s="406"/>
      <c r="J288" s="407"/>
      <c r="K288" s="407"/>
      <c r="L288" s="407"/>
      <c r="M288" s="407"/>
      <c r="N288" s="408"/>
      <c r="O288" s="264"/>
      <c r="P288" s="380"/>
      <c r="Q288" s="383"/>
      <c r="R288" s="380"/>
      <c r="S288" s="383"/>
      <c r="T288" s="380"/>
      <c r="U288" s="386"/>
      <c r="V288" s="265">
        <f t="shared" si="34"/>
        <v>0</v>
      </c>
      <c r="W288" s="266"/>
      <c r="X288" s="267" t="str">
        <f t="shared" si="36"/>
        <v/>
      </c>
      <c r="Y288" s="267" t="str">
        <f>IF(V288=1,V288+MAX($Y$5:Y287),"")</f>
        <v/>
      </c>
      <c r="Z288" s="267"/>
      <c r="AA288" s="265" t="str">
        <f>IF(ISTEXT(W288),IF(ISTEXT(Z288),Z288,'Datasource 2'!$M$14),"")</f>
        <v/>
      </c>
      <c r="AB288" s="261"/>
      <c r="AC288" s="261" t="str">
        <f t="shared" si="37"/>
        <v/>
      </c>
      <c r="AD288" s="261" t="str">
        <f t="shared" si="38"/>
        <v/>
      </c>
      <c r="AE288" s="262"/>
      <c r="AF288" s="380"/>
      <c r="AG288" s="380"/>
      <c r="AH288" s="389"/>
    </row>
    <row r="289" spans="1:34" ht="35.1" customHeight="1" thickBot="1" x14ac:dyDescent="0.4">
      <c r="A289" s="203">
        <v>29</v>
      </c>
      <c r="B289" s="413"/>
      <c r="C289" s="383"/>
      <c r="D289" s="263"/>
      <c r="E289" s="380"/>
      <c r="F289" s="380"/>
      <c r="G289" s="377"/>
      <c r="H289" s="386"/>
      <c r="I289" s="406"/>
      <c r="J289" s="407"/>
      <c r="K289" s="407"/>
      <c r="L289" s="407"/>
      <c r="M289" s="407"/>
      <c r="N289" s="408"/>
      <c r="O289" s="264"/>
      <c r="P289" s="380"/>
      <c r="Q289" s="383"/>
      <c r="R289" s="380"/>
      <c r="S289" s="383"/>
      <c r="T289" s="380"/>
      <c r="U289" s="386"/>
      <c r="V289" s="265">
        <f t="shared" si="34"/>
        <v>0</v>
      </c>
      <c r="W289" s="266"/>
      <c r="X289" s="267" t="str">
        <f t="shared" si="36"/>
        <v/>
      </c>
      <c r="Y289" s="267" t="str">
        <f>IF(V289=1,V289+MAX($Y$5:Y288),"")</f>
        <v/>
      </c>
      <c r="Z289" s="267"/>
      <c r="AA289" s="265" t="str">
        <f>IF(ISTEXT(W289),IF(ISTEXT(Z289),Z289,'Datasource 2'!$M$14),"")</f>
        <v/>
      </c>
      <c r="AB289" s="261"/>
      <c r="AC289" s="261" t="str">
        <f t="shared" si="37"/>
        <v/>
      </c>
      <c r="AD289" s="261" t="str">
        <f t="shared" si="38"/>
        <v/>
      </c>
      <c r="AE289" s="262"/>
      <c r="AF289" s="380"/>
      <c r="AG289" s="380"/>
      <c r="AH289" s="389"/>
    </row>
    <row r="290" spans="1:34" ht="35.1" customHeight="1" thickBot="1" x14ac:dyDescent="0.4">
      <c r="A290" s="203">
        <v>29</v>
      </c>
      <c r="B290" s="413"/>
      <c r="C290" s="383"/>
      <c r="D290" s="263"/>
      <c r="E290" s="380"/>
      <c r="F290" s="380"/>
      <c r="G290" s="377"/>
      <c r="H290" s="386"/>
      <c r="I290" s="406"/>
      <c r="J290" s="407"/>
      <c r="K290" s="407"/>
      <c r="L290" s="407"/>
      <c r="M290" s="407"/>
      <c r="N290" s="408"/>
      <c r="O290" s="264"/>
      <c r="P290" s="380"/>
      <c r="Q290" s="383"/>
      <c r="R290" s="380"/>
      <c r="S290" s="383"/>
      <c r="T290" s="380"/>
      <c r="U290" s="386"/>
      <c r="V290" s="265">
        <f t="shared" si="34"/>
        <v>0</v>
      </c>
      <c r="W290" s="266"/>
      <c r="X290" s="267" t="str">
        <f t="shared" si="36"/>
        <v/>
      </c>
      <c r="Y290" s="267" t="str">
        <f>IF(V290=1,V290+MAX($Y$5:Y289),"")</f>
        <v/>
      </c>
      <c r="Z290" s="267"/>
      <c r="AA290" s="265" t="str">
        <f>IF(ISTEXT(W290),IF(ISTEXT(Z290),Z290,'Datasource 2'!$M$14),"")</f>
        <v/>
      </c>
      <c r="AB290" s="261"/>
      <c r="AC290" s="261" t="str">
        <f t="shared" si="37"/>
        <v/>
      </c>
      <c r="AD290" s="261" t="str">
        <f t="shared" si="38"/>
        <v/>
      </c>
      <c r="AE290" s="262"/>
      <c r="AF290" s="380"/>
      <c r="AG290" s="380"/>
      <c r="AH290" s="389"/>
    </row>
    <row r="291" spans="1:34" ht="35.1" customHeight="1" thickBot="1" x14ac:dyDescent="0.4">
      <c r="A291" s="203">
        <v>29</v>
      </c>
      <c r="B291" s="413"/>
      <c r="C291" s="383"/>
      <c r="D291" s="263"/>
      <c r="E291" s="380"/>
      <c r="F291" s="380"/>
      <c r="G291" s="377"/>
      <c r="H291" s="386"/>
      <c r="I291" s="406"/>
      <c r="J291" s="407"/>
      <c r="K291" s="407"/>
      <c r="L291" s="407"/>
      <c r="M291" s="407"/>
      <c r="N291" s="408"/>
      <c r="O291" s="264"/>
      <c r="P291" s="380"/>
      <c r="Q291" s="383"/>
      <c r="R291" s="380"/>
      <c r="S291" s="383"/>
      <c r="T291" s="380"/>
      <c r="U291" s="386"/>
      <c r="V291" s="265">
        <f t="shared" si="34"/>
        <v>0</v>
      </c>
      <c r="W291" s="266"/>
      <c r="X291" s="267" t="str">
        <f t="shared" si="36"/>
        <v/>
      </c>
      <c r="Y291" s="267" t="str">
        <f>IF(V291=1,V291+MAX($Y$5:Y290),"")</f>
        <v/>
      </c>
      <c r="Z291" s="267"/>
      <c r="AA291" s="265" t="str">
        <f>IF(ISTEXT(W291),IF(ISTEXT(Z291),Z291,'Datasource 2'!$M$14),"")</f>
        <v/>
      </c>
      <c r="AB291" s="261"/>
      <c r="AC291" s="261" t="str">
        <f t="shared" si="37"/>
        <v/>
      </c>
      <c r="AD291" s="261" t="str">
        <f t="shared" si="38"/>
        <v/>
      </c>
      <c r="AE291" s="262"/>
      <c r="AF291" s="380"/>
      <c r="AG291" s="380"/>
      <c r="AH291" s="389"/>
    </row>
    <row r="292" spans="1:34" ht="35.1" customHeight="1" thickBot="1" x14ac:dyDescent="0.4">
      <c r="A292" s="203">
        <v>29</v>
      </c>
      <c r="B292" s="413"/>
      <c r="C292" s="383"/>
      <c r="D292" s="263"/>
      <c r="E292" s="380"/>
      <c r="F292" s="380"/>
      <c r="G292" s="377"/>
      <c r="H292" s="386"/>
      <c r="I292" s="406"/>
      <c r="J292" s="407"/>
      <c r="K292" s="407"/>
      <c r="L292" s="407"/>
      <c r="M292" s="407"/>
      <c r="N292" s="408"/>
      <c r="O292" s="264"/>
      <c r="P292" s="380"/>
      <c r="Q292" s="383"/>
      <c r="R292" s="380"/>
      <c r="S292" s="383"/>
      <c r="T292" s="380"/>
      <c r="U292" s="386"/>
      <c r="V292" s="265">
        <f t="shared" si="34"/>
        <v>0</v>
      </c>
      <c r="W292" s="266"/>
      <c r="X292" s="267" t="str">
        <f t="shared" si="36"/>
        <v/>
      </c>
      <c r="Y292" s="267" t="str">
        <f>IF(V292=1,V292+MAX($Y$5:Y291),"")</f>
        <v/>
      </c>
      <c r="Z292" s="267"/>
      <c r="AA292" s="265" t="str">
        <f>IF(ISTEXT(W292),IF(ISTEXT(Z292),Z292,'Datasource 2'!$M$14),"")</f>
        <v/>
      </c>
      <c r="AB292" s="261"/>
      <c r="AC292" s="261" t="str">
        <f t="shared" si="37"/>
        <v/>
      </c>
      <c r="AD292" s="261" t="str">
        <f t="shared" si="38"/>
        <v/>
      </c>
      <c r="AE292" s="262"/>
      <c r="AF292" s="380"/>
      <c r="AG292" s="380"/>
      <c r="AH292" s="389"/>
    </row>
    <row r="293" spans="1:34" ht="35.1" customHeight="1" thickBot="1" x14ac:dyDescent="0.4">
      <c r="A293" s="203">
        <v>29</v>
      </c>
      <c r="B293" s="413"/>
      <c r="C293" s="383"/>
      <c r="D293" s="263"/>
      <c r="E293" s="380"/>
      <c r="F293" s="380"/>
      <c r="G293" s="377"/>
      <c r="H293" s="386"/>
      <c r="I293" s="406"/>
      <c r="J293" s="407"/>
      <c r="K293" s="407"/>
      <c r="L293" s="407"/>
      <c r="M293" s="407"/>
      <c r="N293" s="408"/>
      <c r="O293" s="264"/>
      <c r="P293" s="380"/>
      <c r="Q293" s="383"/>
      <c r="R293" s="380"/>
      <c r="S293" s="383"/>
      <c r="T293" s="380"/>
      <c r="U293" s="386"/>
      <c r="V293" s="265">
        <f t="shared" si="34"/>
        <v>0</v>
      </c>
      <c r="W293" s="266"/>
      <c r="X293" s="267" t="str">
        <f t="shared" si="36"/>
        <v/>
      </c>
      <c r="Y293" s="267" t="str">
        <f>IF(V293=1,V293+MAX($Y$5:Y292),"")</f>
        <v/>
      </c>
      <c r="Z293" s="267"/>
      <c r="AA293" s="265" t="str">
        <f>IF(ISTEXT(W293),IF(ISTEXT(Z293),Z293,'Datasource 2'!$M$14),"")</f>
        <v/>
      </c>
      <c r="AB293" s="261"/>
      <c r="AC293" s="261" t="str">
        <f t="shared" si="37"/>
        <v/>
      </c>
      <c r="AD293" s="261" t="str">
        <f t="shared" si="38"/>
        <v/>
      </c>
      <c r="AE293" s="262"/>
      <c r="AF293" s="380"/>
      <c r="AG293" s="380"/>
      <c r="AH293" s="389"/>
    </row>
    <row r="294" spans="1:34" ht="35.1" customHeight="1" thickBot="1" x14ac:dyDescent="0.4">
      <c r="A294" s="203">
        <v>29</v>
      </c>
      <c r="B294" s="414"/>
      <c r="C294" s="384"/>
      <c r="D294" s="268"/>
      <c r="E294" s="381"/>
      <c r="F294" s="381"/>
      <c r="G294" s="378"/>
      <c r="H294" s="387"/>
      <c r="I294" s="409"/>
      <c r="J294" s="410"/>
      <c r="K294" s="410"/>
      <c r="L294" s="410"/>
      <c r="M294" s="410"/>
      <c r="N294" s="411"/>
      <c r="O294" s="269"/>
      <c r="P294" s="381"/>
      <c r="Q294" s="384"/>
      <c r="R294" s="381"/>
      <c r="S294" s="384"/>
      <c r="T294" s="381"/>
      <c r="U294" s="387"/>
      <c r="V294" s="270">
        <f t="shared" si="34"/>
        <v>0</v>
      </c>
      <c r="W294" s="271"/>
      <c r="X294" s="272" t="str">
        <f t="shared" si="36"/>
        <v/>
      </c>
      <c r="Y294" s="272" t="str">
        <f>IF(V294=1,V294+MAX($Y$5:Y293),"")</f>
        <v/>
      </c>
      <c r="Z294" s="272"/>
      <c r="AA294" s="270" t="str">
        <f>IF(ISTEXT(W294),IF(ISTEXT(Z294),Z294,'Datasource 2'!$M$14),"")</f>
        <v/>
      </c>
      <c r="AB294" s="273"/>
      <c r="AC294" s="261" t="str">
        <f t="shared" si="37"/>
        <v/>
      </c>
      <c r="AD294" s="261" t="str">
        <f t="shared" si="38"/>
        <v/>
      </c>
      <c r="AE294" s="274"/>
      <c r="AF294" s="381"/>
      <c r="AG294" s="381"/>
      <c r="AH294" s="390"/>
    </row>
    <row r="295" spans="1:34" ht="35.1" customHeight="1" thickBot="1" x14ac:dyDescent="0.4">
      <c r="A295" s="205">
        <v>30</v>
      </c>
      <c r="B295" s="391">
        <v>30</v>
      </c>
      <c r="C295" s="364"/>
      <c r="D295" s="323"/>
      <c r="E295" s="361"/>
      <c r="F295" s="361"/>
      <c r="G295" s="373"/>
      <c r="H295" s="367" t="e">
        <f>IF(VLOOKUP(G295,Trusselvurdering!$B$3:$P$28,15,FALSE)=0,VLOOKUP(G295,Trusselvurdering!$B$3:$P$28,14,FALSE),VLOOKUP(G295,Trusselvurdering!$B$3:$P$28,15,FALSE))</f>
        <v>#N/A</v>
      </c>
      <c r="I295" s="394"/>
      <c r="J295" s="395"/>
      <c r="K295" s="395"/>
      <c r="L295" s="395"/>
      <c r="M295" s="395"/>
      <c r="N295" s="396"/>
      <c r="O295" s="324"/>
      <c r="P295" s="361"/>
      <c r="Q295" s="364"/>
      <c r="R295" s="361"/>
      <c r="S295" s="364"/>
      <c r="T295" s="361"/>
      <c r="U295" s="367" t="e">
        <f>VLOOKUP(Risikovurdering_data!C293,Akseptkriterier!$C$33:$H$37,MATCH(Risikovurdering_data!D293,Akseptkriterier!$D$32:$H$32,0)+1,FALSE)</f>
        <v>#N/A</v>
      </c>
      <c r="V295" s="325">
        <f t="shared" si="34"/>
        <v>0</v>
      </c>
      <c r="W295" s="326"/>
      <c r="X295" s="327" t="str">
        <f t="shared" si="36"/>
        <v/>
      </c>
      <c r="Y295" s="327" t="str">
        <f>IF(V295=1,V295+MAX($Y$5:Y294),"")</f>
        <v/>
      </c>
      <c r="Z295" s="327"/>
      <c r="AA295" s="325" t="str">
        <f>IF(ISTEXT(W295),IF(ISTEXT(Z295),Z295,'Datasource 2'!$M$14),"")</f>
        <v/>
      </c>
      <c r="AB295" s="328"/>
      <c r="AC295" s="328" t="str">
        <f t="shared" si="37"/>
        <v/>
      </c>
      <c r="AD295" s="328" t="str">
        <f t="shared" si="38"/>
        <v/>
      </c>
      <c r="AE295" s="329"/>
      <c r="AF295" s="361"/>
      <c r="AG295" s="361"/>
      <c r="AH295" s="370" t="e">
        <f>VLOOKUP(Risikovurdering_data!F293,Akseptkriterier!$C$33:$H$37,MATCH(Risikovurdering_data!G293,Akseptkriterier!$D$32:$H$32,0)+1,FALSE)</f>
        <v>#N/A</v>
      </c>
    </row>
    <row r="296" spans="1:34" ht="35.1" customHeight="1" thickBot="1" x14ac:dyDescent="0.4">
      <c r="A296" s="203">
        <v>30</v>
      </c>
      <c r="B296" s="392"/>
      <c r="C296" s="365"/>
      <c r="D296" s="330"/>
      <c r="E296" s="362"/>
      <c r="F296" s="362"/>
      <c r="G296" s="374"/>
      <c r="H296" s="368"/>
      <c r="I296" s="397"/>
      <c r="J296" s="398"/>
      <c r="K296" s="398"/>
      <c r="L296" s="398"/>
      <c r="M296" s="398"/>
      <c r="N296" s="399"/>
      <c r="O296" s="331"/>
      <c r="P296" s="362"/>
      <c r="Q296" s="365"/>
      <c r="R296" s="362"/>
      <c r="S296" s="365"/>
      <c r="T296" s="362"/>
      <c r="U296" s="368"/>
      <c r="V296" s="332">
        <f t="shared" si="34"/>
        <v>0</v>
      </c>
      <c r="W296" s="333"/>
      <c r="X296" s="334" t="str">
        <f t="shared" si="36"/>
        <v/>
      </c>
      <c r="Y296" s="334" t="str">
        <f>IF(V296=1,V296+MAX($Y$5:Y295),"")</f>
        <v/>
      </c>
      <c r="Z296" s="334"/>
      <c r="AA296" s="332" t="str">
        <f>IF(ISTEXT(W296),IF(ISTEXT(Z296),Z296,'Datasource 2'!$M$14),"")</f>
        <v/>
      </c>
      <c r="AB296" s="328"/>
      <c r="AC296" s="328" t="str">
        <f t="shared" si="37"/>
        <v/>
      </c>
      <c r="AD296" s="328" t="str">
        <f t="shared" si="38"/>
        <v/>
      </c>
      <c r="AE296" s="329"/>
      <c r="AF296" s="362"/>
      <c r="AG296" s="362"/>
      <c r="AH296" s="371"/>
    </row>
    <row r="297" spans="1:34" ht="35.1" customHeight="1" thickBot="1" x14ac:dyDescent="0.4">
      <c r="A297" s="203">
        <v>30</v>
      </c>
      <c r="B297" s="392"/>
      <c r="C297" s="365"/>
      <c r="D297" s="330"/>
      <c r="E297" s="362"/>
      <c r="F297" s="362"/>
      <c r="G297" s="374"/>
      <c r="H297" s="368"/>
      <c r="I297" s="397"/>
      <c r="J297" s="398"/>
      <c r="K297" s="398"/>
      <c r="L297" s="398"/>
      <c r="M297" s="398"/>
      <c r="N297" s="399"/>
      <c r="O297" s="331"/>
      <c r="P297" s="362"/>
      <c r="Q297" s="365"/>
      <c r="R297" s="362"/>
      <c r="S297" s="365"/>
      <c r="T297" s="362"/>
      <c r="U297" s="368"/>
      <c r="V297" s="332">
        <f t="shared" ref="V297:V354" si="39">IF(W297="",0,1)</f>
        <v>0</v>
      </c>
      <c r="W297" s="333"/>
      <c r="X297" s="334" t="str">
        <f t="shared" si="36"/>
        <v/>
      </c>
      <c r="Y297" s="334" t="str">
        <f>IF(V297=1,V297+MAX($Y$5:Y296),"")</f>
        <v/>
      </c>
      <c r="Z297" s="334"/>
      <c r="AA297" s="332" t="str">
        <f>IF(ISTEXT(W297),IF(ISTEXT(Z297),Z297,'Datasource 2'!$M$14),"")</f>
        <v/>
      </c>
      <c r="AB297" s="328"/>
      <c r="AC297" s="328" t="str">
        <f t="shared" si="37"/>
        <v/>
      </c>
      <c r="AD297" s="328" t="str">
        <f t="shared" si="38"/>
        <v/>
      </c>
      <c r="AE297" s="329"/>
      <c r="AF297" s="362"/>
      <c r="AG297" s="362"/>
      <c r="AH297" s="371"/>
    </row>
    <row r="298" spans="1:34" ht="35.1" customHeight="1" thickBot="1" x14ac:dyDescent="0.4">
      <c r="A298" s="203">
        <v>30</v>
      </c>
      <c r="B298" s="392"/>
      <c r="C298" s="365"/>
      <c r="D298" s="330"/>
      <c r="E298" s="362"/>
      <c r="F298" s="362"/>
      <c r="G298" s="374"/>
      <c r="H298" s="368"/>
      <c r="I298" s="397"/>
      <c r="J298" s="398"/>
      <c r="K298" s="398"/>
      <c r="L298" s="398"/>
      <c r="M298" s="398"/>
      <c r="N298" s="399"/>
      <c r="O298" s="331"/>
      <c r="P298" s="362"/>
      <c r="Q298" s="365"/>
      <c r="R298" s="362"/>
      <c r="S298" s="365"/>
      <c r="T298" s="362"/>
      <c r="U298" s="368"/>
      <c r="V298" s="332">
        <f t="shared" si="39"/>
        <v>0</v>
      </c>
      <c r="W298" s="333"/>
      <c r="X298" s="334" t="str">
        <f t="shared" si="36"/>
        <v/>
      </c>
      <c r="Y298" s="334" t="str">
        <f>IF(V298=1,V298+MAX($Y$5:Y297),"")</f>
        <v/>
      </c>
      <c r="Z298" s="334"/>
      <c r="AA298" s="332" t="str">
        <f>IF(ISTEXT(W298),IF(ISTEXT(Z298),Z298,'Datasource 2'!$M$14),"")</f>
        <v/>
      </c>
      <c r="AB298" s="328"/>
      <c r="AC298" s="328" t="str">
        <f t="shared" si="37"/>
        <v/>
      </c>
      <c r="AD298" s="328" t="str">
        <f t="shared" si="38"/>
        <v/>
      </c>
      <c r="AE298" s="329"/>
      <c r="AF298" s="362"/>
      <c r="AG298" s="362"/>
      <c r="AH298" s="371"/>
    </row>
    <row r="299" spans="1:34" ht="35.1" customHeight="1" thickBot="1" x14ac:dyDescent="0.4">
      <c r="A299" s="203">
        <v>30</v>
      </c>
      <c r="B299" s="392"/>
      <c r="C299" s="365"/>
      <c r="D299" s="330"/>
      <c r="E299" s="362"/>
      <c r="F299" s="362"/>
      <c r="G299" s="374"/>
      <c r="H299" s="368"/>
      <c r="I299" s="397"/>
      <c r="J299" s="398"/>
      <c r="K299" s="398"/>
      <c r="L299" s="398"/>
      <c r="M299" s="398"/>
      <c r="N299" s="399"/>
      <c r="O299" s="331"/>
      <c r="P299" s="362"/>
      <c r="Q299" s="365"/>
      <c r="R299" s="362"/>
      <c r="S299" s="365"/>
      <c r="T299" s="362"/>
      <c r="U299" s="368"/>
      <c r="V299" s="332">
        <f t="shared" si="39"/>
        <v>0</v>
      </c>
      <c r="W299" s="333"/>
      <c r="X299" s="334" t="str">
        <f t="shared" si="36"/>
        <v/>
      </c>
      <c r="Y299" s="334" t="str">
        <f>IF(V299=1,V299+MAX($Y$5:Y298),"")</f>
        <v/>
      </c>
      <c r="Z299" s="334"/>
      <c r="AA299" s="332" t="str">
        <f>IF(ISTEXT(W299),IF(ISTEXT(Z299),Z299,'Datasource 2'!$M$14),"")</f>
        <v/>
      </c>
      <c r="AB299" s="328"/>
      <c r="AC299" s="328" t="str">
        <f t="shared" si="37"/>
        <v/>
      </c>
      <c r="AD299" s="328" t="str">
        <f t="shared" si="38"/>
        <v/>
      </c>
      <c r="AE299" s="329"/>
      <c r="AF299" s="362"/>
      <c r="AG299" s="362"/>
      <c r="AH299" s="371"/>
    </row>
    <row r="300" spans="1:34" ht="35.1" customHeight="1" thickBot="1" x14ac:dyDescent="0.4">
      <c r="A300" s="203">
        <v>30</v>
      </c>
      <c r="B300" s="392"/>
      <c r="C300" s="365"/>
      <c r="D300" s="330"/>
      <c r="E300" s="362"/>
      <c r="F300" s="362"/>
      <c r="G300" s="374"/>
      <c r="H300" s="368"/>
      <c r="I300" s="397"/>
      <c r="J300" s="398"/>
      <c r="K300" s="398"/>
      <c r="L300" s="398"/>
      <c r="M300" s="398"/>
      <c r="N300" s="399"/>
      <c r="O300" s="331"/>
      <c r="P300" s="362"/>
      <c r="Q300" s="365"/>
      <c r="R300" s="362"/>
      <c r="S300" s="365"/>
      <c r="T300" s="362"/>
      <c r="U300" s="368"/>
      <c r="V300" s="332">
        <f t="shared" si="39"/>
        <v>0</v>
      </c>
      <c r="W300" s="333"/>
      <c r="X300" s="334" t="str">
        <f t="shared" si="36"/>
        <v/>
      </c>
      <c r="Y300" s="334" t="str">
        <f>IF(V300=1,V300+MAX($Y$5:Y299),"")</f>
        <v/>
      </c>
      <c r="Z300" s="334"/>
      <c r="AA300" s="332" t="str">
        <f>IF(ISTEXT(W300),IF(ISTEXT(Z300),Z300,'Datasource 2'!$M$14),"")</f>
        <v/>
      </c>
      <c r="AB300" s="328"/>
      <c r="AC300" s="328" t="str">
        <f t="shared" si="37"/>
        <v/>
      </c>
      <c r="AD300" s="328" t="str">
        <f t="shared" si="38"/>
        <v/>
      </c>
      <c r="AE300" s="329"/>
      <c r="AF300" s="362"/>
      <c r="AG300" s="362"/>
      <c r="AH300" s="371"/>
    </row>
    <row r="301" spans="1:34" ht="35.1" customHeight="1" thickBot="1" x14ac:dyDescent="0.4">
      <c r="A301" s="203">
        <v>30</v>
      </c>
      <c r="B301" s="392"/>
      <c r="C301" s="365"/>
      <c r="D301" s="330"/>
      <c r="E301" s="362"/>
      <c r="F301" s="362"/>
      <c r="G301" s="374"/>
      <c r="H301" s="368"/>
      <c r="I301" s="397"/>
      <c r="J301" s="398"/>
      <c r="K301" s="398"/>
      <c r="L301" s="398"/>
      <c r="M301" s="398"/>
      <c r="N301" s="399"/>
      <c r="O301" s="331"/>
      <c r="P301" s="362"/>
      <c r="Q301" s="365"/>
      <c r="R301" s="362"/>
      <c r="S301" s="365"/>
      <c r="T301" s="362"/>
      <c r="U301" s="368"/>
      <c r="V301" s="332">
        <f t="shared" si="39"/>
        <v>0</v>
      </c>
      <c r="W301" s="333"/>
      <c r="X301" s="334" t="str">
        <f t="shared" si="36"/>
        <v/>
      </c>
      <c r="Y301" s="334" t="str">
        <f>IF(V301=1,V301+MAX($Y$5:Y300),"")</f>
        <v/>
      </c>
      <c r="Z301" s="334"/>
      <c r="AA301" s="332" t="str">
        <f>IF(ISTEXT(W301),IF(ISTEXT(Z301),Z301,'Datasource 2'!$M$14),"")</f>
        <v/>
      </c>
      <c r="AB301" s="328"/>
      <c r="AC301" s="328" t="str">
        <f t="shared" si="37"/>
        <v/>
      </c>
      <c r="AD301" s="328" t="str">
        <f t="shared" si="38"/>
        <v/>
      </c>
      <c r="AE301" s="329"/>
      <c r="AF301" s="362"/>
      <c r="AG301" s="362"/>
      <c r="AH301" s="371"/>
    </row>
    <row r="302" spans="1:34" ht="35.1" customHeight="1" thickBot="1" x14ac:dyDescent="0.4">
      <c r="A302" s="203">
        <v>30</v>
      </c>
      <c r="B302" s="392"/>
      <c r="C302" s="365"/>
      <c r="D302" s="330"/>
      <c r="E302" s="362"/>
      <c r="F302" s="362"/>
      <c r="G302" s="374"/>
      <c r="H302" s="368"/>
      <c r="I302" s="397"/>
      <c r="J302" s="398"/>
      <c r="K302" s="398"/>
      <c r="L302" s="398"/>
      <c r="M302" s="398"/>
      <c r="N302" s="399"/>
      <c r="O302" s="331"/>
      <c r="P302" s="362"/>
      <c r="Q302" s="365"/>
      <c r="R302" s="362"/>
      <c r="S302" s="365"/>
      <c r="T302" s="362"/>
      <c r="U302" s="368"/>
      <c r="V302" s="332">
        <f t="shared" si="39"/>
        <v>0</v>
      </c>
      <c r="W302" s="333"/>
      <c r="X302" s="334" t="str">
        <f t="shared" si="36"/>
        <v/>
      </c>
      <c r="Y302" s="334" t="str">
        <f>IF(V302=1,V302+MAX($Y$5:Y301),"")</f>
        <v/>
      </c>
      <c r="Z302" s="334"/>
      <c r="AA302" s="332" t="str">
        <f>IF(ISTEXT(W302),IF(ISTEXT(Z302),Z302,'Datasource 2'!$M$14),"")</f>
        <v/>
      </c>
      <c r="AB302" s="328"/>
      <c r="AC302" s="328" t="str">
        <f t="shared" si="37"/>
        <v/>
      </c>
      <c r="AD302" s="328" t="str">
        <f t="shared" si="38"/>
        <v/>
      </c>
      <c r="AE302" s="329"/>
      <c r="AF302" s="362"/>
      <c r="AG302" s="362"/>
      <c r="AH302" s="371"/>
    </row>
    <row r="303" spans="1:34" ht="35.1" customHeight="1" thickBot="1" x14ac:dyDescent="0.4">
      <c r="A303" s="203">
        <v>30</v>
      </c>
      <c r="B303" s="392"/>
      <c r="C303" s="365"/>
      <c r="D303" s="330"/>
      <c r="E303" s="362"/>
      <c r="F303" s="362"/>
      <c r="G303" s="374"/>
      <c r="H303" s="368"/>
      <c r="I303" s="397"/>
      <c r="J303" s="398"/>
      <c r="K303" s="398"/>
      <c r="L303" s="398"/>
      <c r="M303" s="398"/>
      <c r="N303" s="399"/>
      <c r="O303" s="331"/>
      <c r="P303" s="362"/>
      <c r="Q303" s="365"/>
      <c r="R303" s="362"/>
      <c r="S303" s="365"/>
      <c r="T303" s="362"/>
      <c r="U303" s="368"/>
      <c r="V303" s="332">
        <f t="shared" si="39"/>
        <v>0</v>
      </c>
      <c r="W303" s="333"/>
      <c r="X303" s="334" t="str">
        <f t="shared" si="36"/>
        <v/>
      </c>
      <c r="Y303" s="334" t="str">
        <f>IF(V303=1,V303+MAX($Y$5:Y302),"")</f>
        <v/>
      </c>
      <c r="Z303" s="334"/>
      <c r="AA303" s="332" t="str">
        <f>IF(ISTEXT(W303),IF(ISTEXT(Z303),Z303,'Datasource 2'!$M$14),"")</f>
        <v/>
      </c>
      <c r="AB303" s="328"/>
      <c r="AC303" s="328" t="str">
        <f t="shared" si="37"/>
        <v/>
      </c>
      <c r="AD303" s="328" t="str">
        <f t="shared" si="38"/>
        <v/>
      </c>
      <c r="AE303" s="329"/>
      <c r="AF303" s="362"/>
      <c r="AG303" s="362"/>
      <c r="AH303" s="371"/>
    </row>
    <row r="304" spans="1:34" ht="35.1" customHeight="1" thickBot="1" x14ac:dyDescent="0.4">
      <c r="A304" s="203">
        <v>30</v>
      </c>
      <c r="B304" s="393"/>
      <c r="C304" s="366"/>
      <c r="D304" s="335"/>
      <c r="E304" s="363"/>
      <c r="F304" s="363"/>
      <c r="G304" s="375"/>
      <c r="H304" s="369"/>
      <c r="I304" s="400"/>
      <c r="J304" s="401"/>
      <c r="K304" s="401"/>
      <c r="L304" s="401"/>
      <c r="M304" s="401"/>
      <c r="N304" s="402"/>
      <c r="O304" s="336"/>
      <c r="P304" s="363"/>
      <c r="Q304" s="366"/>
      <c r="R304" s="363"/>
      <c r="S304" s="366"/>
      <c r="T304" s="363"/>
      <c r="U304" s="369"/>
      <c r="V304" s="337">
        <f t="shared" si="39"/>
        <v>0</v>
      </c>
      <c r="W304" s="338"/>
      <c r="X304" s="339" t="str">
        <f t="shared" si="36"/>
        <v/>
      </c>
      <c r="Y304" s="339" t="str">
        <f>IF(V304=1,V304+MAX($Y$5:Y303),"")</f>
        <v/>
      </c>
      <c r="Z304" s="339"/>
      <c r="AA304" s="337" t="str">
        <f>IF(ISTEXT(W304),IF(ISTEXT(Z304),Z304,'Datasource 2'!$M$14),"")</f>
        <v/>
      </c>
      <c r="AB304" s="339"/>
      <c r="AC304" s="328" t="str">
        <f t="shared" si="37"/>
        <v/>
      </c>
      <c r="AD304" s="328" t="str">
        <f t="shared" si="38"/>
        <v/>
      </c>
      <c r="AE304" s="340"/>
      <c r="AF304" s="363"/>
      <c r="AG304" s="363"/>
      <c r="AH304" s="372"/>
    </row>
    <row r="305" spans="1:34" ht="35.1" customHeight="1" thickBot="1" x14ac:dyDescent="0.4">
      <c r="A305" s="205">
        <v>31</v>
      </c>
      <c r="B305" s="412">
        <v>31</v>
      </c>
      <c r="C305" s="382"/>
      <c r="D305" s="257"/>
      <c r="E305" s="379"/>
      <c r="F305" s="379"/>
      <c r="G305" s="376"/>
      <c r="H305" s="385" t="e">
        <f>IF(VLOOKUP(G305,Trusselvurdering!$B$3:$P$28,15,FALSE)=0,VLOOKUP(G305,Trusselvurdering!$B$3:$P$28,14,FALSE),VLOOKUP(G305,Trusselvurdering!$B$3:$P$28,15,FALSE))</f>
        <v>#N/A</v>
      </c>
      <c r="I305" s="403"/>
      <c r="J305" s="404"/>
      <c r="K305" s="404"/>
      <c r="L305" s="404"/>
      <c r="M305" s="404"/>
      <c r="N305" s="405"/>
      <c r="O305" s="258"/>
      <c r="P305" s="379"/>
      <c r="Q305" s="382"/>
      <c r="R305" s="379"/>
      <c r="S305" s="382"/>
      <c r="T305" s="379"/>
      <c r="U305" s="385" t="e">
        <f>VLOOKUP(Risikovurdering_data!C303,Akseptkriterier!$C$33:$H$37,MATCH(Risikovurdering_data!D303,Akseptkriterier!$D$32:$H$32,0)+1,FALSE)</f>
        <v>#N/A</v>
      </c>
      <c r="V305" s="259">
        <f t="shared" si="39"/>
        <v>0</v>
      </c>
      <c r="W305" s="260"/>
      <c r="X305" s="261" t="str">
        <f t="shared" si="36"/>
        <v/>
      </c>
      <c r="Y305" s="261" t="str">
        <f>IF(V305=1,V305+MAX($Y$5:Y304),"")</f>
        <v/>
      </c>
      <c r="Z305" s="261"/>
      <c r="AA305" s="259" t="str">
        <f>IF(ISTEXT(W305),IF(ISTEXT(Z305),Z305,'Datasource 2'!$M$14),"")</f>
        <v/>
      </c>
      <c r="AB305" s="261"/>
      <c r="AC305" s="261" t="str">
        <f t="shared" si="37"/>
        <v/>
      </c>
      <c r="AD305" s="261" t="str">
        <f t="shared" si="38"/>
        <v/>
      </c>
      <c r="AE305" s="262"/>
      <c r="AF305" s="379"/>
      <c r="AG305" s="379"/>
      <c r="AH305" s="388" t="e">
        <f>VLOOKUP(Risikovurdering_data!F303,Akseptkriterier!$C$33:$H$37,MATCH(Risikovurdering_data!G303,Akseptkriterier!$D$32:$H$32,0)+1,FALSE)</f>
        <v>#N/A</v>
      </c>
    </row>
    <row r="306" spans="1:34" ht="35.1" customHeight="1" thickBot="1" x14ac:dyDescent="0.4">
      <c r="A306" s="203">
        <v>31</v>
      </c>
      <c r="B306" s="413"/>
      <c r="C306" s="383"/>
      <c r="D306" s="263"/>
      <c r="E306" s="380"/>
      <c r="F306" s="380"/>
      <c r="G306" s="377"/>
      <c r="H306" s="386"/>
      <c r="I306" s="406"/>
      <c r="J306" s="407"/>
      <c r="K306" s="407"/>
      <c r="L306" s="407"/>
      <c r="M306" s="407"/>
      <c r="N306" s="408"/>
      <c r="O306" s="264"/>
      <c r="P306" s="380"/>
      <c r="Q306" s="383"/>
      <c r="R306" s="380"/>
      <c r="S306" s="383"/>
      <c r="T306" s="380"/>
      <c r="U306" s="386"/>
      <c r="V306" s="265">
        <f t="shared" si="39"/>
        <v>0</v>
      </c>
      <c r="W306" s="266"/>
      <c r="X306" s="267" t="str">
        <f t="shared" si="36"/>
        <v/>
      </c>
      <c r="Y306" s="267" t="str">
        <f>IF(V306=1,V306+MAX($Y$5:Y305),"")</f>
        <v/>
      </c>
      <c r="Z306" s="267"/>
      <c r="AA306" s="265" t="str">
        <f>IF(ISTEXT(W306),IF(ISTEXT(Z306),Z306,'Datasource 2'!$M$14),"")</f>
        <v/>
      </c>
      <c r="AB306" s="261"/>
      <c r="AC306" s="261" t="str">
        <f t="shared" si="37"/>
        <v/>
      </c>
      <c r="AD306" s="261" t="str">
        <f t="shared" si="38"/>
        <v/>
      </c>
      <c r="AE306" s="262"/>
      <c r="AF306" s="380"/>
      <c r="AG306" s="380"/>
      <c r="AH306" s="389"/>
    </row>
    <row r="307" spans="1:34" ht="35.1" customHeight="1" thickBot="1" x14ac:dyDescent="0.4">
      <c r="A307" s="203">
        <v>31</v>
      </c>
      <c r="B307" s="413"/>
      <c r="C307" s="383"/>
      <c r="D307" s="263"/>
      <c r="E307" s="380"/>
      <c r="F307" s="380"/>
      <c r="G307" s="377"/>
      <c r="H307" s="386"/>
      <c r="I307" s="406"/>
      <c r="J307" s="407"/>
      <c r="K307" s="407"/>
      <c r="L307" s="407"/>
      <c r="M307" s="407"/>
      <c r="N307" s="408"/>
      <c r="O307" s="264"/>
      <c r="P307" s="380"/>
      <c r="Q307" s="383"/>
      <c r="R307" s="380"/>
      <c r="S307" s="383"/>
      <c r="T307" s="380"/>
      <c r="U307" s="386"/>
      <c r="V307" s="265">
        <f t="shared" si="39"/>
        <v>0</v>
      </c>
      <c r="W307" s="266"/>
      <c r="X307" s="267" t="str">
        <f t="shared" si="36"/>
        <v/>
      </c>
      <c r="Y307" s="267" t="str">
        <f>IF(V307=1,V307+MAX($Y$5:Y306),"")</f>
        <v/>
      </c>
      <c r="Z307" s="267"/>
      <c r="AA307" s="265" t="str">
        <f>IF(ISTEXT(W307),IF(ISTEXT(Z307),Z307,'Datasource 2'!$M$14),"")</f>
        <v/>
      </c>
      <c r="AB307" s="261"/>
      <c r="AC307" s="261" t="str">
        <f t="shared" si="37"/>
        <v/>
      </c>
      <c r="AD307" s="261" t="str">
        <f t="shared" si="38"/>
        <v/>
      </c>
      <c r="AE307" s="262"/>
      <c r="AF307" s="380"/>
      <c r="AG307" s="380"/>
      <c r="AH307" s="389"/>
    </row>
    <row r="308" spans="1:34" ht="35.1" customHeight="1" thickBot="1" x14ac:dyDescent="0.4">
      <c r="A308" s="203">
        <v>31</v>
      </c>
      <c r="B308" s="413"/>
      <c r="C308" s="383"/>
      <c r="D308" s="263"/>
      <c r="E308" s="380"/>
      <c r="F308" s="380"/>
      <c r="G308" s="377"/>
      <c r="H308" s="386"/>
      <c r="I308" s="406"/>
      <c r="J308" s="407"/>
      <c r="K308" s="407"/>
      <c r="L308" s="407"/>
      <c r="M308" s="407"/>
      <c r="N308" s="408"/>
      <c r="O308" s="264"/>
      <c r="P308" s="380"/>
      <c r="Q308" s="383"/>
      <c r="R308" s="380"/>
      <c r="S308" s="383"/>
      <c r="T308" s="380"/>
      <c r="U308" s="386"/>
      <c r="V308" s="265">
        <f t="shared" si="39"/>
        <v>0</v>
      </c>
      <c r="W308" s="266"/>
      <c r="X308" s="267" t="str">
        <f t="shared" si="36"/>
        <v/>
      </c>
      <c r="Y308" s="267" t="str">
        <f>IF(V308=1,V308+MAX($Y$5:Y307),"")</f>
        <v/>
      </c>
      <c r="Z308" s="267"/>
      <c r="AA308" s="265" t="str">
        <f>IF(ISTEXT(W308),IF(ISTEXT(Z308),Z308,'Datasource 2'!$M$14),"")</f>
        <v/>
      </c>
      <c r="AB308" s="261"/>
      <c r="AC308" s="261" t="str">
        <f t="shared" si="37"/>
        <v/>
      </c>
      <c r="AD308" s="261" t="str">
        <f t="shared" si="38"/>
        <v/>
      </c>
      <c r="AE308" s="262"/>
      <c r="AF308" s="380"/>
      <c r="AG308" s="380"/>
      <c r="AH308" s="389"/>
    </row>
    <row r="309" spans="1:34" ht="35.1" customHeight="1" thickBot="1" x14ac:dyDescent="0.4">
      <c r="A309" s="203">
        <v>31</v>
      </c>
      <c r="B309" s="413"/>
      <c r="C309" s="383"/>
      <c r="D309" s="263"/>
      <c r="E309" s="380"/>
      <c r="F309" s="380"/>
      <c r="G309" s="377"/>
      <c r="H309" s="386"/>
      <c r="I309" s="406"/>
      <c r="J309" s="407"/>
      <c r="K309" s="407"/>
      <c r="L309" s="407"/>
      <c r="M309" s="407"/>
      <c r="N309" s="408"/>
      <c r="O309" s="264"/>
      <c r="P309" s="380"/>
      <c r="Q309" s="383"/>
      <c r="R309" s="380"/>
      <c r="S309" s="383"/>
      <c r="T309" s="380"/>
      <c r="U309" s="386"/>
      <c r="V309" s="265">
        <f t="shared" si="39"/>
        <v>0</v>
      </c>
      <c r="W309" s="266"/>
      <c r="X309" s="267" t="str">
        <f t="shared" si="36"/>
        <v/>
      </c>
      <c r="Y309" s="267" t="str">
        <f>IF(V309=1,V309+MAX($Y$5:Y308),"")</f>
        <v/>
      </c>
      <c r="Z309" s="267"/>
      <c r="AA309" s="265" t="str">
        <f>IF(ISTEXT(W309),IF(ISTEXT(Z309),Z309,'Datasource 2'!$M$14),"")</f>
        <v/>
      </c>
      <c r="AB309" s="261"/>
      <c r="AC309" s="261" t="str">
        <f t="shared" si="37"/>
        <v/>
      </c>
      <c r="AD309" s="261" t="str">
        <f t="shared" si="38"/>
        <v/>
      </c>
      <c r="AE309" s="262"/>
      <c r="AF309" s="380"/>
      <c r="AG309" s="380"/>
      <c r="AH309" s="389"/>
    </row>
    <row r="310" spans="1:34" ht="35.1" customHeight="1" thickBot="1" x14ac:dyDescent="0.4">
      <c r="A310" s="203">
        <v>31</v>
      </c>
      <c r="B310" s="413"/>
      <c r="C310" s="383"/>
      <c r="D310" s="263"/>
      <c r="E310" s="380"/>
      <c r="F310" s="380"/>
      <c r="G310" s="377"/>
      <c r="H310" s="386"/>
      <c r="I310" s="406"/>
      <c r="J310" s="407"/>
      <c r="K310" s="407"/>
      <c r="L310" s="407"/>
      <c r="M310" s="407"/>
      <c r="N310" s="408"/>
      <c r="O310" s="264"/>
      <c r="P310" s="380"/>
      <c r="Q310" s="383"/>
      <c r="R310" s="380"/>
      <c r="S310" s="383"/>
      <c r="T310" s="380"/>
      <c r="U310" s="386"/>
      <c r="V310" s="265">
        <f t="shared" si="39"/>
        <v>0</v>
      </c>
      <c r="W310" s="266"/>
      <c r="X310" s="267" t="str">
        <f t="shared" si="36"/>
        <v/>
      </c>
      <c r="Y310" s="267" t="str">
        <f>IF(V310=1,V310+MAX($Y$5:Y309),"")</f>
        <v/>
      </c>
      <c r="Z310" s="267"/>
      <c r="AA310" s="265" t="str">
        <f>IF(ISTEXT(W310),IF(ISTEXT(Z310),Z310,'Datasource 2'!$M$14),"")</f>
        <v/>
      </c>
      <c r="AB310" s="261"/>
      <c r="AC310" s="261" t="str">
        <f t="shared" si="37"/>
        <v/>
      </c>
      <c r="AD310" s="261" t="str">
        <f t="shared" si="38"/>
        <v/>
      </c>
      <c r="AE310" s="262"/>
      <c r="AF310" s="380"/>
      <c r="AG310" s="380"/>
      <c r="AH310" s="389"/>
    </row>
    <row r="311" spans="1:34" ht="35.1" customHeight="1" thickBot="1" x14ac:dyDescent="0.4">
      <c r="A311" s="203">
        <v>31</v>
      </c>
      <c r="B311" s="413"/>
      <c r="C311" s="383"/>
      <c r="D311" s="263"/>
      <c r="E311" s="380"/>
      <c r="F311" s="380"/>
      <c r="G311" s="377"/>
      <c r="H311" s="386"/>
      <c r="I311" s="406"/>
      <c r="J311" s="407"/>
      <c r="K311" s="407"/>
      <c r="L311" s="407"/>
      <c r="M311" s="407"/>
      <c r="N311" s="408"/>
      <c r="O311" s="264"/>
      <c r="P311" s="380"/>
      <c r="Q311" s="383"/>
      <c r="R311" s="380"/>
      <c r="S311" s="383"/>
      <c r="T311" s="380"/>
      <c r="U311" s="386"/>
      <c r="V311" s="265">
        <f t="shared" si="39"/>
        <v>0</v>
      </c>
      <c r="W311" s="266"/>
      <c r="X311" s="267" t="str">
        <f t="shared" si="36"/>
        <v/>
      </c>
      <c r="Y311" s="267" t="str">
        <f>IF(V311=1,V311+MAX($Y$5:Y310),"")</f>
        <v/>
      </c>
      <c r="Z311" s="267"/>
      <c r="AA311" s="265" t="str">
        <f>IF(ISTEXT(W311),IF(ISTEXT(Z311),Z311,'Datasource 2'!$M$14),"")</f>
        <v/>
      </c>
      <c r="AB311" s="261"/>
      <c r="AC311" s="261" t="str">
        <f t="shared" si="37"/>
        <v/>
      </c>
      <c r="AD311" s="261" t="str">
        <f t="shared" si="38"/>
        <v/>
      </c>
      <c r="AE311" s="262"/>
      <c r="AF311" s="380"/>
      <c r="AG311" s="380"/>
      <c r="AH311" s="389"/>
    </row>
    <row r="312" spans="1:34" ht="35.1" customHeight="1" thickBot="1" x14ac:dyDescent="0.4">
      <c r="A312" s="203">
        <v>31</v>
      </c>
      <c r="B312" s="413"/>
      <c r="C312" s="383"/>
      <c r="D312" s="263"/>
      <c r="E312" s="380"/>
      <c r="F312" s="380"/>
      <c r="G312" s="377"/>
      <c r="H312" s="386"/>
      <c r="I312" s="406"/>
      <c r="J312" s="407"/>
      <c r="K312" s="407"/>
      <c r="L312" s="407"/>
      <c r="M312" s="407"/>
      <c r="N312" s="408"/>
      <c r="O312" s="264"/>
      <c r="P312" s="380"/>
      <c r="Q312" s="383"/>
      <c r="R312" s="380"/>
      <c r="S312" s="383"/>
      <c r="T312" s="380"/>
      <c r="U312" s="386"/>
      <c r="V312" s="265">
        <f t="shared" si="39"/>
        <v>0</v>
      </c>
      <c r="W312" s="266"/>
      <c r="X312" s="267" t="str">
        <f t="shared" si="36"/>
        <v/>
      </c>
      <c r="Y312" s="267" t="str">
        <f>IF(V312=1,V312+MAX($Y$5:Y311),"")</f>
        <v/>
      </c>
      <c r="Z312" s="267"/>
      <c r="AA312" s="265" t="str">
        <f>IF(ISTEXT(W312),IF(ISTEXT(Z312),Z312,'Datasource 2'!$M$14),"")</f>
        <v/>
      </c>
      <c r="AB312" s="261"/>
      <c r="AC312" s="261" t="str">
        <f t="shared" si="37"/>
        <v/>
      </c>
      <c r="AD312" s="261" t="str">
        <f t="shared" si="38"/>
        <v/>
      </c>
      <c r="AE312" s="262"/>
      <c r="AF312" s="380"/>
      <c r="AG312" s="380"/>
      <c r="AH312" s="389"/>
    </row>
    <row r="313" spans="1:34" ht="35.1" customHeight="1" thickBot="1" x14ac:dyDescent="0.4">
      <c r="A313" s="203">
        <v>31</v>
      </c>
      <c r="B313" s="413"/>
      <c r="C313" s="383"/>
      <c r="D313" s="263"/>
      <c r="E313" s="380"/>
      <c r="F313" s="380"/>
      <c r="G313" s="377"/>
      <c r="H313" s="386"/>
      <c r="I313" s="406"/>
      <c r="J313" s="407"/>
      <c r="K313" s="407"/>
      <c r="L313" s="407"/>
      <c r="M313" s="407"/>
      <c r="N313" s="408"/>
      <c r="O313" s="264"/>
      <c r="P313" s="380"/>
      <c r="Q313" s="383"/>
      <c r="R313" s="380"/>
      <c r="S313" s="383"/>
      <c r="T313" s="380"/>
      <c r="U313" s="386"/>
      <c r="V313" s="265">
        <f t="shared" si="39"/>
        <v>0</v>
      </c>
      <c r="W313" s="266"/>
      <c r="X313" s="267" t="str">
        <f t="shared" si="36"/>
        <v/>
      </c>
      <c r="Y313" s="267" t="str">
        <f>IF(V313=1,V313+MAX($Y$5:Y312),"")</f>
        <v/>
      </c>
      <c r="Z313" s="267"/>
      <c r="AA313" s="265" t="str">
        <f>IF(ISTEXT(W313),IF(ISTEXT(Z313),Z313,'Datasource 2'!$M$14),"")</f>
        <v/>
      </c>
      <c r="AB313" s="261"/>
      <c r="AC313" s="261" t="str">
        <f t="shared" si="37"/>
        <v/>
      </c>
      <c r="AD313" s="261" t="str">
        <f t="shared" si="38"/>
        <v/>
      </c>
      <c r="AE313" s="262"/>
      <c r="AF313" s="380"/>
      <c r="AG313" s="380"/>
      <c r="AH313" s="389"/>
    </row>
    <row r="314" spans="1:34" ht="35.1" customHeight="1" thickBot="1" x14ac:dyDescent="0.4">
      <c r="A314" s="203">
        <v>31</v>
      </c>
      <c r="B314" s="414"/>
      <c r="C314" s="384"/>
      <c r="D314" s="268"/>
      <c r="E314" s="381"/>
      <c r="F314" s="381"/>
      <c r="G314" s="378"/>
      <c r="H314" s="387"/>
      <c r="I314" s="409"/>
      <c r="J314" s="410"/>
      <c r="K314" s="410"/>
      <c r="L314" s="410"/>
      <c r="M314" s="410"/>
      <c r="N314" s="411"/>
      <c r="O314" s="269"/>
      <c r="P314" s="381"/>
      <c r="Q314" s="384"/>
      <c r="R314" s="381"/>
      <c r="S314" s="384"/>
      <c r="T314" s="381"/>
      <c r="U314" s="387"/>
      <c r="V314" s="270">
        <f t="shared" si="39"/>
        <v>0</v>
      </c>
      <c r="W314" s="271"/>
      <c r="X314" s="272" t="str">
        <f t="shared" si="36"/>
        <v/>
      </c>
      <c r="Y314" s="272" t="str">
        <f>IF(V314=1,V314+MAX($Y$5:Y313),"")</f>
        <v/>
      </c>
      <c r="Z314" s="272"/>
      <c r="AA314" s="270" t="str">
        <f>IF(ISTEXT(W314),IF(ISTEXT(Z314),Z314,'Datasource 2'!$M$14),"")</f>
        <v/>
      </c>
      <c r="AB314" s="273"/>
      <c r="AC314" s="261" t="str">
        <f t="shared" si="37"/>
        <v/>
      </c>
      <c r="AD314" s="261" t="str">
        <f t="shared" si="38"/>
        <v/>
      </c>
      <c r="AE314" s="274"/>
      <c r="AF314" s="381"/>
      <c r="AG314" s="381"/>
      <c r="AH314" s="390"/>
    </row>
    <row r="315" spans="1:34" ht="35.1" customHeight="1" thickBot="1" x14ac:dyDescent="0.4">
      <c r="A315" s="205">
        <v>32</v>
      </c>
      <c r="B315" s="391">
        <v>32</v>
      </c>
      <c r="C315" s="364"/>
      <c r="D315" s="323"/>
      <c r="E315" s="361"/>
      <c r="F315" s="361"/>
      <c r="G315" s="373"/>
      <c r="H315" s="367" t="e">
        <f>IF(VLOOKUP(G315,Trusselvurdering!$B$3:$P$28,15,FALSE)=0,VLOOKUP(G315,Trusselvurdering!$B$3:$P$28,14,FALSE),VLOOKUP(G315,Trusselvurdering!$B$3:$P$28,15,FALSE))</f>
        <v>#N/A</v>
      </c>
      <c r="I315" s="394"/>
      <c r="J315" s="395"/>
      <c r="K315" s="395"/>
      <c r="L315" s="395"/>
      <c r="M315" s="395"/>
      <c r="N315" s="396"/>
      <c r="O315" s="324"/>
      <c r="P315" s="361"/>
      <c r="Q315" s="364"/>
      <c r="R315" s="361"/>
      <c r="S315" s="364"/>
      <c r="T315" s="361"/>
      <c r="U315" s="367" t="e">
        <f>VLOOKUP(Risikovurdering_data!C313,Akseptkriterier!$C$33:$H$37,MATCH(Risikovurdering_data!D313,Akseptkriterier!$D$32:$H$32,0)+1,FALSE)</f>
        <v>#N/A</v>
      </c>
      <c r="V315" s="325">
        <f t="shared" si="39"/>
        <v>0</v>
      </c>
      <c r="W315" s="326"/>
      <c r="X315" s="327" t="str">
        <f t="shared" si="36"/>
        <v/>
      </c>
      <c r="Y315" s="327" t="str">
        <f>IF(V315=1,V315+MAX($Y$5:Y314),"")</f>
        <v/>
      </c>
      <c r="Z315" s="327"/>
      <c r="AA315" s="325" t="str">
        <f>IF(ISTEXT(W315),IF(ISTEXT(Z315),Z315,'Datasource 2'!$M$14),"")</f>
        <v/>
      </c>
      <c r="AB315" s="328"/>
      <c r="AC315" s="328" t="str">
        <f t="shared" si="37"/>
        <v/>
      </c>
      <c r="AD315" s="328" t="str">
        <f t="shared" si="38"/>
        <v/>
      </c>
      <c r="AE315" s="329"/>
      <c r="AF315" s="361"/>
      <c r="AG315" s="361"/>
      <c r="AH315" s="370" t="e">
        <f>VLOOKUP(Risikovurdering_data!F313,Akseptkriterier!$C$33:$H$37,MATCH(Risikovurdering_data!G313,Akseptkriterier!$D$32:$H$32,0)+1,FALSE)</f>
        <v>#N/A</v>
      </c>
    </row>
    <row r="316" spans="1:34" ht="35.1" customHeight="1" thickBot="1" x14ac:dyDescent="0.4">
      <c r="A316" s="203">
        <v>32</v>
      </c>
      <c r="B316" s="392"/>
      <c r="C316" s="365"/>
      <c r="D316" s="330"/>
      <c r="E316" s="362"/>
      <c r="F316" s="362"/>
      <c r="G316" s="374"/>
      <c r="H316" s="368"/>
      <c r="I316" s="397"/>
      <c r="J316" s="398"/>
      <c r="K316" s="398"/>
      <c r="L316" s="398"/>
      <c r="M316" s="398"/>
      <c r="N316" s="399"/>
      <c r="O316" s="331"/>
      <c r="P316" s="362"/>
      <c r="Q316" s="365"/>
      <c r="R316" s="362"/>
      <c r="S316" s="365"/>
      <c r="T316" s="362"/>
      <c r="U316" s="368"/>
      <c r="V316" s="332">
        <f t="shared" si="39"/>
        <v>0</v>
      </c>
      <c r="W316" s="333"/>
      <c r="X316" s="334" t="str">
        <f t="shared" si="36"/>
        <v/>
      </c>
      <c r="Y316" s="334" t="str">
        <f>IF(V316=1,V316+MAX($Y$5:Y315),"")</f>
        <v/>
      </c>
      <c r="Z316" s="334"/>
      <c r="AA316" s="332" t="str">
        <f>IF(ISTEXT(W316),IF(ISTEXT(Z316),Z316,'Datasource 2'!$M$14),"")</f>
        <v/>
      </c>
      <c r="AB316" s="328"/>
      <c r="AC316" s="328" t="str">
        <f t="shared" si="37"/>
        <v/>
      </c>
      <c r="AD316" s="328" t="str">
        <f t="shared" si="38"/>
        <v/>
      </c>
      <c r="AE316" s="329"/>
      <c r="AF316" s="362"/>
      <c r="AG316" s="362"/>
      <c r="AH316" s="371"/>
    </row>
    <row r="317" spans="1:34" ht="35.1" customHeight="1" thickBot="1" x14ac:dyDescent="0.4">
      <c r="A317" s="203">
        <v>32</v>
      </c>
      <c r="B317" s="392"/>
      <c r="C317" s="365"/>
      <c r="D317" s="330"/>
      <c r="E317" s="362"/>
      <c r="F317" s="362"/>
      <c r="G317" s="374"/>
      <c r="H317" s="368"/>
      <c r="I317" s="397"/>
      <c r="J317" s="398"/>
      <c r="K317" s="398"/>
      <c r="L317" s="398"/>
      <c r="M317" s="398"/>
      <c r="N317" s="399"/>
      <c r="O317" s="331"/>
      <c r="P317" s="362"/>
      <c r="Q317" s="365"/>
      <c r="R317" s="362"/>
      <c r="S317" s="365"/>
      <c r="T317" s="362"/>
      <c r="U317" s="368"/>
      <c r="V317" s="332">
        <f t="shared" si="39"/>
        <v>0</v>
      </c>
      <c r="W317" s="333"/>
      <c r="X317" s="334" t="str">
        <f t="shared" si="36"/>
        <v/>
      </c>
      <c r="Y317" s="334" t="str">
        <f>IF(V317=1,V317+MAX($Y$5:Y316),"")</f>
        <v/>
      </c>
      <c r="Z317" s="334"/>
      <c r="AA317" s="332" t="str">
        <f>IF(ISTEXT(W317),IF(ISTEXT(Z317),Z317,'Datasource 2'!$M$14),"")</f>
        <v/>
      </c>
      <c r="AB317" s="328"/>
      <c r="AC317" s="328" t="str">
        <f t="shared" si="37"/>
        <v/>
      </c>
      <c r="AD317" s="328" t="str">
        <f t="shared" si="38"/>
        <v/>
      </c>
      <c r="AE317" s="329"/>
      <c r="AF317" s="362"/>
      <c r="AG317" s="362"/>
      <c r="AH317" s="371"/>
    </row>
    <row r="318" spans="1:34" ht="35.1" customHeight="1" thickBot="1" x14ac:dyDescent="0.4">
      <c r="A318" s="203">
        <v>32</v>
      </c>
      <c r="B318" s="392"/>
      <c r="C318" s="365"/>
      <c r="D318" s="330"/>
      <c r="E318" s="362"/>
      <c r="F318" s="362"/>
      <c r="G318" s="374"/>
      <c r="H318" s="368"/>
      <c r="I318" s="397"/>
      <c r="J318" s="398"/>
      <c r="K318" s="398"/>
      <c r="L318" s="398"/>
      <c r="M318" s="398"/>
      <c r="N318" s="399"/>
      <c r="O318" s="331"/>
      <c r="P318" s="362"/>
      <c r="Q318" s="365"/>
      <c r="R318" s="362"/>
      <c r="S318" s="365"/>
      <c r="T318" s="362"/>
      <c r="U318" s="368"/>
      <c r="V318" s="332">
        <f t="shared" si="39"/>
        <v>0</v>
      </c>
      <c r="W318" s="333"/>
      <c r="X318" s="334" t="str">
        <f t="shared" si="36"/>
        <v/>
      </c>
      <c r="Y318" s="334" t="str">
        <f>IF(V318=1,V318+MAX($Y$5:Y317),"")</f>
        <v/>
      </c>
      <c r="Z318" s="334"/>
      <c r="AA318" s="332" t="str">
        <f>IF(ISTEXT(W318),IF(ISTEXT(Z318),Z318,'Datasource 2'!$M$14),"")</f>
        <v/>
      </c>
      <c r="AB318" s="328"/>
      <c r="AC318" s="328" t="str">
        <f t="shared" si="37"/>
        <v/>
      </c>
      <c r="AD318" s="328" t="str">
        <f t="shared" si="38"/>
        <v/>
      </c>
      <c r="AE318" s="329"/>
      <c r="AF318" s="362"/>
      <c r="AG318" s="362"/>
      <c r="AH318" s="371"/>
    </row>
    <row r="319" spans="1:34" ht="35.1" customHeight="1" thickBot="1" x14ac:dyDescent="0.4">
      <c r="A319" s="203">
        <v>32</v>
      </c>
      <c r="B319" s="392"/>
      <c r="C319" s="365"/>
      <c r="D319" s="330"/>
      <c r="E319" s="362"/>
      <c r="F319" s="362"/>
      <c r="G319" s="374"/>
      <c r="H319" s="368"/>
      <c r="I319" s="397"/>
      <c r="J319" s="398"/>
      <c r="K319" s="398"/>
      <c r="L319" s="398"/>
      <c r="M319" s="398"/>
      <c r="N319" s="399"/>
      <c r="O319" s="331"/>
      <c r="P319" s="362"/>
      <c r="Q319" s="365"/>
      <c r="R319" s="362"/>
      <c r="S319" s="365"/>
      <c r="T319" s="362"/>
      <c r="U319" s="368"/>
      <c r="V319" s="332">
        <f t="shared" si="39"/>
        <v>0</v>
      </c>
      <c r="W319" s="333"/>
      <c r="X319" s="334" t="str">
        <f t="shared" si="36"/>
        <v/>
      </c>
      <c r="Y319" s="334" t="str">
        <f>IF(V319=1,V319+MAX($Y$5:Y318),"")</f>
        <v/>
      </c>
      <c r="Z319" s="334"/>
      <c r="AA319" s="332" t="str">
        <f>IF(ISTEXT(W319),IF(ISTEXT(Z319),Z319,'Datasource 2'!$M$14),"")</f>
        <v/>
      </c>
      <c r="AB319" s="328"/>
      <c r="AC319" s="328" t="str">
        <f t="shared" si="37"/>
        <v/>
      </c>
      <c r="AD319" s="328" t="str">
        <f t="shared" si="38"/>
        <v/>
      </c>
      <c r="AE319" s="329"/>
      <c r="AF319" s="362"/>
      <c r="AG319" s="362"/>
      <c r="AH319" s="371"/>
    </row>
    <row r="320" spans="1:34" ht="35.1" customHeight="1" thickBot="1" x14ac:dyDescent="0.4">
      <c r="A320" s="203">
        <v>32</v>
      </c>
      <c r="B320" s="392"/>
      <c r="C320" s="365"/>
      <c r="D320" s="330"/>
      <c r="E320" s="362"/>
      <c r="F320" s="362"/>
      <c r="G320" s="374"/>
      <c r="H320" s="368"/>
      <c r="I320" s="397"/>
      <c r="J320" s="398"/>
      <c r="K320" s="398"/>
      <c r="L320" s="398"/>
      <c r="M320" s="398"/>
      <c r="N320" s="399"/>
      <c r="O320" s="331"/>
      <c r="P320" s="362"/>
      <c r="Q320" s="365"/>
      <c r="R320" s="362"/>
      <c r="S320" s="365"/>
      <c r="T320" s="362"/>
      <c r="U320" s="368"/>
      <c r="V320" s="332">
        <f t="shared" si="39"/>
        <v>0</v>
      </c>
      <c r="W320" s="333"/>
      <c r="X320" s="334" t="str">
        <f t="shared" si="36"/>
        <v/>
      </c>
      <c r="Y320" s="334" t="str">
        <f>IF(V320=1,V320+MAX($Y$5:Y319),"")</f>
        <v/>
      </c>
      <c r="Z320" s="334"/>
      <c r="AA320" s="332" t="str">
        <f>IF(ISTEXT(W320),IF(ISTEXT(Z320),Z320,'Datasource 2'!$M$14),"")</f>
        <v/>
      </c>
      <c r="AB320" s="328"/>
      <c r="AC320" s="328" t="str">
        <f t="shared" si="37"/>
        <v/>
      </c>
      <c r="AD320" s="328" t="str">
        <f t="shared" si="38"/>
        <v/>
      </c>
      <c r="AE320" s="329"/>
      <c r="AF320" s="362"/>
      <c r="AG320" s="362"/>
      <c r="AH320" s="371"/>
    </row>
    <row r="321" spans="1:34" ht="35.1" customHeight="1" thickBot="1" x14ac:dyDescent="0.4">
      <c r="A321" s="203">
        <v>32</v>
      </c>
      <c r="B321" s="392"/>
      <c r="C321" s="365"/>
      <c r="D321" s="330"/>
      <c r="E321" s="362"/>
      <c r="F321" s="362"/>
      <c r="G321" s="374"/>
      <c r="H321" s="368"/>
      <c r="I321" s="397"/>
      <c r="J321" s="398"/>
      <c r="K321" s="398"/>
      <c r="L321" s="398"/>
      <c r="M321" s="398"/>
      <c r="N321" s="399"/>
      <c r="O321" s="331"/>
      <c r="P321" s="362"/>
      <c r="Q321" s="365"/>
      <c r="R321" s="362"/>
      <c r="S321" s="365"/>
      <c r="T321" s="362"/>
      <c r="U321" s="368"/>
      <c r="V321" s="332">
        <f t="shared" si="39"/>
        <v>0</v>
      </c>
      <c r="W321" s="333"/>
      <c r="X321" s="334" t="str">
        <f t="shared" si="36"/>
        <v/>
      </c>
      <c r="Y321" s="334" t="str">
        <f>IF(V321=1,V321+MAX($Y$5:Y320),"")</f>
        <v/>
      </c>
      <c r="Z321" s="334"/>
      <c r="AA321" s="332" t="str">
        <f>IF(ISTEXT(W321),IF(ISTEXT(Z321),Z321,'Datasource 2'!$M$14),"")</f>
        <v/>
      </c>
      <c r="AB321" s="328"/>
      <c r="AC321" s="328" t="str">
        <f t="shared" si="37"/>
        <v/>
      </c>
      <c r="AD321" s="328" t="str">
        <f t="shared" si="38"/>
        <v/>
      </c>
      <c r="AE321" s="329"/>
      <c r="AF321" s="362"/>
      <c r="AG321" s="362"/>
      <c r="AH321" s="371"/>
    </row>
    <row r="322" spans="1:34" ht="35.1" customHeight="1" thickBot="1" x14ac:dyDescent="0.4">
      <c r="A322" s="203">
        <v>32</v>
      </c>
      <c r="B322" s="392"/>
      <c r="C322" s="365"/>
      <c r="D322" s="330"/>
      <c r="E322" s="362"/>
      <c r="F322" s="362"/>
      <c r="G322" s="374"/>
      <c r="H322" s="368"/>
      <c r="I322" s="397"/>
      <c r="J322" s="398"/>
      <c r="K322" s="398"/>
      <c r="L322" s="398"/>
      <c r="M322" s="398"/>
      <c r="N322" s="399"/>
      <c r="O322" s="331"/>
      <c r="P322" s="362"/>
      <c r="Q322" s="365"/>
      <c r="R322" s="362"/>
      <c r="S322" s="365"/>
      <c r="T322" s="362"/>
      <c r="U322" s="368"/>
      <c r="V322" s="332">
        <f t="shared" si="39"/>
        <v>0</v>
      </c>
      <c r="W322" s="333"/>
      <c r="X322" s="334" t="str">
        <f t="shared" si="36"/>
        <v/>
      </c>
      <c r="Y322" s="334" t="str">
        <f>IF(V322=1,V322+MAX($Y$5:Y321),"")</f>
        <v/>
      </c>
      <c r="Z322" s="334"/>
      <c r="AA322" s="332" t="str">
        <f>IF(ISTEXT(W322),IF(ISTEXT(Z322),Z322,'Datasource 2'!$M$14),"")</f>
        <v/>
      </c>
      <c r="AB322" s="328"/>
      <c r="AC322" s="328" t="str">
        <f t="shared" si="37"/>
        <v/>
      </c>
      <c r="AD322" s="328" t="str">
        <f t="shared" si="38"/>
        <v/>
      </c>
      <c r="AE322" s="329"/>
      <c r="AF322" s="362"/>
      <c r="AG322" s="362"/>
      <c r="AH322" s="371"/>
    </row>
    <row r="323" spans="1:34" ht="35.1" customHeight="1" thickBot="1" x14ac:dyDescent="0.4">
      <c r="A323" s="203">
        <v>32</v>
      </c>
      <c r="B323" s="392"/>
      <c r="C323" s="365"/>
      <c r="D323" s="330"/>
      <c r="E323" s="362"/>
      <c r="F323" s="362"/>
      <c r="G323" s="374"/>
      <c r="H323" s="368"/>
      <c r="I323" s="397"/>
      <c r="J323" s="398"/>
      <c r="K323" s="398"/>
      <c r="L323" s="398"/>
      <c r="M323" s="398"/>
      <c r="N323" s="399"/>
      <c r="O323" s="331"/>
      <c r="P323" s="362"/>
      <c r="Q323" s="365"/>
      <c r="R323" s="362"/>
      <c r="S323" s="365"/>
      <c r="T323" s="362"/>
      <c r="U323" s="368"/>
      <c r="V323" s="332">
        <f t="shared" si="39"/>
        <v>0</v>
      </c>
      <c r="W323" s="333"/>
      <c r="X323" s="334" t="str">
        <f t="shared" si="36"/>
        <v/>
      </c>
      <c r="Y323" s="334" t="str">
        <f>IF(V323=1,V323+MAX($Y$5:Y322),"")</f>
        <v/>
      </c>
      <c r="Z323" s="334"/>
      <c r="AA323" s="332" t="str">
        <f>IF(ISTEXT(W323),IF(ISTEXT(Z323),Z323,'Datasource 2'!$M$14),"")</f>
        <v/>
      </c>
      <c r="AB323" s="328"/>
      <c r="AC323" s="328" t="str">
        <f t="shared" si="37"/>
        <v/>
      </c>
      <c r="AD323" s="328" t="str">
        <f t="shared" si="38"/>
        <v/>
      </c>
      <c r="AE323" s="329"/>
      <c r="AF323" s="362"/>
      <c r="AG323" s="362"/>
      <c r="AH323" s="371"/>
    </row>
    <row r="324" spans="1:34" ht="35.1" customHeight="1" thickBot="1" x14ac:dyDescent="0.4">
      <c r="A324" s="203">
        <v>32</v>
      </c>
      <c r="B324" s="393"/>
      <c r="C324" s="366"/>
      <c r="D324" s="335"/>
      <c r="E324" s="363"/>
      <c r="F324" s="363"/>
      <c r="G324" s="375"/>
      <c r="H324" s="369"/>
      <c r="I324" s="400"/>
      <c r="J324" s="401"/>
      <c r="K324" s="401"/>
      <c r="L324" s="401"/>
      <c r="M324" s="401"/>
      <c r="N324" s="402"/>
      <c r="O324" s="336"/>
      <c r="P324" s="363"/>
      <c r="Q324" s="366"/>
      <c r="R324" s="363"/>
      <c r="S324" s="366"/>
      <c r="T324" s="363"/>
      <c r="U324" s="369"/>
      <c r="V324" s="337">
        <f t="shared" si="39"/>
        <v>0</v>
      </c>
      <c r="W324" s="338"/>
      <c r="X324" s="339" t="str">
        <f t="shared" si="36"/>
        <v/>
      </c>
      <c r="Y324" s="339" t="str">
        <f>IF(V324=1,V324+MAX($Y$5:Y323),"")</f>
        <v/>
      </c>
      <c r="Z324" s="339"/>
      <c r="AA324" s="337" t="str">
        <f>IF(ISTEXT(W324),IF(ISTEXT(Z324),Z324,'Datasource 2'!$M$14),"")</f>
        <v/>
      </c>
      <c r="AB324" s="339"/>
      <c r="AC324" s="328" t="str">
        <f t="shared" si="37"/>
        <v/>
      </c>
      <c r="AD324" s="328" t="str">
        <f t="shared" si="38"/>
        <v/>
      </c>
      <c r="AE324" s="340"/>
      <c r="AF324" s="363"/>
      <c r="AG324" s="363"/>
      <c r="AH324" s="372"/>
    </row>
    <row r="325" spans="1:34" ht="35.1" customHeight="1" thickBot="1" x14ac:dyDescent="0.4">
      <c r="A325" s="205">
        <v>33</v>
      </c>
      <c r="B325" s="412">
        <v>33</v>
      </c>
      <c r="C325" s="382"/>
      <c r="D325" s="257"/>
      <c r="E325" s="379"/>
      <c r="F325" s="379"/>
      <c r="G325" s="376"/>
      <c r="H325" s="385" t="e">
        <f>IF(VLOOKUP(G325,Trusselvurdering!$B$3:$P$28,15,FALSE)=0,VLOOKUP(G325,Trusselvurdering!$B$3:$P$28,14,FALSE),VLOOKUP(G325,Trusselvurdering!$B$3:$P$28,15,FALSE))</f>
        <v>#N/A</v>
      </c>
      <c r="I325" s="403"/>
      <c r="J325" s="404"/>
      <c r="K325" s="404"/>
      <c r="L325" s="404"/>
      <c r="M325" s="404"/>
      <c r="N325" s="405"/>
      <c r="O325" s="258"/>
      <c r="P325" s="379"/>
      <c r="Q325" s="382"/>
      <c r="R325" s="379"/>
      <c r="S325" s="382"/>
      <c r="T325" s="379"/>
      <c r="U325" s="385" t="e">
        <f>VLOOKUP(Risikovurdering_data!C323,Akseptkriterier!$C$33:$H$37,MATCH(Risikovurdering_data!D323,Akseptkriterier!$D$32:$H$32,0)+1,FALSE)</f>
        <v>#N/A</v>
      </c>
      <c r="V325" s="259">
        <f t="shared" si="39"/>
        <v>0</v>
      </c>
      <c r="W325" s="260"/>
      <c r="X325" s="261" t="str">
        <f t="shared" ref="X325:X388" si="40">IF(W325="","",A325)</f>
        <v/>
      </c>
      <c r="Y325" s="261" t="str">
        <f>IF(V325=1,V325+MAX($Y$5:Y324),"")</f>
        <v/>
      </c>
      <c r="Z325" s="261"/>
      <c r="AA325" s="259" t="str">
        <f>IF(ISTEXT(W325),IF(ISTEXT(Z325),Z325,'Datasource 2'!$M$14),"")</f>
        <v/>
      </c>
      <c r="AB325" s="261"/>
      <c r="AC325" s="261" t="str">
        <f t="shared" si="37"/>
        <v/>
      </c>
      <c r="AD325" s="261" t="str">
        <f t="shared" si="38"/>
        <v/>
      </c>
      <c r="AE325" s="262"/>
      <c r="AF325" s="379"/>
      <c r="AG325" s="379"/>
      <c r="AH325" s="388" t="e">
        <f>VLOOKUP(Risikovurdering_data!F323,Akseptkriterier!$C$33:$H$37,MATCH(Risikovurdering_data!G323,Akseptkriterier!$D$32:$H$32,0)+1,FALSE)</f>
        <v>#N/A</v>
      </c>
    </row>
    <row r="326" spans="1:34" ht="35.1" customHeight="1" thickBot="1" x14ac:dyDescent="0.4">
      <c r="A326" s="203">
        <v>33</v>
      </c>
      <c r="B326" s="413"/>
      <c r="C326" s="383"/>
      <c r="D326" s="263"/>
      <c r="E326" s="380"/>
      <c r="F326" s="380"/>
      <c r="G326" s="377"/>
      <c r="H326" s="386"/>
      <c r="I326" s="406"/>
      <c r="J326" s="407"/>
      <c r="K326" s="407"/>
      <c r="L326" s="407"/>
      <c r="M326" s="407"/>
      <c r="N326" s="408"/>
      <c r="O326" s="264"/>
      <c r="P326" s="380"/>
      <c r="Q326" s="383"/>
      <c r="R326" s="380"/>
      <c r="S326" s="383"/>
      <c r="T326" s="380"/>
      <c r="U326" s="386"/>
      <c r="V326" s="265">
        <f t="shared" si="39"/>
        <v>0</v>
      </c>
      <c r="W326" s="266"/>
      <c r="X326" s="267" t="str">
        <f t="shared" si="40"/>
        <v/>
      </c>
      <c r="Y326" s="267" t="str">
        <f>IF(V326=1,V326+MAX($Y$5:Y325),"")</f>
        <v/>
      </c>
      <c r="Z326" s="267"/>
      <c r="AA326" s="265" t="str">
        <f>IF(ISTEXT(W326),IF(ISTEXT(Z326),Z326,'Datasource 2'!$M$14),"")</f>
        <v/>
      </c>
      <c r="AB326" s="261"/>
      <c r="AC326" s="261" t="str">
        <f t="shared" ref="AC326:AC389" si="41">IF(ISTEXT(W326),IF(ISTEXT(AB326),AB326,"Ikke angitt"),"")</f>
        <v/>
      </c>
      <c r="AD326" s="261" t="str">
        <f t="shared" ref="AD326:AD389" si="42">IF(ISTEXT(W326),IF(ISBLANK(AE326),"Ikke angitt", AE326),"")</f>
        <v/>
      </c>
      <c r="AE326" s="262"/>
      <c r="AF326" s="380"/>
      <c r="AG326" s="380"/>
      <c r="AH326" s="389"/>
    </row>
    <row r="327" spans="1:34" ht="35.1" customHeight="1" thickBot="1" x14ac:dyDescent="0.4">
      <c r="A327" s="203">
        <v>33</v>
      </c>
      <c r="B327" s="413"/>
      <c r="C327" s="383"/>
      <c r="D327" s="263"/>
      <c r="E327" s="380"/>
      <c r="F327" s="380"/>
      <c r="G327" s="377"/>
      <c r="H327" s="386"/>
      <c r="I327" s="406"/>
      <c r="J327" s="407"/>
      <c r="K327" s="407"/>
      <c r="L327" s="407"/>
      <c r="M327" s="407"/>
      <c r="N327" s="408"/>
      <c r="O327" s="264"/>
      <c r="P327" s="380"/>
      <c r="Q327" s="383"/>
      <c r="R327" s="380"/>
      <c r="S327" s="383"/>
      <c r="T327" s="380"/>
      <c r="U327" s="386"/>
      <c r="V327" s="265">
        <f t="shared" si="39"/>
        <v>0</v>
      </c>
      <c r="W327" s="266"/>
      <c r="X327" s="267" t="str">
        <f t="shared" si="40"/>
        <v/>
      </c>
      <c r="Y327" s="267" t="str">
        <f>IF(V327=1,V327+MAX($Y$5:Y326),"")</f>
        <v/>
      </c>
      <c r="Z327" s="267"/>
      <c r="AA327" s="265" t="str">
        <f>IF(ISTEXT(W327),IF(ISTEXT(Z327),Z327,'Datasource 2'!$M$14),"")</f>
        <v/>
      </c>
      <c r="AB327" s="261"/>
      <c r="AC327" s="261" t="str">
        <f t="shared" si="41"/>
        <v/>
      </c>
      <c r="AD327" s="261" t="str">
        <f t="shared" si="42"/>
        <v/>
      </c>
      <c r="AE327" s="262"/>
      <c r="AF327" s="380"/>
      <c r="AG327" s="380"/>
      <c r="AH327" s="389"/>
    </row>
    <row r="328" spans="1:34" ht="35.1" customHeight="1" thickBot="1" x14ac:dyDescent="0.4">
      <c r="A328" s="203">
        <v>33</v>
      </c>
      <c r="B328" s="413"/>
      <c r="C328" s="383"/>
      <c r="D328" s="263"/>
      <c r="E328" s="380"/>
      <c r="F328" s="380"/>
      <c r="G328" s="377"/>
      <c r="H328" s="386"/>
      <c r="I328" s="406"/>
      <c r="J328" s="407"/>
      <c r="K328" s="407"/>
      <c r="L328" s="407"/>
      <c r="M328" s="407"/>
      <c r="N328" s="408"/>
      <c r="O328" s="264"/>
      <c r="P328" s="380"/>
      <c r="Q328" s="383"/>
      <c r="R328" s="380"/>
      <c r="S328" s="383"/>
      <c r="T328" s="380"/>
      <c r="U328" s="386"/>
      <c r="V328" s="265">
        <f t="shared" si="39"/>
        <v>0</v>
      </c>
      <c r="W328" s="266"/>
      <c r="X328" s="267" t="str">
        <f t="shared" si="40"/>
        <v/>
      </c>
      <c r="Y328" s="267" t="str">
        <f>IF(V328=1,V328+MAX($Y$5:Y327),"")</f>
        <v/>
      </c>
      <c r="Z328" s="267"/>
      <c r="AA328" s="265" t="str">
        <f>IF(ISTEXT(W328),IF(ISTEXT(Z328),Z328,'Datasource 2'!$M$14),"")</f>
        <v/>
      </c>
      <c r="AB328" s="261"/>
      <c r="AC328" s="261" t="str">
        <f t="shared" si="41"/>
        <v/>
      </c>
      <c r="AD328" s="261" t="str">
        <f t="shared" si="42"/>
        <v/>
      </c>
      <c r="AE328" s="262"/>
      <c r="AF328" s="380"/>
      <c r="AG328" s="380"/>
      <c r="AH328" s="389"/>
    </row>
    <row r="329" spans="1:34" ht="35.1" customHeight="1" thickBot="1" x14ac:dyDescent="0.4">
      <c r="A329" s="203">
        <v>33</v>
      </c>
      <c r="B329" s="413"/>
      <c r="C329" s="383"/>
      <c r="D329" s="263"/>
      <c r="E329" s="380"/>
      <c r="F329" s="380"/>
      <c r="G329" s="377"/>
      <c r="H329" s="386"/>
      <c r="I329" s="406"/>
      <c r="J329" s="407"/>
      <c r="K329" s="407"/>
      <c r="L329" s="407"/>
      <c r="M329" s="407"/>
      <c r="N329" s="408"/>
      <c r="O329" s="264"/>
      <c r="P329" s="380"/>
      <c r="Q329" s="383"/>
      <c r="R329" s="380"/>
      <c r="S329" s="383"/>
      <c r="T329" s="380"/>
      <c r="U329" s="386"/>
      <c r="V329" s="265">
        <f t="shared" si="39"/>
        <v>0</v>
      </c>
      <c r="W329" s="266"/>
      <c r="X329" s="267" t="str">
        <f t="shared" si="40"/>
        <v/>
      </c>
      <c r="Y329" s="267" t="str">
        <f>IF(V329=1,V329+MAX($Y$5:Y328),"")</f>
        <v/>
      </c>
      <c r="Z329" s="267"/>
      <c r="AA329" s="265" t="str">
        <f>IF(ISTEXT(W329),IF(ISTEXT(Z329),Z329,'Datasource 2'!$M$14),"")</f>
        <v/>
      </c>
      <c r="AB329" s="261"/>
      <c r="AC329" s="261" t="str">
        <f t="shared" si="41"/>
        <v/>
      </c>
      <c r="AD329" s="261" t="str">
        <f t="shared" si="42"/>
        <v/>
      </c>
      <c r="AE329" s="262"/>
      <c r="AF329" s="380"/>
      <c r="AG329" s="380"/>
      <c r="AH329" s="389"/>
    </row>
    <row r="330" spans="1:34" ht="35.1" customHeight="1" thickBot="1" x14ac:dyDescent="0.4">
      <c r="A330" s="203">
        <v>33</v>
      </c>
      <c r="B330" s="413"/>
      <c r="C330" s="383"/>
      <c r="D330" s="263"/>
      <c r="E330" s="380"/>
      <c r="F330" s="380"/>
      <c r="G330" s="377"/>
      <c r="H330" s="386"/>
      <c r="I330" s="406"/>
      <c r="J330" s="407"/>
      <c r="K330" s="407"/>
      <c r="L330" s="407"/>
      <c r="M330" s="407"/>
      <c r="N330" s="408"/>
      <c r="O330" s="264"/>
      <c r="P330" s="380"/>
      <c r="Q330" s="383"/>
      <c r="R330" s="380"/>
      <c r="S330" s="383"/>
      <c r="T330" s="380"/>
      <c r="U330" s="386"/>
      <c r="V330" s="265">
        <f t="shared" si="39"/>
        <v>0</v>
      </c>
      <c r="W330" s="266"/>
      <c r="X330" s="267" t="str">
        <f t="shared" si="40"/>
        <v/>
      </c>
      <c r="Y330" s="267" t="str">
        <f>IF(V330=1,V330+MAX($Y$5:Y329),"")</f>
        <v/>
      </c>
      <c r="Z330" s="267"/>
      <c r="AA330" s="265" t="str">
        <f>IF(ISTEXT(W330),IF(ISTEXT(Z330),Z330,'Datasource 2'!$M$14),"")</f>
        <v/>
      </c>
      <c r="AB330" s="261"/>
      <c r="AC330" s="261" t="str">
        <f t="shared" si="41"/>
        <v/>
      </c>
      <c r="AD330" s="261" t="str">
        <f t="shared" si="42"/>
        <v/>
      </c>
      <c r="AE330" s="262"/>
      <c r="AF330" s="380"/>
      <c r="AG330" s="380"/>
      <c r="AH330" s="389"/>
    </row>
    <row r="331" spans="1:34" ht="35.1" customHeight="1" thickBot="1" x14ac:dyDescent="0.4">
      <c r="A331" s="203">
        <v>33</v>
      </c>
      <c r="B331" s="413"/>
      <c r="C331" s="383"/>
      <c r="D331" s="263"/>
      <c r="E331" s="380"/>
      <c r="F331" s="380"/>
      <c r="G331" s="377"/>
      <c r="H331" s="386"/>
      <c r="I331" s="406"/>
      <c r="J331" s="407"/>
      <c r="K331" s="407"/>
      <c r="L331" s="407"/>
      <c r="M331" s="407"/>
      <c r="N331" s="408"/>
      <c r="O331" s="264"/>
      <c r="P331" s="380"/>
      <c r="Q331" s="383"/>
      <c r="R331" s="380"/>
      <c r="S331" s="383"/>
      <c r="T331" s="380"/>
      <c r="U331" s="386"/>
      <c r="V331" s="265">
        <f t="shared" si="39"/>
        <v>0</v>
      </c>
      <c r="W331" s="266"/>
      <c r="X331" s="267" t="str">
        <f t="shared" si="40"/>
        <v/>
      </c>
      <c r="Y331" s="267" t="str">
        <f>IF(V331=1,V331+MAX($Y$5:Y330),"")</f>
        <v/>
      </c>
      <c r="Z331" s="267"/>
      <c r="AA331" s="265" t="str">
        <f>IF(ISTEXT(W331),IF(ISTEXT(Z331),Z331,'Datasource 2'!$M$14),"")</f>
        <v/>
      </c>
      <c r="AB331" s="261"/>
      <c r="AC331" s="261" t="str">
        <f t="shared" si="41"/>
        <v/>
      </c>
      <c r="AD331" s="261" t="str">
        <f t="shared" si="42"/>
        <v/>
      </c>
      <c r="AE331" s="262"/>
      <c r="AF331" s="380"/>
      <c r="AG331" s="380"/>
      <c r="AH331" s="389"/>
    </row>
    <row r="332" spans="1:34" ht="35.1" customHeight="1" thickBot="1" x14ac:dyDescent="0.4">
      <c r="A332" s="203">
        <v>33</v>
      </c>
      <c r="B332" s="413"/>
      <c r="C332" s="383"/>
      <c r="D332" s="263"/>
      <c r="E332" s="380"/>
      <c r="F332" s="380"/>
      <c r="G332" s="377"/>
      <c r="H332" s="386"/>
      <c r="I332" s="406"/>
      <c r="J332" s="407"/>
      <c r="K332" s="407"/>
      <c r="L332" s="407"/>
      <c r="M332" s="407"/>
      <c r="N332" s="408"/>
      <c r="O332" s="264"/>
      <c r="P332" s="380"/>
      <c r="Q332" s="383"/>
      <c r="R332" s="380"/>
      <c r="S332" s="383"/>
      <c r="T332" s="380"/>
      <c r="U332" s="386"/>
      <c r="V332" s="265">
        <f t="shared" si="39"/>
        <v>0</v>
      </c>
      <c r="W332" s="266"/>
      <c r="X332" s="267" t="str">
        <f t="shared" si="40"/>
        <v/>
      </c>
      <c r="Y332" s="267" t="str">
        <f>IF(V332=1,V332+MAX($Y$5:Y331),"")</f>
        <v/>
      </c>
      <c r="Z332" s="267"/>
      <c r="AA332" s="265" t="str">
        <f>IF(ISTEXT(W332),IF(ISTEXT(Z332),Z332,'Datasource 2'!$M$14),"")</f>
        <v/>
      </c>
      <c r="AB332" s="261"/>
      <c r="AC332" s="261" t="str">
        <f t="shared" si="41"/>
        <v/>
      </c>
      <c r="AD332" s="261" t="str">
        <f t="shared" si="42"/>
        <v/>
      </c>
      <c r="AE332" s="262"/>
      <c r="AF332" s="380"/>
      <c r="AG332" s="380"/>
      <c r="AH332" s="389"/>
    </row>
    <row r="333" spans="1:34" ht="35.1" customHeight="1" thickBot="1" x14ac:dyDescent="0.4">
      <c r="A333" s="203">
        <v>33</v>
      </c>
      <c r="B333" s="413"/>
      <c r="C333" s="383"/>
      <c r="D333" s="263"/>
      <c r="E333" s="380"/>
      <c r="F333" s="380"/>
      <c r="G333" s="377"/>
      <c r="H333" s="386"/>
      <c r="I333" s="406"/>
      <c r="J333" s="407"/>
      <c r="K333" s="407"/>
      <c r="L333" s="407"/>
      <c r="M333" s="407"/>
      <c r="N333" s="408"/>
      <c r="O333" s="264"/>
      <c r="P333" s="380"/>
      <c r="Q333" s="383"/>
      <c r="R333" s="380"/>
      <c r="S333" s="383"/>
      <c r="T333" s="380"/>
      <c r="U333" s="386"/>
      <c r="V333" s="265">
        <f t="shared" si="39"/>
        <v>0</v>
      </c>
      <c r="W333" s="266"/>
      <c r="X333" s="267" t="str">
        <f t="shared" si="40"/>
        <v/>
      </c>
      <c r="Y333" s="267" t="str">
        <f>IF(V333=1,V333+MAX($Y$5:Y332),"")</f>
        <v/>
      </c>
      <c r="Z333" s="267"/>
      <c r="AA333" s="265" t="str">
        <f>IF(ISTEXT(W333),IF(ISTEXT(Z333),Z333,'Datasource 2'!$M$14),"")</f>
        <v/>
      </c>
      <c r="AB333" s="261"/>
      <c r="AC333" s="261" t="str">
        <f t="shared" si="41"/>
        <v/>
      </c>
      <c r="AD333" s="261" t="str">
        <f t="shared" si="42"/>
        <v/>
      </c>
      <c r="AE333" s="262"/>
      <c r="AF333" s="380"/>
      <c r="AG333" s="380"/>
      <c r="AH333" s="389"/>
    </row>
    <row r="334" spans="1:34" ht="35.1" customHeight="1" thickBot="1" x14ac:dyDescent="0.4">
      <c r="A334" s="203">
        <v>33</v>
      </c>
      <c r="B334" s="414"/>
      <c r="C334" s="384"/>
      <c r="D334" s="268"/>
      <c r="E334" s="381"/>
      <c r="F334" s="381"/>
      <c r="G334" s="378"/>
      <c r="H334" s="387"/>
      <c r="I334" s="409"/>
      <c r="J334" s="410"/>
      <c r="K334" s="410"/>
      <c r="L334" s="410"/>
      <c r="M334" s="410"/>
      <c r="N334" s="411"/>
      <c r="O334" s="269"/>
      <c r="P334" s="381"/>
      <c r="Q334" s="384"/>
      <c r="R334" s="381"/>
      <c r="S334" s="384"/>
      <c r="T334" s="381"/>
      <c r="U334" s="387"/>
      <c r="V334" s="270">
        <f t="shared" si="39"/>
        <v>0</v>
      </c>
      <c r="W334" s="271"/>
      <c r="X334" s="272" t="str">
        <f t="shared" si="40"/>
        <v/>
      </c>
      <c r="Y334" s="272" t="str">
        <f>IF(V334=1,V334+MAX($Y$5:Y333),"")</f>
        <v/>
      </c>
      <c r="Z334" s="272"/>
      <c r="AA334" s="270" t="str">
        <f>IF(ISTEXT(W334),IF(ISTEXT(Z334),Z334,'Datasource 2'!$M$14),"")</f>
        <v/>
      </c>
      <c r="AB334" s="273"/>
      <c r="AC334" s="261" t="str">
        <f t="shared" si="41"/>
        <v/>
      </c>
      <c r="AD334" s="261" t="str">
        <f t="shared" si="42"/>
        <v/>
      </c>
      <c r="AE334" s="274"/>
      <c r="AF334" s="381"/>
      <c r="AG334" s="381"/>
      <c r="AH334" s="390"/>
    </row>
    <row r="335" spans="1:34" ht="35.1" customHeight="1" thickBot="1" x14ac:dyDescent="0.4">
      <c r="A335" s="205">
        <v>34</v>
      </c>
      <c r="B335" s="391">
        <v>34</v>
      </c>
      <c r="C335" s="364"/>
      <c r="D335" s="323"/>
      <c r="E335" s="361"/>
      <c r="F335" s="361"/>
      <c r="G335" s="373"/>
      <c r="H335" s="367" t="e">
        <f>IF(VLOOKUP(G335,Trusselvurdering!$B$3:$P$28,15,FALSE)=0,VLOOKUP(G335,Trusselvurdering!$B$3:$P$28,14,FALSE),VLOOKUP(G335,Trusselvurdering!$B$3:$P$28,15,FALSE))</f>
        <v>#N/A</v>
      </c>
      <c r="I335" s="394"/>
      <c r="J335" s="395"/>
      <c r="K335" s="395"/>
      <c r="L335" s="395"/>
      <c r="M335" s="395"/>
      <c r="N335" s="396"/>
      <c r="O335" s="324"/>
      <c r="P335" s="361"/>
      <c r="Q335" s="364"/>
      <c r="R335" s="361"/>
      <c r="S335" s="364"/>
      <c r="T335" s="361"/>
      <c r="U335" s="367" t="e">
        <f>VLOOKUP(Risikovurdering_data!C333,Akseptkriterier!$C$33:$H$37,MATCH(Risikovurdering_data!D333,Akseptkriterier!$D$32:$H$32,0)+1,FALSE)</f>
        <v>#N/A</v>
      </c>
      <c r="V335" s="325">
        <f t="shared" si="39"/>
        <v>0</v>
      </c>
      <c r="W335" s="326"/>
      <c r="X335" s="327" t="str">
        <f t="shared" si="40"/>
        <v/>
      </c>
      <c r="Y335" s="327" t="str">
        <f>IF(V335=1,V335+MAX($Y$5:Y334),"")</f>
        <v/>
      </c>
      <c r="Z335" s="327"/>
      <c r="AA335" s="325" t="str">
        <f>IF(ISTEXT(W335),IF(ISTEXT(Z335),Z335,'Datasource 2'!$M$14),"")</f>
        <v/>
      </c>
      <c r="AB335" s="328"/>
      <c r="AC335" s="328" t="str">
        <f t="shared" si="41"/>
        <v/>
      </c>
      <c r="AD335" s="328" t="str">
        <f t="shared" si="42"/>
        <v/>
      </c>
      <c r="AE335" s="329"/>
      <c r="AF335" s="361"/>
      <c r="AG335" s="361"/>
      <c r="AH335" s="370" t="e">
        <f>VLOOKUP(Risikovurdering_data!F333,Akseptkriterier!$C$33:$H$37,MATCH(Risikovurdering_data!G333,Akseptkriterier!$D$32:$H$32,0)+1,FALSE)</f>
        <v>#N/A</v>
      </c>
    </row>
    <row r="336" spans="1:34" ht="35.1" customHeight="1" thickBot="1" x14ac:dyDescent="0.4">
      <c r="A336" s="203">
        <v>34</v>
      </c>
      <c r="B336" s="392"/>
      <c r="C336" s="365"/>
      <c r="D336" s="330"/>
      <c r="E336" s="362"/>
      <c r="F336" s="362"/>
      <c r="G336" s="374"/>
      <c r="H336" s="368"/>
      <c r="I336" s="397"/>
      <c r="J336" s="398"/>
      <c r="K336" s="398"/>
      <c r="L336" s="398"/>
      <c r="M336" s="398"/>
      <c r="N336" s="399"/>
      <c r="O336" s="331"/>
      <c r="P336" s="362"/>
      <c r="Q336" s="365"/>
      <c r="R336" s="362"/>
      <c r="S336" s="365"/>
      <c r="T336" s="362"/>
      <c r="U336" s="368"/>
      <c r="V336" s="332">
        <f t="shared" si="39"/>
        <v>0</v>
      </c>
      <c r="W336" s="333"/>
      <c r="X336" s="334" t="str">
        <f t="shared" si="40"/>
        <v/>
      </c>
      <c r="Y336" s="334" t="str">
        <f>IF(V336=1,V336+MAX($Y$5:Y335),"")</f>
        <v/>
      </c>
      <c r="Z336" s="334"/>
      <c r="AA336" s="332" t="str">
        <f>IF(ISTEXT(W336),IF(ISTEXT(Z336),Z336,'Datasource 2'!$M$14),"")</f>
        <v/>
      </c>
      <c r="AB336" s="328"/>
      <c r="AC336" s="328" t="str">
        <f t="shared" si="41"/>
        <v/>
      </c>
      <c r="AD336" s="328" t="str">
        <f t="shared" si="42"/>
        <v/>
      </c>
      <c r="AE336" s="329"/>
      <c r="AF336" s="362"/>
      <c r="AG336" s="362"/>
      <c r="AH336" s="371"/>
    </row>
    <row r="337" spans="1:34" ht="35.1" customHeight="1" thickBot="1" x14ac:dyDescent="0.4">
      <c r="A337" s="203">
        <v>34</v>
      </c>
      <c r="B337" s="392"/>
      <c r="C337" s="365"/>
      <c r="D337" s="330"/>
      <c r="E337" s="362"/>
      <c r="F337" s="362"/>
      <c r="G337" s="374"/>
      <c r="H337" s="368"/>
      <c r="I337" s="397"/>
      <c r="J337" s="398"/>
      <c r="K337" s="398"/>
      <c r="L337" s="398"/>
      <c r="M337" s="398"/>
      <c r="N337" s="399"/>
      <c r="O337" s="331"/>
      <c r="P337" s="362"/>
      <c r="Q337" s="365"/>
      <c r="R337" s="362"/>
      <c r="S337" s="365"/>
      <c r="T337" s="362"/>
      <c r="U337" s="368"/>
      <c r="V337" s="332">
        <f t="shared" si="39"/>
        <v>0</v>
      </c>
      <c r="W337" s="333"/>
      <c r="X337" s="334" t="str">
        <f t="shared" si="40"/>
        <v/>
      </c>
      <c r="Y337" s="334" t="str">
        <f>IF(V337=1,V337+MAX($Y$5:Y336),"")</f>
        <v/>
      </c>
      <c r="Z337" s="334"/>
      <c r="AA337" s="332" t="str">
        <f>IF(ISTEXT(W337),IF(ISTEXT(Z337),Z337,'Datasource 2'!$M$14),"")</f>
        <v/>
      </c>
      <c r="AB337" s="328"/>
      <c r="AC337" s="328" t="str">
        <f t="shared" si="41"/>
        <v/>
      </c>
      <c r="AD337" s="328" t="str">
        <f t="shared" si="42"/>
        <v/>
      </c>
      <c r="AE337" s="329"/>
      <c r="AF337" s="362"/>
      <c r="AG337" s="362"/>
      <c r="AH337" s="371"/>
    </row>
    <row r="338" spans="1:34" ht="35.1" customHeight="1" thickBot="1" x14ac:dyDescent="0.4">
      <c r="A338" s="203">
        <v>34</v>
      </c>
      <c r="B338" s="392"/>
      <c r="C338" s="365"/>
      <c r="D338" s="330"/>
      <c r="E338" s="362"/>
      <c r="F338" s="362"/>
      <c r="G338" s="374"/>
      <c r="H338" s="368"/>
      <c r="I338" s="397"/>
      <c r="J338" s="398"/>
      <c r="K338" s="398"/>
      <c r="L338" s="398"/>
      <c r="M338" s="398"/>
      <c r="N338" s="399"/>
      <c r="O338" s="331"/>
      <c r="P338" s="362"/>
      <c r="Q338" s="365"/>
      <c r="R338" s="362"/>
      <c r="S338" s="365"/>
      <c r="T338" s="362"/>
      <c r="U338" s="368"/>
      <c r="V338" s="332">
        <f t="shared" si="39"/>
        <v>0</v>
      </c>
      <c r="W338" s="333"/>
      <c r="X338" s="334" t="str">
        <f t="shared" si="40"/>
        <v/>
      </c>
      <c r="Y338" s="334" t="str">
        <f>IF(V338=1,V338+MAX($Y$5:Y337),"")</f>
        <v/>
      </c>
      <c r="Z338" s="334"/>
      <c r="AA338" s="332" t="str">
        <f>IF(ISTEXT(W338),IF(ISTEXT(Z338),Z338,'Datasource 2'!$M$14),"")</f>
        <v/>
      </c>
      <c r="AB338" s="328"/>
      <c r="AC338" s="328" t="str">
        <f t="shared" si="41"/>
        <v/>
      </c>
      <c r="AD338" s="328" t="str">
        <f t="shared" si="42"/>
        <v/>
      </c>
      <c r="AE338" s="329"/>
      <c r="AF338" s="362"/>
      <c r="AG338" s="362"/>
      <c r="AH338" s="371"/>
    </row>
    <row r="339" spans="1:34" ht="35.1" customHeight="1" thickBot="1" x14ac:dyDescent="0.4">
      <c r="A339" s="203">
        <v>34</v>
      </c>
      <c r="B339" s="392"/>
      <c r="C339" s="365"/>
      <c r="D339" s="330"/>
      <c r="E339" s="362"/>
      <c r="F339" s="362"/>
      <c r="G339" s="374"/>
      <c r="H339" s="368"/>
      <c r="I339" s="397"/>
      <c r="J339" s="398"/>
      <c r="K339" s="398"/>
      <c r="L339" s="398"/>
      <c r="M339" s="398"/>
      <c r="N339" s="399"/>
      <c r="O339" s="331"/>
      <c r="P339" s="362"/>
      <c r="Q339" s="365"/>
      <c r="R339" s="362"/>
      <c r="S339" s="365"/>
      <c r="T339" s="362"/>
      <c r="U339" s="368"/>
      <c r="V339" s="332">
        <f t="shared" si="39"/>
        <v>0</v>
      </c>
      <c r="W339" s="333"/>
      <c r="X339" s="334" t="str">
        <f t="shared" si="40"/>
        <v/>
      </c>
      <c r="Y339" s="334" t="str">
        <f>IF(V339=1,V339+MAX($Y$5:Y338),"")</f>
        <v/>
      </c>
      <c r="Z339" s="334"/>
      <c r="AA339" s="332" t="str">
        <f>IF(ISTEXT(W339),IF(ISTEXT(Z339),Z339,'Datasource 2'!$M$14),"")</f>
        <v/>
      </c>
      <c r="AB339" s="328"/>
      <c r="AC339" s="328" t="str">
        <f t="shared" si="41"/>
        <v/>
      </c>
      <c r="AD339" s="328" t="str">
        <f t="shared" si="42"/>
        <v/>
      </c>
      <c r="AE339" s="329"/>
      <c r="AF339" s="362"/>
      <c r="AG339" s="362"/>
      <c r="AH339" s="371"/>
    </row>
    <row r="340" spans="1:34" ht="35.1" customHeight="1" thickBot="1" x14ac:dyDescent="0.4">
      <c r="A340" s="203">
        <v>34</v>
      </c>
      <c r="B340" s="392"/>
      <c r="C340" s="365"/>
      <c r="D340" s="330"/>
      <c r="E340" s="362"/>
      <c r="F340" s="362"/>
      <c r="G340" s="374"/>
      <c r="H340" s="368"/>
      <c r="I340" s="397"/>
      <c r="J340" s="398"/>
      <c r="K340" s="398"/>
      <c r="L340" s="398"/>
      <c r="M340" s="398"/>
      <c r="N340" s="399"/>
      <c r="O340" s="331"/>
      <c r="P340" s="362"/>
      <c r="Q340" s="365"/>
      <c r="R340" s="362"/>
      <c r="S340" s="365"/>
      <c r="T340" s="362"/>
      <c r="U340" s="368"/>
      <c r="V340" s="332">
        <f t="shared" si="39"/>
        <v>0</v>
      </c>
      <c r="W340" s="333"/>
      <c r="X340" s="334" t="str">
        <f t="shared" si="40"/>
        <v/>
      </c>
      <c r="Y340" s="334" t="str">
        <f>IF(V340=1,V340+MAX($Y$5:Y339),"")</f>
        <v/>
      </c>
      <c r="Z340" s="334"/>
      <c r="AA340" s="332" t="str">
        <f>IF(ISTEXT(W340),IF(ISTEXT(Z340),Z340,'Datasource 2'!$M$14),"")</f>
        <v/>
      </c>
      <c r="AB340" s="328"/>
      <c r="AC340" s="328" t="str">
        <f t="shared" si="41"/>
        <v/>
      </c>
      <c r="AD340" s="328" t="str">
        <f t="shared" si="42"/>
        <v/>
      </c>
      <c r="AE340" s="329"/>
      <c r="AF340" s="362"/>
      <c r="AG340" s="362"/>
      <c r="AH340" s="371"/>
    </row>
    <row r="341" spans="1:34" ht="35.1" customHeight="1" thickBot="1" x14ac:dyDescent="0.4">
      <c r="A341" s="203">
        <v>34</v>
      </c>
      <c r="B341" s="392"/>
      <c r="C341" s="365"/>
      <c r="D341" s="330"/>
      <c r="E341" s="362"/>
      <c r="F341" s="362"/>
      <c r="G341" s="374"/>
      <c r="H341" s="368"/>
      <c r="I341" s="397"/>
      <c r="J341" s="398"/>
      <c r="K341" s="398"/>
      <c r="L341" s="398"/>
      <c r="M341" s="398"/>
      <c r="N341" s="399"/>
      <c r="O341" s="331"/>
      <c r="P341" s="362"/>
      <c r="Q341" s="365"/>
      <c r="R341" s="362"/>
      <c r="S341" s="365"/>
      <c r="T341" s="362"/>
      <c r="U341" s="368"/>
      <c r="V341" s="332">
        <f t="shared" si="39"/>
        <v>0</v>
      </c>
      <c r="W341" s="333"/>
      <c r="X341" s="334" t="str">
        <f t="shared" si="40"/>
        <v/>
      </c>
      <c r="Y341" s="334" t="str">
        <f>IF(V341=1,V341+MAX($Y$5:Y340),"")</f>
        <v/>
      </c>
      <c r="Z341" s="334"/>
      <c r="AA341" s="332" t="str">
        <f>IF(ISTEXT(W341),IF(ISTEXT(Z341),Z341,'Datasource 2'!$M$14),"")</f>
        <v/>
      </c>
      <c r="AB341" s="328"/>
      <c r="AC341" s="328" t="str">
        <f t="shared" si="41"/>
        <v/>
      </c>
      <c r="AD341" s="328" t="str">
        <f t="shared" si="42"/>
        <v/>
      </c>
      <c r="AE341" s="329"/>
      <c r="AF341" s="362"/>
      <c r="AG341" s="362"/>
      <c r="AH341" s="371"/>
    </row>
    <row r="342" spans="1:34" ht="35.1" customHeight="1" thickBot="1" x14ac:dyDescent="0.4">
      <c r="A342" s="203">
        <v>34</v>
      </c>
      <c r="B342" s="392"/>
      <c r="C342" s="365"/>
      <c r="D342" s="330"/>
      <c r="E342" s="362"/>
      <c r="F342" s="362"/>
      <c r="G342" s="374"/>
      <c r="H342" s="368"/>
      <c r="I342" s="397"/>
      <c r="J342" s="398"/>
      <c r="K342" s="398"/>
      <c r="L342" s="398"/>
      <c r="M342" s="398"/>
      <c r="N342" s="399"/>
      <c r="O342" s="331"/>
      <c r="P342" s="362"/>
      <c r="Q342" s="365"/>
      <c r="R342" s="362"/>
      <c r="S342" s="365"/>
      <c r="T342" s="362"/>
      <c r="U342" s="368"/>
      <c r="V342" s="332">
        <f t="shared" si="39"/>
        <v>0</v>
      </c>
      <c r="W342" s="333"/>
      <c r="X342" s="334" t="str">
        <f t="shared" si="40"/>
        <v/>
      </c>
      <c r="Y342" s="334" t="str">
        <f>IF(V342=1,V342+MAX($Y$5:Y341),"")</f>
        <v/>
      </c>
      <c r="Z342" s="334"/>
      <c r="AA342" s="332" t="str">
        <f>IF(ISTEXT(W342),IF(ISTEXT(Z342),Z342,'Datasource 2'!$M$14),"")</f>
        <v/>
      </c>
      <c r="AB342" s="328"/>
      <c r="AC342" s="328" t="str">
        <f t="shared" si="41"/>
        <v/>
      </c>
      <c r="AD342" s="328" t="str">
        <f t="shared" si="42"/>
        <v/>
      </c>
      <c r="AE342" s="329"/>
      <c r="AF342" s="362"/>
      <c r="AG342" s="362"/>
      <c r="AH342" s="371"/>
    </row>
    <row r="343" spans="1:34" ht="35.1" customHeight="1" thickBot="1" x14ac:dyDescent="0.4">
      <c r="A343" s="203">
        <v>34</v>
      </c>
      <c r="B343" s="392"/>
      <c r="C343" s="365"/>
      <c r="D343" s="330"/>
      <c r="E343" s="362"/>
      <c r="F343" s="362"/>
      <c r="G343" s="374"/>
      <c r="H343" s="368"/>
      <c r="I343" s="397"/>
      <c r="J343" s="398"/>
      <c r="K343" s="398"/>
      <c r="L343" s="398"/>
      <c r="M343" s="398"/>
      <c r="N343" s="399"/>
      <c r="O343" s="331"/>
      <c r="P343" s="362"/>
      <c r="Q343" s="365"/>
      <c r="R343" s="362"/>
      <c r="S343" s="365"/>
      <c r="T343" s="362"/>
      <c r="U343" s="368"/>
      <c r="V343" s="332">
        <f t="shared" si="39"/>
        <v>0</v>
      </c>
      <c r="W343" s="333"/>
      <c r="X343" s="334" t="str">
        <f t="shared" si="40"/>
        <v/>
      </c>
      <c r="Y343" s="334" t="str">
        <f>IF(V343=1,V343+MAX($Y$5:Y342),"")</f>
        <v/>
      </c>
      <c r="Z343" s="334"/>
      <c r="AA343" s="332" t="str">
        <f>IF(ISTEXT(W343),IF(ISTEXT(Z343),Z343,'Datasource 2'!$M$14),"")</f>
        <v/>
      </c>
      <c r="AB343" s="328"/>
      <c r="AC343" s="328" t="str">
        <f t="shared" si="41"/>
        <v/>
      </c>
      <c r="AD343" s="328" t="str">
        <f t="shared" si="42"/>
        <v/>
      </c>
      <c r="AE343" s="329"/>
      <c r="AF343" s="362"/>
      <c r="AG343" s="362"/>
      <c r="AH343" s="371"/>
    </row>
    <row r="344" spans="1:34" ht="35.1" customHeight="1" thickBot="1" x14ac:dyDescent="0.4">
      <c r="A344" s="203">
        <v>34</v>
      </c>
      <c r="B344" s="393"/>
      <c r="C344" s="366"/>
      <c r="D344" s="335"/>
      <c r="E344" s="363"/>
      <c r="F344" s="363"/>
      <c r="G344" s="375"/>
      <c r="H344" s="369"/>
      <c r="I344" s="400"/>
      <c r="J344" s="401"/>
      <c r="K344" s="401"/>
      <c r="L344" s="401"/>
      <c r="M344" s="401"/>
      <c r="N344" s="402"/>
      <c r="O344" s="336"/>
      <c r="P344" s="363"/>
      <c r="Q344" s="366"/>
      <c r="R344" s="363"/>
      <c r="S344" s="366"/>
      <c r="T344" s="363"/>
      <c r="U344" s="369"/>
      <c r="V344" s="337">
        <f t="shared" si="39"/>
        <v>0</v>
      </c>
      <c r="W344" s="338"/>
      <c r="X344" s="339" t="str">
        <f t="shared" si="40"/>
        <v/>
      </c>
      <c r="Y344" s="339" t="str">
        <f>IF(V344=1,V344+MAX($Y$5:Y343),"")</f>
        <v/>
      </c>
      <c r="Z344" s="339"/>
      <c r="AA344" s="337" t="str">
        <f>IF(ISTEXT(W344),IF(ISTEXT(Z344),Z344,'Datasource 2'!$M$14),"")</f>
        <v/>
      </c>
      <c r="AB344" s="339"/>
      <c r="AC344" s="328" t="str">
        <f t="shared" si="41"/>
        <v/>
      </c>
      <c r="AD344" s="328" t="str">
        <f t="shared" si="42"/>
        <v/>
      </c>
      <c r="AE344" s="340"/>
      <c r="AF344" s="363"/>
      <c r="AG344" s="363"/>
      <c r="AH344" s="372"/>
    </row>
    <row r="345" spans="1:34" ht="35.1" customHeight="1" thickBot="1" x14ac:dyDescent="0.4">
      <c r="A345" s="205">
        <v>35</v>
      </c>
      <c r="B345" s="412">
        <v>35</v>
      </c>
      <c r="C345" s="382"/>
      <c r="D345" s="257"/>
      <c r="E345" s="379"/>
      <c r="F345" s="379"/>
      <c r="G345" s="376"/>
      <c r="H345" s="385" t="e">
        <f>IF(VLOOKUP(G345,Trusselvurdering!$B$3:$P$28,15,FALSE)=0,VLOOKUP(G345,Trusselvurdering!$B$3:$P$28,14,FALSE),VLOOKUP(G345,Trusselvurdering!$B$3:$P$28,15,FALSE))</f>
        <v>#N/A</v>
      </c>
      <c r="I345" s="403"/>
      <c r="J345" s="404"/>
      <c r="K345" s="404"/>
      <c r="L345" s="404"/>
      <c r="M345" s="404"/>
      <c r="N345" s="405"/>
      <c r="O345" s="258"/>
      <c r="P345" s="379"/>
      <c r="Q345" s="382"/>
      <c r="R345" s="379"/>
      <c r="S345" s="382"/>
      <c r="T345" s="379"/>
      <c r="U345" s="385" t="e">
        <f>VLOOKUP(Risikovurdering_data!C343,Akseptkriterier!$C$33:$H$37,MATCH(Risikovurdering_data!D343,Akseptkriterier!$D$32:$H$32,0)+1,FALSE)</f>
        <v>#N/A</v>
      </c>
      <c r="V345" s="259">
        <f t="shared" si="39"/>
        <v>0</v>
      </c>
      <c r="W345" s="260"/>
      <c r="X345" s="261" t="str">
        <f t="shared" si="40"/>
        <v/>
      </c>
      <c r="Y345" s="261" t="str">
        <f>IF(V345=1,V345+MAX($Y$5:Y344),"")</f>
        <v/>
      </c>
      <c r="Z345" s="261"/>
      <c r="AA345" s="259" t="str">
        <f>IF(ISTEXT(W345),IF(ISTEXT(Z345),Z345,'Datasource 2'!$M$14),"")</f>
        <v/>
      </c>
      <c r="AB345" s="261"/>
      <c r="AC345" s="261" t="str">
        <f t="shared" si="41"/>
        <v/>
      </c>
      <c r="AD345" s="261" t="str">
        <f t="shared" si="42"/>
        <v/>
      </c>
      <c r="AE345" s="262"/>
      <c r="AF345" s="379"/>
      <c r="AG345" s="379"/>
      <c r="AH345" s="388" t="e">
        <f>VLOOKUP(Risikovurdering_data!F343,Akseptkriterier!$C$33:$H$37,MATCH(Risikovurdering_data!G343,Akseptkriterier!$D$32:$H$32,0)+1,FALSE)</f>
        <v>#N/A</v>
      </c>
    </row>
    <row r="346" spans="1:34" ht="35.1" customHeight="1" thickBot="1" x14ac:dyDescent="0.4">
      <c r="A346" s="203">
        <v>35</v>
      </c>
      <c r="B346" s="413"/>
      <c r="C346" s="383"/>
      <c r="D346" s="263"/>
      <c r="E346" s="380"/>
      <c r="F346" s="380"/>
      <c r="G346" s="377"/>
      <c r="H346" s="386"/>
      <c r="I346" s="406"/>
      <c r="J346" s="407"/>
      <c r="K346" s="407"/>
      <c r="L346" s="407"/>
      <c r="M346" s="407"/>
      <c r="N346" s="408"/>
      <c r="O346" s="264"/>
      <c r="P346" s="380"/>
      <c r="Q346" s="383"/>
      <c r="R346" s="380"/>
      <c r="S346" s="383"/>
      <c r="T346" s="380"/>
      <c r="U346" s="386"/>
      <c r="V346" s="265">
        <f t="shared" si="39"/>
        <v>0</v>
      </c>
      <c r="W346" s="266"/>
      <c r="X346" s="267" t="str">
        <f t="shared" si="40"/>
        <v/>
      </c>
      <c r="Y346" s="267" t="str">
        <f>IF(V346=1,V346+MAX($Y$5:Y345),"")</f>
        <v/>
      </c>
      <c r="Z346" s="267"/>
      <c r="AA346" s="265" t="str">
        <f>IF(ISTEXT(W346),IF(ISTEXT(Z346),Z346,'Datasource 2'!$M$14),"")</f>
        <v/>
      </c>
      <c r="AB346" s="261"/>
      <c r="AC346" s="261" t="str">
        <f t="shared" si="41"/>
        <v/>
      </c>
      <c r="AD346" s="261" t="str">
        <f t="shared" si="42"/>
        <v/>
      </c>
      <c r="AE346" s="262"/>
      <c r="AF346" s="380"/>
      <c r="AG346" s="380"/>
      <c r="AH346" s="389"/>
    </row>
    <row r="347" spans="1:34" ht="35.1" customHeight="1" thickBot="1" x14ac:dyDescent="0.4">
      <c r="A347" s="203">
        <v>35</v>
      </c>
      <c r="B347" s="413"/>
      <c r="C347" s="383"/>
      <c r="D347" s="263"/>
      <c r="E347" s="380"/>
      <c r="F347" s="380"/>
      <c r="G347" s="377"/>
      <c r="H347" s="386"/>
      <c r="I347" s="406"/>
      <c r="J347" s="407"/>
      <c r="K347" s="407"/>
      <c r="L347" s="407"/>
      <c r="M347" s="407"/>
      <c r="N347" s="408"/>
      <c r="O347" s="264"/>
      <c r="P347" s="380"/>
      <c r="Q347" s="383"/>
      <c r="R347" s="380"/>
      <c r="S347" s="383"/>
      <c r="T347" s="380"/>
      <c r="U347" s="386"/>
      <c r="V347" s="265">
        <f t="shared" si="39"/>
        <v>0</v>
      </c>
      <c r="W347" s="266"/>
      <c r="X347" s="267" t="str">
        <f t="shared" si="40"/>
        <v/>
      </c>
      <c r="Y347" s="267" t="str">
        <f>IF(V347=1,V347+MAX($Y$5:Y346),"")</f>
        <v/>
      </c>
      <c r="Z347" s="267"/>
      <c r="AA347" s="265" t="str">
        <f>IF(ISTEXT(W347),IF(ISTEXT(Z347),Z347,'Datasource 2'!$M$14),"")</f>
        <v/>
      </c>
      <c r="AB347" s="261"/>
      <c r="AC347" s="261" t="str">
        <f t="shared" si="41"/>
        <v/>
      </c>
      <c r="AD347" s="261" t="str">
        <f t="shared" si="42"/>
        <v/>
      </c>
      <c r="AE347" s="262"/>
      <c r="AF347" s="380"/>
      <c r="AG347" s="380"/>
      <c r="AH347" s="389"/>
    </row>
    <row r="348" spans="1:34" ht="35.1" customHeight="1" thickBot="1" x14ac:dyDescent="0.4">
      <c r="A348" s="203">
        <v>35</v>
      </c>
      <c r="B348" s="413"/>
      <c r="C348" s="383"/>
      <c r="D348" s="263"/>
      <c r="E348" s="380"/>
      <c r="F348" s="380"/>
      <c r="G348" s="377"/>
      <c r="H348" s="386"/>
      <c r="I348" s="406"/>
      <c r="J348" s="407"/>
      <c r="K348" s="407"/>
      <c r="L348" s="407"/>
      <c r="M348" s="407"/>
      <c r="N348" s="408"/>
      <c r="O348" s="264"/>
      <c r="P348" s="380"/>
      <c r="Q348" s="383"/>
      <c r="R348" s="380"/>
      <c r="S348" s="383"/>
      <c r="T348" s="380"/>
      <c r="U348" s="386"/>
      <c r="V348" s="265">
        <f t="shared" si="39"/>
        <v>0</v>
      </c>
      <c r="W348" s="266"/>
      <c r="X348" s="267" t="str">
        <f t="shared" si="40"/>
        <v/>
      </c>
      <c r="Y348" s="267" t="str">
        <f>IF(V348=1,V348+MAX($Y$5:Y347),"")</f>
        <v/>
      </c>
      <c r="Z348" s="267"/>
      <c r="AA348" s="265" t="str">
        <f>IF(ISTEXT(W348),IF(ISTEXT(Z348),Z348,'Datasource 2'!$M$14),"")</f>
        <v/>
      </c>
      <c r="AB348" s="261"/>
      <c r="AC348" s="261" t="str">
        <f t="shared" si="41"/>
        <v/>
      </c>
      <c r="AD348" s="261" t="str">
        <f t="shared" si="42"/>
        <v/>
      </c>
      <c r="AE348" s="262"/>
      <c r="AF348" s="380"/>
      <c r="AG348" s="380"/>
      <c r="AH348" s="389"/>
    </row>
    <row r="349" spans="1:34" ht="35.1" customHeight="1" thickBot="1" x14ac:dyDescent="0.4">
      <c r="A349" s="203">
        <v>35</v>
      </c>
      <c r="B349" s="413"/>
      <c r="C349" s="383"/>
      <c r="D349" s="263"/>
      <c r="E349" s="380"/>
      <c r="F349" s="380"/>
      <c r="G349" s="377"/>
      <c r="H349" s="386"/>
      <c r="I349" s="406"/>
      <c r="J349" s="407"/>
      <c r="K349" s="407"/>
      <c r="L349" s="407"/>
      <c r="M349" s="407"/>
      <c r="N349" s="408"/>
      <c r="O349" s="264"/>
      <c r="P349" s="380"/>
      <c r="Q349" s="383"/>
      <c r="R349" s="380"/>
      <c r="S349" s="383"/>
      <c r="T349" s="380"/>
      <c r="U349" s="386"/>
      <c r="V349" s="265">
        <f t="shared" si="39"/>
        <v>0</v>
      </c>
      <c r="W349" s="266"/>
      <c r="X349" s="267" t="str">
        <f t="shared" si="40"/>
        <v/>
      </c>
      <c r="Y349" s="267" t="str">
        <f>IF(V349=1,V349+MAX($Y$5:Y348),"")</f>
        <v/>
      </c>
      <c r="Z349" s="267"/>
      <c r="AA349" s="265" t="str">
        <f>IF(ISTEXT(W349),IF(ISTEXT(Z349),Z349,'Datasource 2'!$M$14),"")</f>
        <v/>
      </c>
      <c r="AB349" s="261"/>
      <c r="AC349" s="261" t="str">
        <f t="shared" si="41"/>
        <v/>
      </c>
      <c r="AD349" s="261" t="str">
        <f t="shared" si="42"/>
        <v/>
      </c>
      <c r="AE349" s="262"/>
      <c r="AF349" s="380"/>
      <c r="AG349" s="380"/>
      <c r="AH349" s="389"/>
    </row>
    <row r="350" spans="1:34" ht="35.1" customHeight="1" thickBot="1" x14ac:dyDescent="0.4">
      <c r="A350" s="203">
        <v>35</v>
      </c>
      <c r="B350" s="413"/>
      <c r="C350" s="383"/>
      <c r="D350" s="263"/>
      <c r="E350" s="380"/>
      <c r="F350" s="380"/>
      <c r="G350" s="377"/>
      <c r="H350" s="386"/>
      <c r="I350" s="406"/>
      <c r="J350" s="407"/>
      <c r="K350" s="407"/>
      <c r="L350" s="407"/>
      <c r="M350" s="407"/>
      <c r="N350" s="408"/>
      <c r="O350" s="264"/>
      <c r="P350" s="380"/>
      <c r="Q350" s="383"/>
      <c r="R350" s="380"/>
      <c r="S350" s="383"/>
      <c r="T350" s="380"/>
      <c r="U350" s="386"/>
      <c r="V350" s="265">
        <f t="shared" si="39"/>
        <v>0</v>
      </c>
      <c r="W350" s="266"/>
      <c r="X350" s="267" t="str">
        <f t="shared" si="40"/>
        <v/>
      </c>
      <c r="Y350" s="267" t="str">
        <f>IF(V350=1,V350+MAX($Y$5:Y349),"")</f>
        <v/>
      </c>
      <c r="Z350" s="267"/>
      <c r="AA350" s="265" t="str">
        <f>IF(ISTEXT(W350),IF(ISTEXT(Z350),Z350,'Datasource 2'!$M$14),"")</f>
        <v/>
      </c>
      <c r="AB350" s="261"/>
      <c r="AC350" s="261" t="str">
        <f t="shared" si="41"/>
        <v/>
      </c>
      <c r="AD350" s="261" t="str">
        <f t="shared" si="42"/>
        <v/>
      </c>
      <c r="AE350" s="262"/>
      <c r="AF350" s="380"/>
      <c r="AG350" s="380"/>
      <c r="AH350" s="389"/>
    </row>
    <row r="351" spans="1:34" ht="35.1" customHeight="1" thickBot="1" x14ac:dyDescent="0.4">
      <c r="A351" s="203">
        <v>35</v>
      </c>
      <c r="B351" s="413"/>
      <c r="C351" s="383"/>
      <c r="D351" s="263"/>
      <c r="E351" s="380"/>
      <c r="F351" s="380"/>
      <c r="G351" s="377"/>
      <c r="H351" s="386"/>
      <c r="I351" s="406"/>
      <c r="J351" s="407"/>
      <c r="K351" s="407"/>
      <c r="L351" s="407"/>
      <c r="M351" s="407"/>
      <c r="N351" s="408"/>
      <c r="O351" s="264"/>
      <c r="P351" s="380"/>
      <c r="Q351" s="383"/>
      <c r="R351" s="380"/>
      <c r="S351" s="383"/>
      <c r="T351" s="380"/>
      <c r="U351" s="386"/>
      <c r="V351" s="265">
        <f t="shared" si="39"/>
        <v>0</v>
      </c>
      <c r="W351" s="266"/>
      <c r="X351" s="267" t="str">
        <f t="shared" si="40"/>
        <v/>
      </c>
      <c r="Y351" s="267" t="str">
        <f>IF(V351=1,V351+MAX($Y$5:Y350),"")</f>
        <v/>
      </c>
      <c r="Z351" s="267"/>
      <c r="AA351" s="265" t="str">
        <f>IF(ISTEXT(W351),IF(ISTEXT(Z351),Z351,'Datasource 2'!$M$14),"")</f>
        <v/>
      </c>
      <c r="AB351" s="261"/>
      <c r="AC351" s="261" t="str">
        <f t="shared" si="41"/>
        <v/>
      </c>
      <c r="AD351" s="261" t="str">
        <f t="shared" si="42"/>
        <v/>
      </c>
      <c r="AE351" s="262"/>
      <c r="AF351" s="380"/>
      <c r="AG351" s="380"/>
      <c r="AH351" s="389"/>
    </row>
    <row r="352" spans="1:34" ht="35.1" customHeight="1" thickBot="1" x14ac:dyDescent="0.4">
      <c r="A352" s="203">
        <v>35</v>
      </c>
      <c r="B352" s="413"/>
      <c r="C352" s="383"/>
      <c r="D352" s="263"/>
      <c r="E352" s="380"/>
      <c r="F352" s="380"/>
      <c r="G352" s="377"/>
      <c r="H352" s="386"/>
      <c r="I352" s="406"/>
      <c r="J352" s="407"/>
      <c r="K352" s="407"/>
      <c r="L352" s="407"/>
      <c r="M352" s="407"/>
      <c r="N352" s="408"/>
      <c r="O352" s="264"/>
      <c r="P352" s="380"/>
      <c r="Q352" s="383"/>
      <c r="R352" s="380"/>
      <c r="S352" s="383"/>
      <c r="T352" s="380"/>
      <c r="U352" s="386"/>
      <c r="V352" s="265">
        <f t="shared" si="39"/>
        <v>0</v>
      </c>
      <c r="W352" s="266"/>
      <c r="X352" s="267" t="str">
        <f t="shared" si="40"/>
        <v/>
      </c>
      <c r="Y352" s="267" t="str">
        <f>IF(V352=1,V352+MAX($Y$5:Y351),"")</f>
        <v/>
      </c>
      <c r="Z352" s="267"/>
      <c r="AA352" s="265" t="str">
        <f>IF(ISTEXT(W352),IF(ISTEXT(Z352),Z352,'Datasource 2'!$M$14),"")</f>
        <v/>
      </c>
      <c r="AB352" s="261"/>
      <c r="AC352" s="261" t="str">
        <f t="shared" si="41"/>
        <v/>
      </c>
      <c r="AD352" s="261" t="str">
        <f t="shared" si="42"/>
        <v/>
      </c>
      <c r="AE352" s="262"/>
      <c r="AF352" s="380"/>
      <c r="AG352" s="380"/>
      <c r="AH352" s="389"/>
    </row>
    <row r="353" spans="1:34" ht="35.1" customHeight="1" thickBot="1" x14ac:dyDescent="0.4">
      <c r="A353" s="203">
        <v>35</v>
      </c>
      <c r="B353" s="413"/>
      <c r="C353" s="383"/>
      <c r="D353" s="263"/>
      <c r="E353" s="380"/>
      <c r="F353" s="380"/>
      <c r="G353" s="377"/>
      <c r="H353" s="386"/>
      <c r="I353" s="406"/>
      <c r="J353" s="407"/>
      <c r="K353" s="407"/>
      <c r="L353" s="407"/>
      <c r="M353" s="407"/>
      <c r="N353" s="408"/>
      <c r="O353" s="264"/>
      <c r="P353" s="380"/>
      <c r="Q353" s="383"/>
      <c r="R353" s="380"/>
      <c r="S353" s="383"/>
      <c r="T353" s="380"/>
      <c r="U353" s="386"/>
      <c r="V353" s="265">
        <f t="shared" si="39"/>
        <v>0</v>
      </c>
      <c r="W353" s="266"/>
      <c r="X353" s="267" t="str">
        <f t="shared" si="40"/>
        <v/>
      </c>
      <c r="Y353" s="267" t="str">
        <f>IF(V353=1,V353+MAX($Y$5:Y352),"")</f>
        <v/>
      </c>
      <c r="Z353" s="267"/>
      <c r="AA353" s="265" t="str">
        <f>IF(ISTEXT(W353),IF(ISTEXT(Z353),Z353,'Datasource 2'!$M$14),"")</f>
        <v/>
      </c>
      <c r="AB353" s="261"/>
      <c r="AC353" s="261" t="str">
        <f t="shared" si="41"/>
        <v/>
      </c>
      <c r="AD353" s="261" t="str">
        <f t="shared" si="42"/>
        <v/>
      </c>
      <c r="AE353" s="262"/>
      <c r="AF353" s="380"/>
      <c r="AG353" s="380"/>
      <c r="AH353" s="389"/>
    </row>
    <row r="354" spans="1:34" ht="35.1" customHeight="1" thickBot="1" x14ac:dyDescent="0.4">
      <c r="A354" s="203">
        <v>35</v>
      </c>
      <c r="B354" s="414"/>
      <c r="C354" s="384"/>
      <c r="D354" s="268"/>
      <c r="E354" s="381"/>
      <c r="F354" s="381"/>
      <c r="G354" s="378"/>
      <c r="H354" s="387"/>
      <c r="I354" s="409"/>
      <c r="J354" s="410"/>
      <c r="K354" s="410"/>
      <c r="L354" s="410"/>
      <c r="M354" s="410"/>
      <c r="N354" s="411"/>
      <c r="O354" s="269"/>
      <c r="P354" s="381"/>
      <c r="Q354" s="384"/>
      <c r="R354" s="381"/>
      <c r="S354" s="384"/>
      <c r="T354" s="381"/>
      <c r="U354" s="387"/>
      <c r="V354" s="270">
        <f t="shared" si="39"/>
        <v>0</v>
      </c>
      <c r="W354" s="271"/>
      <c r="X354" s="272" t="str">
        <f t="shared" si="40"/>
        <v/>
      </c>
      <c r="Y354" s="272" t="str">
        <f>IF(V354=1,V354+MAX($Y$5:Y353),"")</f>
        <v/>
      </c>
      <c r="Z354" s="272"/>
      <c r="AA354" s="270" t="str">
        <f>IF(ISTEXT(W354),IF(ISTEXT(Z354),Z354,'Datasource 2'!$M$14),"")</f>
        <v/>
      </c>
      <c r="AB354" s="273"/>
      <c r="AC354" s="261" t="str">
        <f t="shared" si="41"/>
        <v/>
      </c>
      <c r="AD354" s="261" t="str">
        <f t="shared" si="42"/>
        <v/>
      </c>
      <c r="AE354" s="274"/>
      <c r="AF354" s="381"/>
      <c r="AG354" s="381"/>
      <c r="AH354" s="390"/>
    </row>
    <row r="355" spans="1:34" ht="35.1" customHeight="1" thickBot="1" x14ac:dyDescent="0.4">
      <c r="A355" s="205">
        <v>36</v>
      </c>
      <c r="B355" s="391">
        <v>36</v>
      </c>
      <c r="C355" s="364"/>
      <c r="D355" s="323"/>
      <c r="E355" s="361"/>
      <c r="F355" s="361"/>
      <c r="G355" s="373"/>
      <c r="H355" s="367" t="e">
        <f>IF(VLOOKUP(G355,Trusselvurdering!$B$3:$P$28,15,FALSE)=0,VLOOKUP(G355,Trusselvurdering!$B$3:$P$28,14,FALSE),VLOOKUP(G355,Trusselvurdering!$B$3:$P$28,15,FALSE))</f>
        <v>#N/A</v>
      </c>
      <c r="I355" s="394"/>
      <c r="J355" s="395"/>
      <c r="K355" s="395"/>
      <c r="L355" s="395"/>
      <c r="M355" s="395"/>
      <c r="N355" s="396"/>
      <c r="O355" s="324"/>
      <c r="P355" s="361"/>
      <c r="Q355" s="364"/>
      <c r="R355" s="361"/>
      <c r="S355" s="364"/>
      <c r="T355" s="361"/>
      <c r="U355" s="367" t="e">
        <f>VLOOKUP(Risikovurdering_data!C353,Akseptkriterier!$C$33:$H$37,MATCH(Risikovurdering_data!D353,Akseptkriterier!$D$32:$H$32,0)+1,FALSE)</f>
        <v>#N/A</v>
      </c>
      <c r="V355" s="325">
        <f t="shared" ref="V355:V413" si="43">IF(W355="",0,1)</f>
        <v>0</v>
      </c>
      <c r="W355" s="326"/>
      <c r="X355" s="327" t="str">
        <f t="shared" si="40"/>
        <v/>
      </c>
      <c r="Y355" s="327" t="str">
        <f>IF(V355=1,V355+MAX($Y$5:Y354),"")</f>
        <v/>
      </c>
      <c r="Z355" s="327"/>
      <c r="AA355" s="325" t="str">
        <f>IF(ISTEXT(W355),IF(ISTEXT(Z355),Z355,'Datasource 2'!$M$14),"")</f>
        <v/>
      </c>
      <c r="AB355" s="328"/>
      <c r="AC355" s="328" t="str">
        <f t="shared" si="41"/>
        <v/>
      </c>
      <c r="AD355" s="328" t="str">
        <f t="shared" si="42"/>
        <v/>
      </c>
      <c r="AE355" s="329"/>
      <c r="AF355" s="361"/>
      <c r="AG355" s="361"/>
      <c r="AH355" s="370" t="e">
        <f>VLOOKUP(Risikovurdering_data!F353,Akseptkriterier!$C$33:$H$37,MATCH(Risikovurdering_data!G353,Akseptkriterier!$D$32:$H$32,0)+1,FALSE)</f>
        <v>#N/A</v>
      </c>
    </row>
    <row r="356" spans="1:34" ht="35.1" customHeight="1" thickBot="1" x14ac:dyDescent="0.4">
      <c r="A356" s="203">
        <v>36</v>
      </c>
      <c r="B356" s="392"/>
      <c r="C356" s="365"/>
      <c r="D356" s="330"/>
      <c r="E356" s="362"/>
      <c r="F356" s="362"/>
      <c r="G356" s="374"/>
      <c r="H356" s="368"/>
      <c r="I356" s="397"/>
      <c r="J356" s="398"/>
      <c r="K356" s="398"/>
      <c r="L356" s="398"/>
      <c r="M356" s="398"/>
      <c r="N356" s="399"/>
      <c r="O356" s="331"/>
      <c r="P356" s="362"/>
      <c r="Q356" s="365"/>
      <c r="R356" s="362"/>
      <c r="S356" s="365"/>
      <c r="T356" s="362"/>
      <c r="U356" s="368"/>
      <c r="V356" s="332">
        <f t="shared" si="43"/>
        <v>0</v>
      </c>
      <c r="W356" s="333"/>
      <c r="X356" s="334" t="str">
        <f t="shared" si="40"/>
        <v/>
      </c>
      <c r="Y356" s="334" t="str">
        <f>IF(V356=1,V356+MAX($Y$5:Y355),"")</f>
        <v/>
      </c>
      <c r="Z356" s="334"/>
      <c r="AA356" s="332" t="str">
        <f>IF(ISTEXT(W356),IF(ISTEXT(Z356),Z356,'Datasource 2'!$M$14),"")</f>
        <v/>
      </c>
      <c r="AB356" s="328"/>
      <c r="AC356" s="328" t="str">
        <f t="shared" si="41"/>
        <v/>
      </c>
      <c r="AD356" s="328" t="str">
        <f t="shared" si="42"/>
        <v/>
      </c>
      <c r="AE356" s="329"/>
      <c r="AF356" s="362"/>
      <c r="AG356" s="362"/>
      <c r="AH356" s="371"/>
    </row>
    <row r="357" spans="1:34" ht="35.1" customHeight="1" thickBot="1" x14ac:dyDescent="0.4">
      <c r="A357" s="203">
        <v>36</v>
      </c>
      <c r="B357" s="392"/>
      <c r="C357" s="365"/>
      <c r="D357" s="330"/>
      <c r="E357" s="362"/>
      <c r="F357" s="362"/>
      <c r="G357" s="374"/>
      <c r="H357" s="368"/>
      <c r="I357" s="397"/>
      <c r="J357" s="398"/>
      <c r="K357" s="398"/>
      <c r="L357" s="398"/>
      <c r="M357" s="398"/>
      <c r="N357" s="399"/>
      <c r="O357" s="331"/>
      <c r="P357" s="362"/>
      <c r="Q357" s="365"/>
      <c r="R357" s="362"/>
      <c r="S357" s="365"/>
      <c r="T357" s="362"/>
      <c r="U357" s="368"/>
      <c r="V357" s="332">
        <f t="shared" si="43"/>
        <v>0</v>
      </c>
      <c r="W357" s="333"/>
      <c r="X357" s="334" t="str">
        <f t="shared" si="40"/>
        <v/>
      </c>
      <c r="Y357" s="334" t="str">
        <f>IF(V357=1,V357+MAX($Y$5:Y356),"")</f>
        <v/>
      </c>
      <c r="Z357" s="334"/>
      <c r="AA357" s="332" t="str">
        <f>IF(ISTEXT(W357),IF(ISTEXT(Z357),Z357,'Datasource 2'!$M$14),"")</f>
        <v/>
      </c>
      <c r="AB357" s="328"/>
      <c r="AC357" s="328" t="str">
        <f t="shared" si="41"/>
        <v/>
      </c>
      <c r="AD357" s="328" t="str">
        <f t="shared" si="42"/>
        <v/>
      </c>
      <c r="AE357" s="329"/>
      <c r="AF357" s="362"/>
      <c r="AG357" s="362"/>
      <c r="AH357" s="371"/>
    </row>
    <row r="358" spans="1:34" ht="35.1" customHeight="1" thickBot="1" x14ac:dyDescent="0.4">
      <c r="A358" s="203">
        <v>36</v>
      </c>
      <c r="B358" s="392"/>
      <c r="C358" s="365"/>
      <c r="D358" s="330"/>
      <c r="E358" s="362"/>
      <c r="F358" s="362"/>
      <c r="G358" s="374"/>
      <c r="H358" s="368"/>
      <c r="I358" s="397"/>
      <c r="J358" s="398"/>
      <c r="K358" s="398"/>
      <c r="L358" s="398"/>
      <c r="M358" s="398"/>
      <c r="N358" s="399"/>
      <c r="O358" s="331"/>
      <c r="P358" s="362"/>
      <c r="Q358" s="365"/>
      <c r="R358" s="362"/>
      <c r="S358" s="365"/>
      <c r="T358" s="362"/>
      <c r="U358" s="368"/>
      <c r="V358" s="332">
        <f t="shared" si="43"/>
        <v>0</v>
      </c>
      <c r="W358" s="333"/>
      <c r="X358" s="334" t="str">
        <f t="shared" si="40"/>
        <v/>
      </c>
      <c r="Y358" s="334" t="str">
        <f>IF(V358=1,V358+MAX($Y$5:Y357),"")</f>
        <v/>
      </c>
      <c r="Z358" s="334"/>
      <c r="AA358" s="332" t="str">
        <f>IF(ISTEXT(W358),IF(ISTEXT(Z358),Z358,'Datasource 2'!$M$14),"")</f>
        <v/>
      </c>
      <c r="AB358" s="328"/>
      <c r="AC358" s="328" t="str">
        <f t="shared" si="41"/>
        <v/>
      </c>
      <c r="AD358" s="328" t="str">
        <f t="shared" si="42"/>
        <v/>
      </c>
      <c r="AE358" s="329"/>
      <c r="AF358" s="362"/>
      <c r="AG358" s="362"/>
      <c r="AH358" s="371"/>
    </row>
    <row r="359" spans="1:34" ht="35.1" customHeight="1" thickBot="1" x14ac:dyDescent="0.4">
      <c r="A359" s="203">
        <v>36</v>
      </c>
      <c r="B359" s="392"/>
      <c r="C359" s="365"/>
      <c r="D359" s="330"/>
      <c r="E359" s="362"/>
      <c r="F359" s="362"/>
      <c r="G359" s="374"/>
      <c r="H359" s="368"/>
      <c r="I359" s="397"/>
      <c r="J359" s="398"/>
      <c r="K359" s="398"/>
      <c r="L359" s="398"/>
      <c r="M359" s="398"/>
      <c r="N359" s="399"/>
      <c r="O359" s="331"/>
      <c r="P359" s="362"/>
      <c r="Q359" s="365"/>
      <c r="R359" s="362"/>
      <c r="S359" s="365"/>
      <c r="T359" s="362"/>
      <c r="U359" s="368"/>
      <c r="V359" s="332">
        <f t="shared" si="43"/>
        <v>0</v>
      </c>
      <c r="W359" s="333"/>
      <c r="X359" s="334" t="str">
        <f t="shared" si="40"/>
        <v/>
      </c>
      <c r="Y359" s="334" t="str">
        <f>IF(V359=1,V359+MAX($Y$5:Y358),"")</f>
        <v/>
      </c>
      <c r="Z359" s="334"/>
      <c r="AA359" s="332" t="str">
        <f>IF(ISTEXT(W359),IF(ISTEXT(Z359),Z359,'Datasource 2'!$M$14),"")</f>
        <v/>
      </c>
      <c r="AB359" s="328"/>
      <c r="AC359" s="328" t="str">
        <f t="shared" si="41"/>
        <v/>
      </c>
      <c r="AD359" s="328" t="str">
        <f t="shared" si="42"/>
        <v/>
      </c>
      <c r="AE359" s="329"/>
      <c r="AF359" s="362"/>
      <c r="AG359" s="362"/>
      <c r="AH359" s="371"/>
    </row>
    <row r="360" spans="1:34" ht="35.1" customHeight="1" thickBot="1" x14ac:dyDescent="0.4">
      <c r="A360" s="203">
        <v>36</v>
      </c>
      <c r="B360" s="392"/>
      <c r="C360" s="365"/>
      <c r="D360" s="330"/>
      <c r="E360" s="362"/>
      <c r="F360" s="362"/>
      <c r="G360" s="374"/>
      <c r="H360" s="368"/>
      <c r="I360" s="397"/>
      <c r="J360" s="398"/>
      <c r="K360" s="398"/>
      <c r="L360" s="398"/>
      <c r="M360" s="398"/>
      <c r="N360" s="399"/>
      <c r="O360" s="331"/>
      <c r="P360" s="362"/>
      <c r="Q360" s="365"/>
      <c r="R360" s="362"/>
      <c r="S360" s="365"/>
      <c r="T360" s="362"/>
      <c r="U360" s="368"/>
      <c r="V360" s="332">
        <f t="shared" si="43"/>
        <v>0</v>
      </c>
      <c r="W360" s="333"/>
      <c r="X360" s="334" t="str">
        <f t="shared" si="40"/>
        <v/>
      </c>
      <c r="Y360" s="334" t="str">
        <f>IF(V360=1,V360+MAX($Y$5:Y359),"")</f>
        <v/>
      </c>
      <c r="Z360" s="334"/>
      <c r="AA360" s="332" t="str">
        <f>IF(ISTEXT(W360),IF(ISTEXT(Z360),Z360,'Datasource 2'!$M$14),"")</f>
        <v/>
      </c>
      <c r="AB360" s="328"/>
      <c r="AC360" s="328" t="str">
        <f t="shared" si="41"/>
        <v/>
      </c>
      <c r="AD360" s="328" t="str">
        <f t="shared" si="42"/>
        <v/>
      </c>
      <c r="AE360" s="329"/>
      <c r="AF360" s="362"/>
      <c r="AG360" s="362"/>
      <c r="AH360" s="371"/>
    </row>
    <row r="361" spans="1:34" ht="35.1" customHeight="1" thickBot="1" x14ac:dyDescent="0.4">
      <c r="A361" s="203">
        <v>36</v>
      </c>
      <c r="B361" s="392"/>
      <c r="C361" s="365"/>
      <c r="D361" s="330"/>
      <c r="E361" s="362"/>
      <c r="F361" s="362"/>
      <c r="G361" s="374"/>
      <c r="H361" s="368"/>
      <c r="I361" s="397"/>
      <c r="J361" s="398"/>
      <c r="K361" s="398"/>
      <c r="L361" s="398"/>
      <c r="M361" s="398"/>
      <c r="N361" s="399"/>
      <c r="O361" s="331"/>
      <c r="P361" s="362"/>
      <c r="Q361" s="365"/>
      <c r="R361" s="362"/>
      <c r="S361" s="365"/>
      <c r="T361" s="362"/>
      <c r="U361" s="368"/>
      <c r="V361" s="332">
        <f t="shared" si="43"/>
        <v>0</v>
      </c>
      <c r="W361" s="333"/>
      <c r="X361" s="334" t="str">
        <f t="shared" si="40"/>
        <v/>
      </c>
      <c r="Y361" s="334" t="str">
        <f>IF(V361=1,V361+MAX($Y$5:Y360),"")</f>
        <v/>
      </c>
      <c r="Z361" s="334"/>
      <c r="AA361" s="332" t="str">
        <f>IF(ISTEXT(W361),IF(ISTEXT(Z361),Z361,'Datasource 2'!$M$14),"")</f>
        <v/>
      </c>
      <c r="AB361" s="328"/>
      <c r="AC361" s="328" t="str">
        <f t="shared" si="41"/>
        <v/>
      </c>
      <c r="AD361" s="328" t="str">
        <f t="shared" si="42"/>
        <v/>
      </c>
      <c r="AE361" s="329"/>
      <c r="AF361" s="362"/>
      <c r="AG361" s="362"/>
      <c r="AH361" s="371"/>
    </row>
    <row r="362" spans="1:34" ht="35.1" customHeight="1" thickBot="1" x14ac:dyDescent="0.4">
      <c r="A362" s="203">
        <v>36</v>
      </c>
      <c r="B362" s="392"/>
      <c r="C362" s="365"/>
      <c r="D362" s="330"/>
      <c r="E362" s="362"/>
      <c r="F362" s="362"/>
      <c r="G362" s="374"/>
      <c r="H362" s="368"/>
      <c r="I362" s="397"/>
      <c r="J362" s="398"/>
      <c r="K362" s="398"/>
      <c r="L362" s="398"/>
      <c r="M362" s="398"/>
      <c r="N362" s="399"/>
      <c r="O362" s="331"/>
      <c r="P362" s="362"/>
      <c r="Q362" s="365"/>
      <c r="R362" s="362"/>
      <c r="S362" s="365"/>
      <c r="T362" s="362"/>
      <c r="U362" s="368"/>
      <c r="V362" s="332">
        <f t="shared" si="43"/>
        <v>0</v>
      </c>
      <c r="W362" s="333"/>
      <c r="X362" s="334" t="str">
        <f t="shared" si="40"/>
        <v/>
      </c>
      <c r="Y362" s="334" t="str">
        <f>IF(V362=1,V362+MAX($Y$5:Y361),"")</f>
        <v/>
      </c>
      <c r="Z362" s="334"/>
      <c r="AA362" s="332" t="str">
        <f>IF(ISTEXT(W362),IF(ISTEXT(Z362),Z362,'Datasource 2'!$M$14),"")</f>
        <v/>
      </c>
      <c r="AB362" s="328"/>
      <c r="AC362" s="328" t="str">
        <f t="shared" si="41"/>
        <v/>
      </c>
      <c r="AD362" s="328" t="str">
        <f t="shared" si="42"/>
        <v/>
      </c>
      <c r="AE362" s="329"/>
      <c r="AF362" s="362"/>
      <c r="AG362" s="362"/>
      <c r="AH362" s="371"/>
    </row>
    <row r="363" spans="1:34" ht="35.1" customHeight="1" thickBot="1" x14ac:dyDescent="0.4">
      <c r="A363" s="203">
        <v>36</v>
      </c>
      <c r="B363" s="392"/>
      <c r="C363" s="365"/>
      <c r="D363" s="330"/>
      <c r="E363" s="362"/>
      <c r="F363" s="362"/>
      <c r="G363" s="374"/>
      <c r="H363" s="368"/>
      <c r="I363" s="397"/>
      <c r="J363" s="398"/>
      <c r="K363" s="398"/>
      <c r="L363" s="398"/>
      <c r="M363" s="398"/>
      <c r="N363" s="399"/>
      <c r="O363" s="331"/>
      <c r="P363" s="362"/>
      <c r="Q363" s="365"/>
      <c r="R363" s="362"/>
      <c r="S363" s="365"/>
      <c r="T363" s="362"/>
      <c r="U363" s="368"/>
      <c r="V363" s="332">
        <f t="shared" si="43"/>
        <v>0</v>
      </c>
      <c r="W363" s="333"/>
      <c r="X363" s="334" t="str">
        <f t="shared" si="40"/>
        <v/>
      </c>
      <c r="Y363" s="334" t="str">
        <f>IF(V363=1,V363+MAX($Y$5:Y362),"")</f>
        <v/>
      </c>
      <c r="Z363" s="334"/>
      <c r="AA363" s="332" t="str">
        <f>IF(ISTEXT(W363),IF(ISTEXT(Z363),Z363,'Datasource 2'!$M$14),"")</f>
        <v/>
      </c>
      <c r="AB363" s="328"/>
      <c r="AC363" s="328" t="str">
        <f t="shared" si="41"/>
        <v/>
      </c>
      <c r="AD363" s="328" t="str">
        <f t="shared" si="42"/>
        <v/>
      </c>
      <c r="AE363" s="329"/>
      <c r="AF363" s="362"/>
      <c r="AG363" s="362"/>
      <c r="AH363" s="371"/>
    </row>
    <row r="364" spans="1:34" ht="35.1" customHeight="1" thickBot="1" x14ac:dyDescent="0.4">
      <c r="A364" s="203">
        <v>36</v>
      </c>
      <c r="B364" s="393"/>
      <c r="C364" s="366"/>
      <c r="D364" s="335"/>
      <c r="E364" s="363"/>
      <c r="F364" s="363"/>
      <c r="G364" s="375"/>
      <c r="H364" s="369"/>
      <c r="I364" s="400"/>
      <c r="J364" s="401"/>
      <c r="K364" s="401"/>
      <c r="L364" s="401"/>
      <c r="M364" s="401"/>
      <c r="N364" s="402"/>
      <c r="O364" s="336"/>
      <c r="P364" s="363"/>
      <c r="Q364" s="366"/>
      <c r="R364" s="363"/>
      <c r="S364" s="366"/>
      <c r="T364" s="363"/>
      <c r="U364" s="369"/>
      <c r="V364" s="337">
        <f t="shared" si="43"/>
        <v>0</v>
      </c>
      <c r="W364" s="338"/>
      <c r="X364" s="339" t="str">
        <f t="shared" si="40"/>
        <v/>
      </c>
      <c r="Y364" s="339" t="str">
        <f>IF(V364=1,V364+MAX($Y$5:Y363),"")</f>
        <v/>
      </c>
      <c r="Z364" s="339"/>
      <c r="AA364" s="337" t="str">
        <f>IF(ISTEXT(W364),IF(ISTEXT(Z364),Z364,'Datasource 2'!$M$14),"")</f>
        <v/>
      </c>
      <c r="AB364" s="339"/>
      <c r="AC364" s="328" t="str">
        <f t="shared" si="41"/>
        <v/>
      </c>
      <c r="AD364" s="328" t="str">
        <f t="shared" si="42"/>
        <v/>
      </c>
      <c r="AE364" s="340"/>
      <c r="AF364" s="363"/>
      <c r="AG364" s="363"/>
      <c r="AH364" s="372"/>
    </row>
    <row r="365" spans="1:34" ht="35.1" customHeight="1" thickBot="1" x14ac:dyDescent="0.4">
      <c r="A365" s="205">
        <v>37</v>
      </c>
      <c r="B365" s="412">
        <v>37</v>
      </c>
      <c r="C365" s="382"/>
      <c r="D365" s="257"/>
      <c r="E365" s="379"/>
      <c r="F365" s="379"/>
      <c r="G365" s="376"/>
      <c r="H365" s="385" t="e">
        <f>IF(VLOOKUP(G365,Trusselvurdering!$B$3:$P$28,15,FALSE)=0,VLOOKUP(G365,Trusselvurdering!$B$3:$P$28,14,FALSE),VLOOKUP(G365,Trusselvurdering!$B$3:$P$28,15,FALSE))</f>
        <v>#N/A</v>
      </c>
      <c r="I365" s="403"/>
      <c r="J365" s="404"/>
      <c r="K365" s="404"/>
      <c r="L365" s="404"/>
      <c r="M365" s="404"/>
      <c r="N365" s="405"/>
      <c r="O365" s="258"/>
      <c r="P365" s="379"/>
      <c r="Q365" s="382"/>
      <c r="R365" s="379"/>
      <c r="S365" s="382"/>
      <c r="T365" s="379"/>
      <c r="U365" s="385" t="e">
        <f>VLOOKUP(Risikovurdering_data!C363,Akseptkriterier!$C$33:$H$37,MATCH(Risikovurdering_data!D363,Akseptkriterier!$D$32:$H$32,0)+1,FALSE)</f>
        <v>#N/A</v>
      </c>
      <c r="V365" s="259">
        <f t="shared" si="43"/>
        <v>0</v>
      </c>
      <c r="W365" s="260"/>
      <c r="X365" s="261" t="str">
        <f t="shared" si="40"/>
        <v/>
      </c>
      <c r="Y365" s="261" t="str">
        <f>IF(V365=1,V365+MAX($Y$5:Y364),"")</f>
        <v/>
      </c>
      <c r="Z365" s="261"/>
      <c r="AA365" s="259" t="str">
        <f>IF(ISTEXT(W365),IF(ISTEXT(Z365),Z365,'Datasource 2'!$M$14),"")</f>
        <v/>
      </c>
      <c r="AB365" s="261"/>
      <c r="AC365" s="261" t="str">
        <f t="shared" si="41"/>
        <v/>
      </c>
      <c r="AD365" s="261" t="str">
        <f t="shared" si="42"/>
        <v/>
      </c>
      <c r="AE365" s="262"/>
      <c r="AF365" s="379"/>
      <c r="AG365" s="379"/>
      <c r="AH365" s="388" t="e">
        <f>VLOOKUP(Risikovurdering_data!F363,Akseptkriterier!$C$33:$H$37,MATCH(Risikovurdering_data!G363,Akseptkriterier!$D$32:$H$32,0)+1,FALSE)</f>
        <v>#N/A</v>
      </c>
    </row>
    <row r="366" spans="1:34" ht="35.1" customHeight="1" thickBot="1" x14ac:dyDescent="0.4">
      <c r="A366" s="203">
        <v>37</v>
      </c>
      <c r="B366" s="413"/>
      <c r="C366" s="383"/>
      <c r="D366" s="263"/>
      <c r="E366" s="380"/>
      <c r="F366" s="380"/>
      <c r="G366" s="377"/>
      <c r="H366" s="386"/>
      <c r="I366" s="406"/>
      <c r="J366" s="407"/>
      <c r="K366" s="407"/>
      <c r="L366" s="407"/>
      <c r="M366" s="407"/>
      <c r="N366" s="408"/>
      <c r="O366" s="264"/>
      <c r="P366" s="380"/>
      <c r="Q366" s="383"/>
      <c r="R366" s="380"/>
      <c r="S366" s="383"/>
      <c r="T366" s="380"/>
      <c r="U366" s="386"/>
      <c r="V366" s="265">
        <f t="shared" si="43"/>
        <v>0</v>
      </c>
      <c r="W366" s="266"/>
      <c r="X366" s="267" t="str">
        <f t="shared" si="40"/>
        <v/>
      </c>
      <c r="Y366" s="267" t="str">
        <f>IF(V366=1,V366+MAX($Y$5:Y365),"")</f>
        <v/>
      </c>
      <c r="Z366" s="267"/>
      <c r="AA366" s="265" t="str">
        <f>IF(ISTEXT(W366),IF(ISTEXT(Z366),Z366,'Datasource 2'!$M$14),"")</f>
        <v/>
      </c>
      <c r="AB366" s="261"/>
      <c r="AC366" s="261" t="str">
        <f t="shared" si="41"/>
        <v/>
      </c>
      <c r="AD366" s="261" t="str">
        <f t="shared" si="42"/>
        <v/>
      </c>
      <c r="AE366" s="262"/>
      <c r="AF366" s="380"/>
      <c r="AG366" s="380"/>
      <c r="AH366" s="389"/>
    </row>
    <row r="367" spans="1:34" ht="35.1" customHeight="1" thickBot="1" x14ac:dyDescent="0.4">
      <c r="A367" s="203">
        <v>37</v>
      </c>
      <c r="B367" s="413"/>
      <c r="C367" s="383"/>
      <c r="D367" s="263"/>
      <c r="E367" s="380"/>
      <c r="F367" s="380"/>
      <c r="G367" s="377"/>
      <c r="H367" s="386"/>
      <c r="I367" s="406"/>
      <c r="J367" s="407"/>
      <c r="K367" s="407"/>
      <c r="L367" s="407"/>
      <c r="M367" s="407"/>
      <c r="N367" s="408"/>
      <c r="O367" s="264"/>
      <c r="P367" s="380"/>
      <c r="Q367" s="383"/>
      <c r="R367" s="380"/>
      <c r="S367" s="383"/>
      <c r="T367" s="380"/>
      <c r="U367" s="386"/>
      <c r="V367" s="265">
        <f t="shared" si="43"/>
        <v>0</v>
      </c>
      <c r="W367" s="266"/>
      <c r="X367" s="267" t="str">
        <f t="shared" si="40"/>
        <v/>
      </c>
      <c r="Y367" s="267" t="str">
        <f>IF(V367=1,V367+MAX($Y$5:Y366),"")</f>
        <v/>
      </c>
      <c r="Z367" s="267"/>
      <c r="AA367" s="265" t="str">
        <f>IF(ISTEXT(W367),IF(ISTEXT(Z367),Z367,'Datasource 2'!$M$14),"")</f>
        <v/>
      </c>
      <c r="AB367" s="261"/>
      <c r="AC367" s="261" t="str">
        <f t="shared" si="41"/>
        <v/>
      </c>
      <c r="AD367" s="261" t="str">
        <f t="shared" si="42"/>
        <v/>
      </c>
      <c r="AE367" s="262"/>
      <c r="AF367" s="380"/>
      <c r="AG367" s="380"/>
      <c r="AH367" s="389"/>
    </row>
    <row r="368" spans="1:34" ht="35.1" customHeight="1" thickBot="1" x14ac:dyDescent="0.4">
      <c r="A368" s="203">
        <v>37</v>
      </c>
      <c r="B368" s="413"/>
      <c r="C368" s="383"/>
      <c r="D368" s="263"/>
      <c r="E368" s="380"/>
      <c r="F368" s="380"/>
      <c r="G368" s="377"/>
      <c r="H368" s="386"/>
      <c r="I368" s="406"/>
      <c r="J368" s="407"/>
      <c r="K368" s="407"/>
      <c r="L368" s="407"/>
      <c r="M368" s="407"/>
      <c r="N368" s="408"/>
      <c r="O368" s="264"/>
      <c r="P368" s="380"/>
      <c r="Q368" s="383"/>
      <c r="R368" s="380"/>
      <c r="S368" s="383"/>
      <c r="T368" s="380"/>
      <c r="U368" s="386"/>
      <c r="V368" s="265">
        <f t="shared" si="43"/>
        <v>0</v>
      </c>
      <c r="W368" s="266"/>
      <c r="X368" s="267" t="str">
        <f t="shared" si="40"/>
        <v/>
      </c>
      <c r="Y368" s="267" t="str">
        <f>IF(V368=1,V368+MAX($Y$5:Y367),"")</f>
        <v/>
      </c>
      <c r="Z368" s="267"/>
      <c r="AA368" s="265" t="str">
        <f>IF(ISTEXT(W368),IF(ISTEXT(Z368),Z368,'Datasource 2'!$M$14),"")</f>
        <v/>
      </c>
      <c r="AB368" s="261"/>
      <c r="AC368" s="261" t="str">
        <f t="shared" si="41"/>
        <v/>
      </c>
      <c r="AD368" s="261" t="str">
        <f t="shared" si="42"/>
        <v/>
      </c>
      <c r="AE368" s="262"/>
      <c r="AF368" s="380"/>
      <c r="AG368" s="380"/>
      <c r="AH368" s="389"/>
    </row>
    <row r="369" spans="1:34" ht="35.1" customHeight="1" thickBot="1" x14ac:dyDescent="0.4">
      <c r="A369" s="203">
        <v>37</v>
      </c>
      <c r="B369" s="413"/>
      <c r="C369" s="383"/>
      <c r="D369" s="263"/>
      <c r="E369" s="380"/>
      <c r="F369" s="380"/>
      <c r="G369" s="377"/>
      <c r="H369" s="386"/>
      <c r="I369" s="406"/>
      <c r="J369" s="407"/>
      <c r="K369" s="407"/>
      <c r="L369" s="407"/>
      <c r="M369" s="407"/>
      <c r="N369" s="408"/>
      <c r="O369" s="264"/>
      <c r="P369" s="380"/>
      <c r="Q369" s="383"/>
      <c r="R369" s="380"/>
      <c r="S369" s="383"/>
      <c r="T369" s="380"/>
      <c r="U369" s="386"/>
      <c r="V369" s="265">
        <f t="shared" si="43"/>
        <v>0</v>
      </c>
      <c r="W369" s="266"/>
      <c r="X369" s="267" t="str">
        <f t="shared" si="40"/>
        <v/>
      </c>
      <c r="Y369" s="267" t="str">
        <f>IF(V369=1,V369+MAX($Y$5:Y368),"")</f>
        <v/>
      </c>
      <c r="Z369" s="267"/>
      <c r="AA369" s="265" t="str">
        <f>IF(ISTEXT(W369),IF(ISTEXT(Z369),Z369,'Datasource 2'!$M$14),"")</f>
        <v/>
      </c>
      <c r="AB369" s="261"/>
      <c r="AC369" s="261" t="str">
        <f t="shared" si="41"/>
        <v/>
      </c>
      <c r="AD369" s="261" t="str">
        <f t="shared" si="42"/>
        <v/>
      </c>
      <c r="AE369" s="262"/>
      <c r="AF369" s="380"/>
      <c r="AG369" s="380"/>
      <c r="AH369" s="389"/>
    </row>
    <row r="370" spans="1:34" ht="35.1" customHeight="1" thickBot="1" x14ac:dyDescent="0.4">
      <c r="A370" s="203">
        <v>37</v>
      </c>
      <c r="B370" s="413"/>
      <c r="C370" s="383"/>
      <c r="D370" s="263"/>
      <c r="E370" s="380"/>
      <c r="F370" s="380"/>
      <c r="G370" s="377"/>
      <c r="H370" s="386"/>
      <c r="I370" s="406"/>
      <c r="J370" s="407"/>
      <c r="K370" s="407"/>
      <c r="L370" s="407"/>
      <c r="M370" s="407"/>
      <c r="N370" s="408"/>
      <c r="O370" s="264"/>
      <c r="P370" s="380"/>
      <c r="Q370" s="383"/>
      <c r="R370" s="380"/>
      <c r="S370" s="383"/>
      <c r="T370" s="380"/>
      <c r="U370" s="386"/>
      <c r="V370" s="265">
        <f t="shared" si="43"/>
        <v>0</v>
      </c>
      <c r="W370" s="266"/>
      <c r="X370" s="267" t="str">
        <f t="shared" si="40"/>
        <v/>
      </c>
      <c r="Y370" s="267" t="str">
        <f>IF(V370=1,V370+MAX($Y$5:Y369),"")</f>
        <v/>
      </c>
      <c r="Z370" s="267"/>
      <c r="AA370" s="265" t="str">
        <f>IF(ISTEXT(W370),IF(ISTEXT(Z370),Z370,'Datasource 2'!$M$14),"")</f>
        <v/>
      </c>
      <c r="AB370" s="261"/>
      <c r="AC370" s="261" t="str">
        <f t="shared" si="41"/>
        <v/>
      </c>
      <c r="AD370" s="261" t="str">
        <f t="shared" si="42"/>
        <v/>
      </c>
      <c r="AE370" s="262"/>
      <c r="AF370" s="380"/>
      <c r="AG370" s="380"/>
      <c r="AH370" s="389"/>
    </row>
    <row r="371" spans="1:34" ht="35.1" customHeight="1" thickBot="1" x14ac:dyDescent="0.4">
      <c r="A371" s="203">
        <v>37</v>
      </c>
      <c r="B371" s="413"/>
      <c r="C371" s="383"/>
      <c r="D371" s="263"/>
      <c r="E371" s="380"/>
      <c r="F371" s="380"/>
      <c r="G371" s="377"/>
      <c r="H371" s="386"/>
      <c r="I371" s="406"/>
      <c r="J371" s="407"/>
      <c r="K371" s="407"/>
      <c r="L371" s="407"/>
      <c r="M371" s="407"/>
      <c r="N371" s="408"/>
      <c r="O371" s="264"/>
      <c r="P371" s="380"/>
      <c r="Q371" s="383"/>
      <c r="R371" s="380"/>
      <c r="S371" s="383"/>
      <c r="T371" s="380"/>
      <c r="U371" s="386"/>
      <c r="V371" s="265">
        <f t="shared" si="43"/>
        <v>0</v>
      </c>
      <c r="W371" s="266"/>
      <c r="X371" s="267" t="str">
        <f t="shared" si="40"/>
        <v/>
      </c>
      <c r="Y371" s="267" t="str">
        <f>IF(V371=1,V371+MAX($Y$5:Y370),"")</f>
        <v/>
      </c>
      <c r="Z371" s="267"/>
      <c r="AA371" s="265" t="str">
        <f>IF(ISTEXT(W371),IF(ISTEXT(Z371),Z371,'Datasource 2'!$M$14),"")</f>
        <v/>
      </c>
      <c r="AB371" s="261"/>
      <c r="AC371" s="261" t="str">
        <f t="shared" si="41"/>
        <v/>
      </c>
      <c r="AD371" s="261" t="str">
        <f t="shared" si="42"/>
        <v/>
      </c>
      <c r="AE371" s="262"/>
      <c r="AF371" s="380"/>
      <c r="AG371" s="380"/>
      <c r="AH371" s="389"/>
    </row>
    <row r="372" spans="1:34" ht="35.1" customHeight="1" thickBot="1" x14ac:dyDescent="0.4">
      <c r="A372" s="203">
        <v>37</v>
      </c>
      <c r="B372" s="413"/>
      <c r="C372" s="383"/>
      <c r="D372" s="263"/>
      <c r="E372" s="380"/>
      <c r="F372" s="380"/>
      <c r="G372" s="377"/>
      <c r="H372" s="386"/>
      <c r="I372" s="406"/>
      <c r="J372" s="407"/>
      <c r="K372" s="407"/>
      <c r="L372" s="407"/>
      <c r="M372" s="407"/>
      <c r="N372" s="408"/>
      <c r="O372" s="264"/>
      <c r="P372" s="380"/>
      <c r="Q372" s="383"/>
      <c r="R372" s="380"/>
      <c r="S372" s="383"/>
      <c r="T372" s="380"/>
      <c r="U372" s="386"/>
      <c r="V372" s="265">
        <f t="shared" si="43"/>
        <v>0</v>
      </c>
      <c r="W372" s="266"/>
      <c r="X372" s="267" t="str">
        <f t="shared" si="40"/>
        <v/>
      </c>
      <c r="Y372" s="267" t="str">
        <f>IF(V372=1,V372+MAX($Y$5:Y371),"")</f>
        <v/>
      </c>
      <c r="Z372" s="267"/>
      <c r="AA372" s="265" t="str">
        <f>IF(ISTEXT(W372),IF(ISTEXT(Z372),Z372,'Datasource 2'!$M$14),"")</f>
        <v/>
      </c>
      <c r="AB372" s="261"/>
      <c r="AC372" s="261" t="str">
        <f t="shared" si="41"/>
        <v/>
      </c>
      <c r="AD372" s="261" t="str">
        <f t="shared" si="42"/>
        <v/>
      </c>
      <c r="AE372" s="262"/>
      <c r="AF372" s="380"/>
      <c r="AG372" s="380"/>
      <c r="AH372" s="389"/>
    </row>
    <row r="373" spans="1:34" ht="35.1" customHeight="1" thickBot="1" x14ac:dyDescent="0.4">
      <c r="A373" s="203">
        <v>37</v>
      </c>
      <c r="B373" s="413"/>
      <c r="C373" s="383"/>
      <c r="D373" s="263"/>
      <c r="E373" s="380"/>
      <c r="F373" s="380"/>
      <c r="G373" s="377"/>
      <c r="H373" s="386"/>
      <c r="I373" s="406"/>
      <c r="J373" s="407"/>
      <c r="K373" s="407"/>
      <c r="L373" s="407"/>
      <c r="M373" s="407"/>
      <c r="N373" s="408"/>
      <c r="O373" s="264"/>
      <c r="P373" s="380"/>
      <c r="Q373" s="383"/>
      <c r="R373" s="380"/>
      <c r="S373" s="383"/>
      <c r="T373" s="380"/>
      <c r="U373" s="386"/>
      <c r="V373" s="265">
        <f t="shared" si="43"/>
        <v>0</v>
      </c>
      <c r="W373" s="266"/>
      <c r="X373" s="267" t="str">
        <f t="shared" si="40"/>
        <v/>
      </c>
      <c r="Y373" s="267" t="str">
        <f>IF(V373=1,V373+MAX($Y$5:Y372),"")</f>
        <v/>
      </c>
      <c r="Z373" s="267"/>
      <c r="AA373" s="265" t="str">
        <f>IF(ISTEXT(W373),IF(ISTEXT(Z373),Z373,'Datasource 2'!$M$14),"")</f>
        <v/>
      </c>
      <c r="AB373" s="261"/>
      <c r="AC373" s="261" t="str">
        <f t="shared" si="41"/>
        <v/>
      </c>
      <c r="AD373" s="261" t="str">
        <f t="shared" si="42"/>
        <v/>
      </c>
      <c r="AE373" s="262"/>
      <c r="AF373" s="380"/>
      <c r="AG373" s="380"/>
      <c r="AH373" s="389"/>
    </row>
    <row r="374" spans="1:34" ht="35.1" customHeight="1" thickBot="1" x14ac:dyDescent="0.4">
      <c r="A374" s="203">
        <v>37</v>
      </c>
      <c r="B374" s="414"/>
      <c r="C374" s="384"/>
      <c r="D374" s="268"/>
      <c r="E374" s="381"/>
      <c r="F374" s="381"/>
      <c r="G374" s="378"/>
      <c r="H374" s="387"/>
      <c r="I374" s="409"/>
      <c r="J374" s="410"/>
      <c r="K374" s="410"/>
      <c r="L374" s="410"/>
      <c r="M374" s="410"/>
      <c r="N374" s="411"/>
      <c r="O374" s="269"/>
      <c r="P374" s="381"/>
      <c r="Q374" s="384"/>
      <c r="R374" s="381"/>
      <c r="S374" s="384"/>
      <c r="T374" s="381"/>
      <c r="U374" s="387"/>
      <c r="V374" s="270">
        <f t="shared" si="43"/>
        <v>0</v>
      </c>
      <c r="W374" s="271"/>
      <c r="X374" s="272" t="str">
        <f t="shared" si="40"/>
        <v/>
      </c>
      <c r="Y374" s="272" t="str">
        <f>IF(V374=1,V374+MAX($Y$5:Y373),"")</f>
        <v/>
      </c>
      <c r="Z374" s="272"/>
      <c r="AA374" s="270" t="str">
        <f>IF(ISTEXT(W374),IF(ISTEXT(Z374),Z374,'Datasource 2'!$M$14),"")</f>
        <v/>
      </c>
      <c r="AB374" s="273"/>
      <c r="AC374" s="261" t="str">
        <f t="shared" si="41"/>
        <v/>
      </c>
      <c r="AD374" s="261" t="str">
        <f t="shared" si="42"/>
        <v/>
      </c>
      <c r="AE374" s="274"/>
      <c r="AF374" s="381"/>
      <c r="AG374" s="381"/>
      <c r="AH374" s="390"/>
    </row>
    <row r="375" spans="1:34" ht="35.1" customHeight="1" thickBot="1" x14ac:dyDescent="0.4">
      <c r="A375" s="205">
        <v>38</v>
      </c>
      <c r="B375" s="391">
        <v>38</v>
      </c>
      <c r="C375" s="364"/>
      <c r="D375" s="323"/>
      <c r="E375" s="361"/>
      <c r="F375" s="361"/>
      <c r="G375" s="373"/>
      <c r="H375" s="367" t="e">
        <f>IF(VLOOKUP(G375,Trusselvurdering!$B$3:$P$28,15,FALSE)=0,VLOOKUP(G375,Trusselvurdering!$B$3:$P$28,14,FALSE),VLOOKUP(G375,Trusselvurdering!$B$3:$P$28,15,FALSE))</f>
        <v>#N/A</v>
      </c>
      <c r="I375" s="394"/>
      <c r="J375" s="395"/>
      <c r="K375" s="395"/>
      <c r="L375" s="395"/>
      <c r="M375" s="395"/>
      <c r="N375" s="396"/>
      <c r="O375" s="324"/>
      <c r="P375" s="361"/>
      <c r="Q375" s="364"/>
      <c r="R375" s="361"/>
      <c r="S375" s="364"/>
      <c r="T375" s="361"/>
      <c r="U375" s="367" t="e">
        <f>VLOOKUP(Risikovurdering_data!C373,Akseptkriterier!$C$33:$H$37,MATCH(Risikovurdering_data!D373,Akseptkriterier!$D$32:$H$32,0)+1,FALSE)</f>
        <v>#N/A</v>
      </c>
      <c r="V375" s="325">
        <f t="shared" si="43"/>
        <v>0</v>
      </c>
      <c r="W375" s="326"/>
      <c r="X375" s="327" t="str">
        <f t="shared" si="40"/>
        <v/>
      </c>
      <c r="Y375" s="327" t="str">
        <f>IF(V375=1,V375+MAX($Y$5:Y374),"")</f>
        <v/>
      </c>
      <c r="Z375" s="327"/>
      <c r="AA375" s="325" t="str">
        <f>IF(ISTEXT(W375),IF(ISTEXT(Z375),Z375,'Datasource 2'!$M$14),"")</f>
        <v/>
      </c>
      <c r="AB375" s="328"/>
      <c r="AC375" s="328" t="str">
        <f t="shared" si="41"/>
        <v/>
      </c>
      <c r="AD375" s="328" t="str">
        <f t="shared" si="42"/>
        <v/>
      </c>
      <c r="AE375" s="329"/>
      <c r="AF375" s="361"/>
      <c r="AG375" s="361"/>
      <c r="AH375" s="370" t="e">
        <f>VLOOKUP(Risikovurdering_data!F373,Akseptkriterier!$C$33:$H$37,MATCH(Risikovurdering_data!G373,Akseptkriterier!$D$32:$H$32,0)+1,FALSE)</f>
        <v>#N/A</v>
      </c>
    </row>
    <row r="376" spans="1:34" ht="35.1" customHeight="1" thickBot="1" x14ac:dyDescent="0.4">
      <c r="A376" s="203">
        <v>38</v>
      </c>
      <c r="B376" s="392"/>
      <c r="C376" s="365"/>
      <c r="D376" s="330"/>
      <c r="E376" s="362"/>
      <c r="F376" s="362"/>
      <c r="G376" s="374"/>
      <c r="H376" s="368"/>
      <c r="I376" s="397"/>
      <c r="J376" s="398"/>
      <c r="K376" s="398"/>
      <c r="L376" s="398"/>
      <c r="M376" s="398"/>
      <c r="N376" s="399"/>
      <c r="O376" s="331"/>
      <c r="P376" s="362"/>
      <c r="Q376" s="365"/>
      <c r="R376" s="362"/>
      <c r="S376" s="365"/>
      <c r="T376" s="362"/>
      <c r="U376" s="368"/>
      <c r="V376" s="332">
        <f t="shared" si="43"/>
        <v>0</v>
      </c>
      <c r="W376" s="333"/>
      <c r="X376" s="334" t="str">
        <f t="shared" si="40"/>
        <v/>
      </c>
      <c r="Y376" s="334" t="str">
        <f>IF(V376=1,V376+MAX($Y$5:Y375),"")</f>
        <v/>
      </c>
      <c r="Z376" s="334"/>
      <c r="AA376" s="332" t="str">
        <f>IF(ISTEXT(W376),IF(ISTEXT(Z376),Z376,'Datasource 2'!$M$14),"")</f>
        <v/>
      </c>
      <c r="AB376" s="328"/>
      <c r="AC376" s="328" t="str">
        <f t="shared" si="41"/>
        <v/>
      </c>
      <c r="AD376" s="328" t="str">
        <f t="shared" si="42"/>
        <v/>
      </c>
      <c r="AE376" s="329"/>
      <c r="AF376" s="362"/>
      <c r="AG376" s="362"/>
      <c r="AH376" s="371"/>
    </row>
    <row r="377" spans="1:34" ht="35.1" customHeight="1" thickBot="1" x14ac:dyDescent="0.4">
      <c r="A377" s="203">
        <v>38</v>
      </c>
      <c r="B377" s="392"/>
      <c r="C377" s="365"/>
      <c r="D377" s="330"/>
      <c r="E377" s="362"/>
      <c r="F377" s="362"/>
      <c r="G377" s="374"/>
      <c r="H377" s="368"/>
      <c r="I377" s="397"/>
      <c r="J377" s="398"/>
      <c r="K377" s="398"/>
      <c r="L377" s="398"/>
      <c r="M377" s="398"/>
      <c r="N377" s="399"/>
      <c r="O377" s="331"/>
      <c r="P377" s="362"/>
      <c r="Q377" s="365"/>
      <c r="R377" s="362"/>
      <c r="S377" s="365"/>
      <c r="T377" s="362"/>
      <c r="U377" s="368"/>
      <c r="V377" s="332">
        <f t="shared" si="43"/>
        <v>0</v>
      </c>
      <c r="W377" s="333"/>
      <c r="X377" s="334" t="str">
        <f t="shared" si="40"/>
        <v/>
      </c>
      <c r="Y377" s="334" t="str">
        <f>IF(V377=1,V377+MAX($Y$5:Y376),"")</f>
        <v/>
      </c>
      <c r="Z377" s="334"/>
      <c r="AA377" s="332" t="str">
        <f>IF(ISTEXT(W377),IF(ISTEXT(Z377),Z377,'Datasource 2'!$M$14),"")</f>
        <v/>
      </c>
      <c r="AB377" s="328"/>
      <c r="AC377" s="328" t="str">
        <f t="shared" si="41"/>
        <v/>
      </c>
      <c r="AD377" s="328" t="str">
        <f t="shared" si="42"/>
        <v/>
      </c>
      <c r="AE377" s="329"/>
      <c r="AF377" s="362"/>
      <c r="AG377" s="362"/>
      <c r="AH377" s="371"/>
    </row>
    <row r="378" spans="1:34" ht="35.1" customHeight="1" thickBot="1" x14ac:dyDescent="0.4">
      <c r="A378" s="203">
        <v>38</v>
      </c>
      <c r="B378" s="392"/>
      <c r="C378" s="365"/>
      <c r="D378" s="330"/>
      <c r="E378" s="362"/>
      <c r="F378" s="362"/>
      <c r="G378" s="374"/>
      <c r="H378" s="368"/>
      <c r="I378" s="397"/>
      <c r="J378" s="398"/>
      <c r="K378" s="398"/>
      <c r="L378" s="398"/>
      <c r="M378" s="398"/>
      <c r="N378" s="399"/>
      <c r="O378" s="331"/>
      <c r="P378" s="362"/>
      <c r="Q378" s="365"/>
      <c r="R378" s="362"/>
      <c r="S378" s="365"/>
      <c r="T378" s="362"/>
      <c r="U378" s="368"/>
      <c r="V378" s="332">
        <f t="shared" si="43"/>
        <v>0</v>
      </c>
      <c r="W378" s="333"/>
      <c r="X378" s="334" t="str">
        <f t="shared" si="40"/>
        <v/>
      </c>
      <c r="Y378" s="334" t="str">
        <f>IF(V378=1,V378+MAX($Y$5:Y377),"")</f>
        <v/>
      </c>
      <c r="Z378" s="334"/>
      <c r="AA378" s="332" t="str">
        <f>IF(ISTEXT(W378),IF(ISTEXT(Z378),Z378,'Datasource 2'!$M$14),"")</f>
        <v/>
      </c>
      <c r="AB378" s="328"/>
      <c r="AC378" s="328" t="str">
        <f t="shared" si="41"/>
        <v/>
      </c>
      <c r="AD378" s="328" t="str">
        <f t="shared" si="42"/>
        <v/>
      </c>
      <c r="AE378" s="329"/>
      <c r="AF378" s="362"/>
      <c r="AG378" s="362"/>
      <c r="AH378" s="371"/>
    </row>
    <row r="379" spans="1:34" ht="35.1" customHeight="1" thickBot="1" x14ac:dyDescent="0.4">
      <c r="A379" s="203">
        <v>38</v>
      </c>
      <c r="B379" s="392"/>
      <c r="C379" s="365"/>
      <c r="D379" s="330"/>
      <c r="E379" s="362"/>
      <c r="F379" s="362"/>
      <c r="G379" s="374"/>
      <c r="H379" s="368"/>
      <c r="I379" s="397"/>
      <c r="J379" s="398"/>
      <c r="K379" s="398"/>
      <c r="L379" s="398"/>
      <c r="M379" s="398"/>
      <c r="N379" s="399"/>
      <c r="O379" s="331"/>
      <c r="P379" s="362"/>
      <c r="Q379" s="365"/>
      <c r="R379" s="362"/>
      <c r="S379" s="365"/>
      <c r="T379" s="362"/>
      <c r="U379" s="368"/>
      <c r="V379" s="332">
        <f t="shared" si="43"/>
        <v>0</v>
      </c>
      <c r="W379" s="333"/>
      <c r="X379" s="334" t="str">
        <f t="shared" si="40"/>
        <v/>
      </c>
      <c r="Y379" s="334" t="str">
        <f>IF(V379=1,V379+MAX($Y$5:Y378),"")</f>
        <v/>
      </c>
      <c r="Z379" s="334"/>
      <c r="AA379" s="332" t="str">
        <f>IF(ISTEXT(W379),IF(ISTEXT(Z379),Z379,'Datasource 2'!$M$14),"")</f>
        <v/>
      </c>
      <c r="AB379" s="328"/>
      <c r="AC379" s="328" t="str">
        <f t="shared" si="41"/>
        <v/>
      </c>
      <c r="AD379" s="328" t="str">
        <f t="shared" si="42"/>
        <v/>
      </c>
      <c r="AE379" s="329"/>
      <c r="AF379" s="362"/>
      <c r="AG379" s="362"/>
      <c r="AH379" s="371"/>
    </row>
    <row r="380" spans="1:34" ht="35.1" customHeight="1" thickBot="1" x14ac:dyDescent="0.4">
      <c r="A380" s="203">
        <v>38</v>
      </c>
      <c r="B380" s="392"/>
      <c r="C380" s="365"/>
      <c r="D380" s="330"/>
      <c r="E380" s="362"/>
      <c r="F380" s="362"/>
      <c r="G380" s="374"/>
      <c r="H380" s="368"/>
      <c r="I380" s="397"/>
      <c r="J380" s="398"/>
      <c r="K380" s="398"/>
      <c r="L380" s="398"/>
      <c r="M380" s="398"/>
      <c r="N380" s="399"/>
      <c r="O380" s="331"/>
      <c r="P380" s="362"/>
      <c r="Q380" s="365"/>
      <c r="R380" s="362"/>
      <c r="S380" s="365"/>
      <c r="T380" s="362"/>
      <c r="U380" s="368"/>
      <c r="V380" s="332">
        <f t="shared" si="43"/>
        <v>0</v>
      </c>
      <c r="W380" s="333"/>
      <c r="X380" s="334" t="str">
        <f t="shared" si="40"/>
        <v/>
      </c>
      <c r="Y380" s="334" t="str">
        <f>IF(V380=1,V380+MAX($Y$5:Y379),"")</f>
        <v/>
      </c>
      <c r="Z380" s="334"/>
      <c r="AA380" s="332" t="str">
        <f>IF(ISTEXT(W380),IF(ISTEXT(Z380),Z380,'Datasource 2'!$M$14),"")</f>
        <v/>
      </c>
      <c r="AB380" s="328"/>
      <c r="AC380" s="328" t="str">
        <f t="shared" si="41"/>
        <v/>
      </c>
      <c r="AD380" s="328" t="str">
        <f t="shared" si="42"/>
        <v/>
      </c>
      <c r="AE380" s="329"/>
      <c r="AF380" s="362"/>
      <c r="AG380" s="362"/>
      <c r="AH380" s="371"/>
    </row>
    <row r="381" spans="1:34" ht="35.1" customHeight="1" thickBot="1" x14ac:dyDescent="0.4">
      <c r="A381" s="203">
        <v>38</v>
      </c>
      <c r="B381" s="392"/>
      <c r="C381" s="365"/>
      <c r="D381" s="330"/>
      <c r="E381" s="362"/>
      <c r="F381" s="362"/>
      <c r="G381" s="374"/>
      <c r="H381" s="368"/>
      <c r="I381" s="397"/>
      <c r="J381" s="398"/>
      <c r="K381" s="398"/>
      <c r="L381" s="398"/>
      <c r="M381" s="398"/>
      <c r="N381" s="399"/>
      <c r="O381" s="331"/>
      <c r="P381" s="362"/>
      <c r="Q381" s="365"/>
      <c r="R381" s="362"/>
      <c r="S381" s="365"/>
      <c r="T381" s="362"/>
      <c r="U381" s="368"/>
      <c r="V381" s="332">
        <f t="shared" si="43"/>
        <v>0</v>
      </c>
      <c r="W381" s="333"/>
      <c r="X381" s="334" t="str">
        <f t="shared" si="40"/>
        <v/>
      </c>
      <c r="Y381" s="334" t="str">
        <f>IF(V381=1,V381+MAX($Y$5:Y380),"")</f>
        <v/>
      </c>
      <c r="Z381" s="334"/>
      <c r="AA381" s="332" t="str">
        <f>IF(ISTEXT(W381),IF(ISTEXT(Z381),Z381,'Datasource 2'!$M$14),"")</f>
        <v/>
      </c>
      <c r="AB381" s="328"/>
      <c r="AC381" s="328" t="str">
        <f t="shared" si="41"/>
        <v/>
      </c>
      <c r="AD381" s="328" t="str">
        <f t="shared" si="42"/>
        <v/>
      </c>
      <c r="AE381" s="329"/>
      <c r="AF381" s="362"/>
      <c r="AG381" s="362"/>
      <c r="AH381" s="371"/>
    </row>
    <row r="382" spans="1:34" ht="35.1" customHeight="1" thickBot="1" x14ac:dyDescent="0.4">
      <c r="A382" s="203">
        <v>38</v>
      </c>
      <c r="B382" s="392"/>
      <c r="C382" s="365"/>
      <c r="D382" s="330"/>
      <c r="E382" s="362"/>
      <c r="F382" s="362"/>
      <c r="G382" s="374"/>
      <c r="H382" s="368"/>
      <c r="I382" s="397"/>
      <c r="J382" s="398"/>
      <c r="K382" s="398"/>
      <c r="L382" s="398"/>
      <c r="M382" s="398"/>
      <c r="N382" s="399"/>
      <c r="O382" s="331"/>
      <c r="P382" s="362"/>
      <c r="Q382" s="365"/>
      <c r="R382" s="362"/>
      <c r="S382" s="365"/>
      <c r="T382" s="362"/>
      <c r="U382" s="368"/>
      <c r="V382" s="332">
        <f t="shared" si="43"/>
        <v>0</v>
      </c>
      <c r="W382" s="333"/>
      <c r="X382" s="334" t="str">
        <f t="shared" si="40"/>
        <v/>
      </c>
      <c r="Y382" s="334" t="str">
        <f>IF(V382=1,V382+MAX($Y$5:Y381),"")</f>
        <v/>
      </c>
      <c r="Z382" s="334"/>
      <c r="AA382" s="332" t="str">
        <f>IF(ISTEXT(W382),IF(ISTEXT(Z382),Z382,'Datasource 2'!$M$14),"")</f>
        <v/>
      </c>
      <c r="AB382" s="328"/>
      <c r="AC382" s="328" t="str">
        <f t="shared" si="41"/>
        <v/>
      </c>
      <c r="AD382" s="328" t="str">
        <f t="shared" si="42"/>
        <v/>
      </c>
      <c r="AE382" s="329"/>
      <c r="AF382" s="362"/>
      <c r="AG382" s="362"/>
      <c r="AH382" s="371"/>
    </row>
    <row r="383" spans="1:34" ht="35.1" customHeight="1" thickBot="1" x14ac:dyDescent="0.4">
      <c r="A383" s="203">
        <v>38</v>
      </c>
      <c r="B383" s="392"/>
      <c r="C383" s="365"/>
      <c r="D383" s="330"/>
      <c r="E383" s="362"/>
      <c r="F383" s="362"/>
      <c r="G383" s="374"/>
      <c r="H383" s="368"/>
      <c r="I383" s="397"/>
      <c r="J383" s="398"/>
      <c r="K383" s="398"/>
      <c r="L383" s="398"/>
      <c r="M383" s="398"/>
      <c r="N383" s="399"/>
      <c r="O383" s="331"/>
      <c r="P383" s="362"/>
      <c r="Q383" s="365"/>
      <c r="R383" s="362"/>
      <c r="S383" s="365"/>
      <c r="T383" s="362"/>
      <c r="U383" s="368"/>
      <c r="V383" s="332">
        <f t="shared" si="43"/>
        <v>0</v>
      </c>
      <c r="W383" s="333"/>
      <c r="X383" s="334" t="str">
        <f t="shared" si="40"/>
        <v/>
      </c>
      <c r="Y383" s="334" t="str">
        <f>IF(V383=1,V383+MAX($Y$5:Y382),"")</f>
        <v/>
      </c>
      <c r="Z383" s="334"/>
      <c r="AA383" s="332" t="str">
        <f>IF(ISTEXT(W383),IF(ISTEXT(Z383),Z383,'Datasource 2'!$M$14),"")</f>
        <v/>
      </c>
      <c r="AB383" s="328"/>
      <c r="AC383" s="328" t="str">
        <f t="shared" si="41"/>
        <v/>
      </c>
      <c r="AD383" s="328" t="str">
        <f t="shared" si="42"/>
        <v/>
      </c>
      <c r="AE383" s="329"/>
      <c r="AF383" s="362"/>
      <c r="AG383" s="362"/>
      <c r="AH383" s="371"/>
    </row>
    <row r="384" spans="1:34" ht="35.1" customHeight="1" thickBot="1" x14ac:dyDescent="0.4">
      <c r="A384" s="203">
        <v>38</v>
      </c>
      <c r="B384" s="393"/>
      <c r="C384" s="366"/>
      <c r="D384" s="335"/>
      <c r="E384" s="363"/>
      <c r="F384" s="363"/>
      <c r="G384" s="375"/>
      <c r="H384" s="369"/>
      <c r="I384" s="400"/>
      <c r="J384" s="401"/>
      <c r="K384" s="401"/>
      <c r="L384" s="401"/>
      <c r="M384" s="401"/>
      <c r="N384" s="402"/>
      <c r="O384" s="336"/>
      <c r="P384" s="363"/>
      <c r="Q384" s="366"/>
      <c r="R384" s="363"/>
      <c r="S384" s="366"/>
      <c r="T384" s="363"/>
      <c r="U384" s="369"/>
      <c r="V384" s="337">
        <f t="shared" si="43"/>
        <v>0</v>
      </c>
      <c r="W384" s="338"/>
      <c r="X384" s="339" t="str">
        <f t="shared" si="40"/>
        <v/>
      </c>
      <c r="Y384" s="339" t="str">
        <f>IF(V384=1,V384+MAX($Y$5:Y383),"")</f>
        <v/>
      </c>
      <c r="Z384" s="339"/>
      <c r="AA384" s="337" t="str">
        <f>IF(ISTEXT(W384),IF(ISTEXT(Z384),Z384,'Datasource 2'!$M$14),"")</f>
        <v/>
      </c>
      <c r="AB384" s="339"/>
      <c r="AC384" s="328" t="str">
        <f t="shared" si="41"/>
        <v/>
      </c>
      <c r="AD384" s="328" t="str">
        <f t="shared" si="42"/>
        <v/>
      </c>
      <c r="AE384" s="340"/>
      <c r="AF384" s="363"/>
      <c r="AG384" s="363"/>
      <c r="AH384" s="372"/>
    </row>
    <row r="385" spans="1:34" ht="35.1" customHeight="1" thickBot="1" x14ac:dyDescent="0.4">
      <c r="A385" s="205">
        <v>39</v>
      </c>
      <c r="B385" s="412">
        <v>39</v>
      </c>
      <c r="C385" s="382"/>
      <c r="D385" s="257"/>
      <c r="E385" s="379"/>
      <c r="F385" s="379"/>
      <c r="G385" s="376"/>
      <c r="H385" s="385" t="e">
        <f>IF(VLOOKUP(G385,Trusselvurdering!$B$3:$P$28,15,FALSE)=0,VLOOKUP(G385,Trusselvurdering!$B$3:$P$28,14,FALSE),VLOOKUP(G385,Trusselvurdering!$B$3:$P$28,15,FALSE))</f>
        <v>#N/A</v>
      </c>
      <c r="I385" s="403"/>
      <c r="J385" s="404"/>
      <c r="K385" s="404"/>
      <c r="L385" s="404"/>
      <c r="M385" s="404"/>
      <c r="N385" s="405"/>
      <c r="O385" s="258"/>
      <c r="P385" s="379"/>
      <c r="Q385" s="382"/>
      <c r="R385" s="379"/>
      <c r="S385" s="382"/>
      <c r="T385" s="379"/>
      <c r="U385" s="385" t="e">
        <f>VLOOKUP(Risikovurdering_data!C383,Akseptkriterier!$C$33:$H$37,MATCH(Risikovurdering_data!D383,Akseptkriterier!$D$32:$H$32,0)+1,FALSE)</f>
        <v>#N/A</v>
      </c>
      <c r="V385" s="259">
        <f t="shared" si="43"/>
        <v>0</v>
      </c>
      <c r="W385" s="260"/>
      <c r="X385" s="261" t="str">
        <f t="shared" si="40"/>
        <v/>
      </c>
      <c r="Y385" s="261" t="str">
        <f>IF(V385=1,V385+MAX($Y$5:Y384),"")</f>
        <v/>
      </c>
      <c r="Z385" s="261"/>
      <c r="AA385" s="259" t="str">
        <f>IF(ISTEXT(W385),IF(ISTEXT(Z385),Z385,'Datasource 2'!$M$14),"")</f>
        <v/>
      </c>
      <c r="AB385" s="261"/>
      <c r="AC385" s="261" t="str">
        <f t="shared" si="41"/>
        <v/>
      </c>
      <c r="AD385" s="261" t="str">
        <f t="shared" si="42"/>
        <v/>
      </c>
      <c r="AE385" s="262"/>
      <c r="AF385" s="379"/>
      <c r="AG385" s="379"/>
      <c r="AH385" s="388" t="e">
        <f>VLOOKUP(Risikovurdering_data!F383,Akseptkriterier!$C$33:$H$37,MATCH(Risikovurdering_data!G383,Akseptkriterier!$D$32:$H$32,0)+1,FALSE)</f>
        <v>#N/A</v>
      </c>
    </row>
    <row r="386" spans="1:34" ht="35.1" customHeight="1" thickBot="1" x14ac:dyDescent="0.4">
      <c r="A386" s="203">
        <v>39</v>
      </c>
      <c r="B386" s="413"/>
      <c r="C386" s="383"/>
      <c r="D386" s="263"/>
      <c r="E386" s="380"/>
      <c r="F386" s="380"/>
      <c r="G386" s="377"/>
      <c r="H386" s="386"/>
      <c r="I386" s="406"/>
      <c r="J386" s="407"/>
      <c r="K386" s="407"/>
      <c r="L386" s="407"/>
      <c r="M386" s="407"/>
      <c r="N386" s="408"/>
      <c r="O386" s="264"/>
      <c r="P386" s="380"/>
      <c r="Q386" s="383"/>
      <c r="R386" s="380"/>
      <c r="S386" s="383"/>
      <c r="T386" s="380"/>
      <c r="U386" s="386"/>
      <c r="V386" s="265">
        <f t="shared" si="43"/>
        <v>0</v>
      </c>
      <c r="W386" s="266"/>
      <c r="X386" s="267" t="str">
        <f t="shared" si="40"/>
        <v/>
      </c>
      <c r="Y386" s="267" t="str">
        <f>IF(V386=1,V386+MAX($Y$5:Y385),"")</f>
        <v/>
      </c>
      <c r="Z386" s="267"/>
      <c r="AA386" s="265" t="str">
        <f>IF(ISTEXT(W386),IF(ISTEXT(Z386),Z386,'Datasource 2'!$M$14),"")</f>
        <v/>
      </c>
      <c r="AB386" s="261"/>
      <c r="AC386" s="261" t="str">
        <f t="shared" si="41"/>
        <v/>
      </c>
      <c r="AD386" s="261" t="str">
        <f t="shared" si="42"/>
        <v/>
      </c>
      <c r="AE386" s="262"/>
      <c r="AF386" s="380"/>
      <c r="AG386" s="380"/>
      <c r="AH386" s="389"/>
    </row>
    <row r="387" spans="1:34" ht="35.1" customHeight="1" thickBot="1" x14ac:dyDescent="0.4">
      <c r="A387" s="203">
        <v>39</v>
      </c>
      <c r="B387" s="413"/>
      <c r="C387" s="383"/>
      <c r="D387" s="263"/>
      <c r="E387" s="380"/>
      <c r="F387" s="380"/>
      <c r="G387" s="377"/>
      <c r="H387" s="386"/>
      <c r="I387" s="406"/>
      <c r="J387" s="407"/>
      <c r="K387" s="407"/>
      <c r="L387" s="407"/>
      <c r="M387" s="407"/>
      <c r="N387" s="408"/>
      <c r="O387" s="264"/>
      <c r="P387" s="380"/>
      <c r="Q387" s="383"/>
      <c r="R387" s="380"/>
      <c r="S387" s="383"/>
      <c r="T387" s="380"/>
      <c r="U387" s="386"/>
      <c r="V387" s="265">
        <f t="shared" si="43"/>
        <v>0</v>
      </c>
      <c r="W387" s="266"/>
      <c r="X387" s="267" t="str">
        <f t="shared" si="40"/>
        <v/>
      </c>
      <c r="Y387" s="267" t="str">
        <f>IF(V387=1,V387+MAX($Y$5:Y386),"")</f>
        <v/>
      </c>
      <c r="Z387" s="267"/>
      <c r="AA387" s="265" t="str">
        <f>IF(ISTEXT(W387),IF(ISTEXT(Z387),Z387,'Datasource 2'!$M$14),"")</f>
        <v/>
      </c>
      <c r="AB387" s="261"/>
      <c r="AC387" s="261" t="str">
        <f t="shared" si="41"/>
        <v/>
      </c>
      <c r="AD387" s="261" t="str">
        <f t="shared" si="42"/>
        <v/>
      </c>
      <c r="AE387" s="262"/>
      <c r="AF387" s="380"/>
      <c r="AG387" s="380"/>
      <c r="AH387" s="389"/>
    </row>
    <row r="388" spans="1:34" ht="35.1" customHeight="1" thickBot="1" x14ac:dyDescent="0.4">
      <c r="A388" s="203">
        <v>39</v>
      </c>
      <c r="B388" s="413"/>
      <c r="C388" s="383"/>
      <c r="D388" s="263"/>
      <c r="E388" s="380"/>
      <c r="F388" s="380"/>
      <c r="G388" s="377"/>
      <c r="H388" s="386"/>
      <c r="I388" s="406"/>
      <c r="J388" s="407"/>
      <c r="K388" s="407"/>
      <c r="L388" s="407"/>
      <c r="M388" s="407"/>
      <c r="N388" s="408"/>
      <c r="O388" s="264"/>
      <c r="P388" s="380"/>
      <c r="Q388" s="383"/>
      <c r="R388" s="380"/>
      <c r="S388" s="383"/>
      <c r="T388" s="380"/>
      <c r="U388" s="386"/>
      <c r="V388" s="265">
        <f t="shared" si="43"/>
        <v>0</v>
      </c>
      <c r="W388" s="266"/>
      <c r="X388" s="267" t="str">
        <f t="shared" si="40"/>
        <v/>
      </c>
      <c r="Y388" s="267" t="str">
        <f>IF(V388=1,V388+MAX($Y$5:Y387),"")</f>
        <v/>
      </c>
      <c r="Z388" s="267"/>
      <c r="AA388" s="265" t="str">
        <f>IF(ISTEXT(W388),IF(ISTEXT(Z388),Z388,'Datasource 2'!$M$14),"")</f>
        <v/>
      </c>
      <c r="AB388" s="261"/>
      <c r="AC388" s="261" t="str">
        <f t="shared" si="41"/>
        <v/>
      </c>
      <c r="AD388" s="261" t="str">
        <f t="shared" si="42"/>
        <v/>
      </c>
      <c r="AE388" s="262"/>
      <c r="AF388" s="380"/>
      <c r="AG388" s="380"/>
      <c r="AH388" s="389"/>
    </row>
    <row r="389" spans="1:34" ht="35.1" customHeight="1" thickBot="1" x14ac:dyDescent="0.4">
      <c r="A389" s="203">
        <v>39</v>
      </c>
      <c r="B389" s="413"/>
      <c r="C389" s="383"/>
      <c r="D389" s="263"/>
      <c r="E389" s="380"/>
      <c r="F389" s="380"/>
      <c r="G389" s="377"/>
      <c r="H389" s="386"/>
      <c r="I389" s="406"/>
      <c r="J389" s="407"/>
      <c r="K389" s="407"/>
      <c r="L389" s="407"/>
      <c r="M389" s="407"/>
      <c r="N389" s="408"/>
      <c r="O389" s="264"/>
      <c r="P389" s="380"/>
      <c r="Q389" s="383"/>
      <c r="R389" s="380"/>
      <c r="S389" s="383"/>
      <c r="T389" s="380"/>
      <c r="U389" s="386"/>
      <c r="V389" s="265">
        <f t="shared" si="43"/>
        <v>0</v>
      </c>
      <c r="W389" s="266"/>
      <c r="X389" s="267" t="str">
        <f t="shared" ref="X389:X452" si="44">IF(W389="","",A389)</f>
        <v/>
      </c>
      <c r="Y389" s="267" t="str">
        <f>IF(V389=1,V389+MAX($Y$5:Y388),"")</f>
        <v/>
      </c>
      <c r="Z389" s="267"/>
      <c r="AA389" s="265" t="str">
        <f>IF(ISTEXT(W389),IF(ISTEXT(Z389),Z389,'Datasource 2'!$M$14),"")</f>
        <v/>
      </c>
      <c r="AB389" s="261"/>
      <c r="AC389" s="261" t="str">
        <f t="shared" si="41"/>
        <v/>
      </c>
      <c r="AD389" s="261" t="str">
        <f t="shared" si="42"/>
        <v/>
      </c>
      <c r="AE389" s="262"/>
      <c r="AF389" s="380"/>
      <c r="AG389" s="380"/>
      <c r="AH389" s="389"/>
    </row>
    <row r="390" spans="1:34" ht="35.1" customHeight="1" thickBot="1" x14ac:dyDescent="0.4">
      <c r="A390" s="203">
        <v>39</v>
      </c>
      <c r="B390" s="413"/>
      <c r="C390" s="383"/>
      <c r="D390" s="263"/>
      <c r="E390" s="380"/>
      <c r="F390" s="380"/>
      <c r="G390" s="377"/>
      <c r="H390" s="386"/>
      <c r="I390" s="406"/>
      <c r="J390" s="407"/>
      <c r="K390" s="407"/>
      <c r="L390" s="407"/>
      <c r="M390" s="407"/>
      <c r="N390" s="408"/>
      <c r="O390" s="264"/>
      <c r="P390" s="380"/>
      <c r="Q390" s="383"/>
      <c r="R390" s="380"/>
      <c r="S390" s="383"/>
      <c r="T390" s="380"/>
      <c r="U390" s="386"/>
      <c r="V390" s="265">
        <f t="shared" si="43"/>
        <v>0</v>
      </c>
      <c r="W390" s="266"/>
      <c r="X390" s="267" t="str">
        <f t="shared" si="44"/>
        <v/>
      </c>
      <c r="Y390" s="267" t="str">
        <f>IF(V390=1,V390+MAX($Y$5:Y389),"")</f>
        <v/>
      </c>
      <c r="Z390" s="267"/>
      <c r="AA390" s="265" t="str">
        <f>IF(ISTEXT(W390),IF(ISTEXT(Z390),Z390,'Datasource 2'!$M$14),"")</f>
        <v/>
      </c>
      <c r="AB390" s="261"/>
      <c r="AC390" s="261" t="str">
        <f t="shared" ref="AC390:AC453" si="45">IF(ISTEXT(W390),IF(ISTEXT(AB390),AB390,"Ikke angitt"),"")</f>
        <v/>
      </c>
      <c r="AD390" s="261" t="str">
        <f t="shared" ref="AD390:AD453" si="46">IF(ISTEXT(W390),IF(ISBLANK(AE390),"Ikke angitt", AE390),"")</f>
        <v/>
      </c>
      <c r="AE390" s="262"/>
      <c r="AF390" s="380"/>
      <c r="AG390" s="380"/>
      <c r="AH390" s="389"/>
    </row>
    <row r="391" spans="1:34" ht="35.1" customHeight="1" thickBot="1" x14ac:dyDescent="0.4">
      <c r="A391" s="203">
        <v>39</v>
      </c>
      <c r="B391" s="413"/>
      <c r="C391" s="383"/>
      <c r="D391" s="263"/>
      <c r="E391" s="380"/>
      <c r="F391" s="380"/>
      <c r="G391" s="377"/>
      <c r="H391" s="386"/>
      <c r="I391" s="406"/>
      <c r="J391" s="407"/>
      <c r="K391" s="407"/>
      <c r="L391" s="407"/>
      <c r="M391" s="407"/>
      <c r="N391" s="408"/>
      <c r="O391" s="264"/>
      <c r="P391" s="380"/>
      <c r="Q391" s="383"/>
      <c r="R391" s="380"/>
      <c r="S391" s="383"/>
      <c r="T391" s="380"/>
      <c r="U391" s="386"/>
      <c r="V391" s="265">
        <f t="shared" si="43"/>
        <v>0</v>
      </c>
      <c r="W391" s="266"/>
      <c r="X391" s="267" t="str">
        <f t="shared" si="44"/>
        <v/>
      </c>
      <c r="Y391" s="267" t="str">
        <f>IF(V391=1,V391+MAX($Y$5:Y390),"")</f>
        <v/>
      </c>
      <c r="Z391" s="267"/>
      <c r="AA391" s="265" t="str">
        <f>IF(ISTEXT(W391),IF(ISTEXT(Z391),Z391,'Datasource 2'!$M$14),"")</f>
        <v/>
      </c>
      <c r="AB391" s="261"/>
      <c r="AC391" s="261" t="str">
        <f t="shared" si="45"/>
        <v/>
      </c>
      <c r="AD391" s="261" t="str">
        <f t="shared" si="46"/>
        <v/>
      </c>
      <c r="AE391" s="262"/>
      <c r="AF391" s="380"/>
      <c r="AG391" s="380"/>
      <c r="AH391" s="389"/>
    </row>
    <row r="392" spans="1:34" ht="35.1" customHeight="1" thickBot="1" x14ac:dyDescent="0.4">
      <c r="A392" s="203">
        <v>39</v>
      </c>
      <c r="B392" s="413"/>
      <c r="C392" s="383"/>
      <c r="D392" s="263"/>
      <c r="E392" s="380"/>
      <c r="F392" s="380"/>
      <c r="G392" s="377"/>
      <c r="H392" s="386"/>
      <c r="I392" s="406"/>
      <c r="J392" s="407"/>
      <c r="K392" s="407"/>
      <c r="L392" s="407"/>
      <c r="M392" s="407"/>
      <c r="N392" s="408"/>
      <c r="O392" s="264"/>
      <c r="P392" s="380"/>
      <c r="Q392" s="383"/>
      <c r="R392" s="380"/>
      <c r="S392" s="383"/>
      <c r="T392" s="380"/>
      <c r="U392" s="386"/>
      <c r="V392" s="265">
        <f t="shared" si="43"/>
        <v>0</v>
      </c>
      <c r="W392" s="266"/>
      <c r="X392" s="267" t="str">
        <f t="shared" si="44"/>
        <v/>
      </c>
      <c r="Y392" s="267" t="str">
        <f>IF(V392=1,V392+MAX($Y$5:Y391),"")</f>
        <v/>
      </c>
      <c r="Z392" s="267"/>
      <c r="AA392" s="265" t="str">
        <f>IF(ISTEXT(W392),IF(ISTEXT(Z392),Z392,'Datasource 2'!$M$14),"")</f>
        <v/>
      </c>
      <c r="AB392" s="261"/>
      <c r="AC392" s="261" t="str">
        <f t="shared" si="45"/>
        <v/>
      </c>
      <c r="AD392" s="261" t="str">
        <f t="shared" si="46"/>
        <v/>
      </c>
      <c r="AE392" s="262"/>
      <c r="AF392" s="380"/>
      <c r="AG392" s="380"/>
      <c r="AH392" s="389"/>
    </row>
    <row r="393" spans="1:34" ht="35.1" customHeight="1" thickBot="1" x14ac:dyDescent="0.4">
      <c r="A393" s="203">
        <v>39</v>
      </c>
      <c r="B393" s="413"/>
      <c r="C393" s="383"/>
      <c r="D393" s="263"/>
      <c r="E393" s="380"/>
      <c r="F393" s="380"/>
      <c r="G393" s="377"/>
      <c r="H393" s="386"/>
      <c r="I393" s="406"/>
      <c r="J393" s="407"/>
      <c r="K393" s="407"/>
      <c r="L393" s="407"/>
      <c r="M393" s="407"/>
      <c r="N393" s="408"/>
      <c r="O393" s="264"/>
      <c r="P393" s="380"/>
      <c r="Q393" s="383"/>
      <c r="R393" s="380"/>
      <c r="S393" s="383"/>
      <c r="T393" s="380"/>
      <c r="U393" s="386"/>
      <c r="V393" s="265">
        <f t="shared" si="43"/>
        <v>0</v>
      </c>
      <c r="W393" s="266"/>
      <c r="X393" s="267" t="str">
        <f t="shared" si="44"/>
        <v/>
      </c>
      <c r="Y393" s="267" t="str">
        <f>IF(V393=1,V393+MAX($Y$5:Y392),"")</f>
        <v/>
      </c>
      <c r="Z393" s="267"/>
      <c r="AA393" s="265" t="str">
        <f>IF(ISTEXT(W393),IF(ISTEXT(Z393),Z393,'Datasource 2'!$M$14),"")</f>
        <v/>
      </c>
      <c r="AB393" s="261"/>
      <c r="AC393" s="261" t="str">
        <f t="shared" si="45"/>
        <v/>
      </c>
      <c r="AD393" s="261" t="str">
        <f t="shared" si="46"/>
        <v/>
      </c>
      <c r="AE393" s="262"/>
      <c r="AF393" s="380"/>
      <c r="AG393" s="380"/>
      <c r="AH393" s="389"/>
    </row>
    <row r="394" spans="1:34" ht="35.1" customHeight="1" thickBot="1" x14ac:dyDescent="0.4">
      <c r="A394" s="203">
        <v>39</v>
      </c>
      <c r="B394" s="414"/>
      <c r="C394" s="384"/>
      <c r="D394" s="268"/>
      <c r="E394" s="381"/>
      <c r="F394" s="381"/>
      <c r="G394" s="378"/>
      <c r="H394" s="387"/>
      <c r="I394" s="409"/>
      <c r="J394" s="410"/>
      <c r="K394" s="410"/>
      <c r="L394" s="410"/>
      <c r="M394" s="410"/>
      <c r="N394" s="411"/>
      <c r="O394" s="269"/>
      <c r="P394" s="381"/>
      <c r="Q394" s="384"/>
      <c r="R394" s="381"/>
      <c r="S394" s="384"/>
      <c r="T394" s="381"/>
      <c r="U394" s="387"/>
      <c r="V394" s="270">
        <f t="shared" si="43"/>
        <v>0</v>
      </c>
      <c r="W394" s="271"/>
      <c r="X394" s="272" t="str">
        <f t="shared" si="44"/>
        <v/>
      </c>
      <c r="Y394" s="272" t="str">
        <f>IF(V394=1,V394+MAX($Y$5:Y393),"")</f>
        <v/>
      </c>
      <c r="Z394" s="272"/>
      <c r="AA394" s="270" t="str">
        <f>IF(ISTEXT(W394),IF(ISTEXT(Z394),Z394,'Datasource 2'!$M$14),"")</f>
        <v/>
      </c>
      <c r="AB394" s="273"/>
      <c r="AC394" s="261" t="str">
        <f t="shared" si="45"/>
        <v/>
      </c>
      <c r="AD394" s="261" t="str">
        <f t="shared" si="46"/>
        <v/>
      </c>
      <c r="AE394" s="274"/>
      <c r="AF394" s="381"/>
      <c r="AG394" s="381"/>
      <c r="AH394" s="390"/>
    </row>
    <row r="395" spans="1:34" ht="35.1" customHeight="1" thickBot="1" x14ac:dyDescent="0.4">
      <c r="A395" s="203">
        <v>40</v>
      </c>
      <c r="B395" s="391">
        <v>40</v>
      </c>
      <c r="C395" s="364"/>
      <c r="D395" s="323"/>
      <c r="E395" s="361"/>
      <c r="F395" s="361"/>
      <c r="G395" s="373"/>
      <c r="H395" s="367" t="e">
        <f>IF(VLOOKUP(G395,Trusselvurdering!$B$3:$P$28,15,FALSE)=0,VLOOKUP(G395,Trusselvurdering!$B$3:$P$28,14,FALSE),VLOOKUP(G395,Trusselvurdering!$B$3:$P$28,15,FALSE))</f>
        <v>#N/A</v>
      </c>
      <c r="I395" s="394"/>
      <c r="J395" s="395"/>
      <c r="K395" s="395"/>
      <c r="L395" s="395"/>
      <c r="M395" s="395"/>
      <c r="N395" s="396"/>
      <c r="O395" s="324"/>
      <c r="P395" s="361"/>
      <c r="Q395" s="364"/>
      <c r="R395" s="361"/>
      <c r="S395" s="364"/>
      <c r="T395" s="361"/>
      <c r="U395" s="367" t="e">
        <f>VLOOKUP(Risikovurdering_data!C393,Akseptkriterier!$C$33:$H$37,MATCH(Risikovurdering_data!D393,Akseptkriterier!$D$32:$H$32,0)+1,FALSE)</f>
        <v>#N/A</v>
      </c>
      <c r="V395" s="325">
        <f t="shared" si="43"/>
        <v>0</v>
      </c>
      <c r="W395" s="326"/>
      <c r="X395" s="327" t="str">
        <f t="shared" si="44"/>
        <v/>
      </c>
      <c r="Y395" s="327" t="str">
        <f>IF(V395=1,V395+MAX($Y$5:Y394),"")</f>
        <v/>
      </c>
      <c r="Z395" s="327"/>
      <c r="AA395" s="325" t="str">
        <f>IF(ISTEXT(W395),IF(ISTEXT(Z395),Z395,'Datasource 2'!$M$14),"")</f>
        <v/>
      </c>
      <c r="AB395" s="328"/>
      <c r="AC395" s="328" t="str">
        <f t="shared" si="45"/>
        <v/>
      </c>
      <c r="AD395" s="328" t="str">
        <f t="shared" si="46"/>
        <v/>
      </c>
      <c r="AE395" s="329"/>
      <c r="AF395" s="361"/>
      <c r="AG395" s="361"/>
      <c r="AH395" s="370" t="e">
        <f>VLOOKUP(Risikovurdering_data!F393,Akseptkriterier!$C$33:$H$37,MATCH(Risikovurdering_data!G393,Akseptkriterier!$D$32:$H$32,0)+1,FALSE)</f>
        <v>#N/A</v>
      </c>
    </row>
    <row r="396" spans="1:34" ht="35.1" customHeight="1" thickBot="1" x14ac:dyDescent="0.4">
      <c r="A396" s="203">
        <v>40</v>
      </c>
      <c r="B396" s="392"/>
      <c r="C396" s="365"/>
      <c r="D396" s="330"/>
      <c r="E396" s="362"/>
      <c r="F396" s="362"/>
      <c r="G396" s="374"/>
      <c r="H396" s="368"/>
      <c r="I396" s="397"/>
      <c r="J396" s="398"/>
      <c r="K396" s="398"/>
      <c r="L396" s="398"/>
      <c r="M396" s="398"/>
      <c r="N396" s="399"/>
      <c r="O396" s="331"/>
      <c r="P396" s="362"/>
      <c r="Q396" s="365"/>
      <c r="R396" s="362"/>
      <c r="S396" s="365"/>
      <c r="T396" s="362"/>
      <c r="U396" s="368"/>
      <c r="V396" s="332">
        <f t="shared" si="43"/>
        <v>0</v>
      </c>
      <c r="W396" s="333"/>
      <c r="X396" s="334" t="str">
        <f t="shared" si="44"/>
        <v/>
      </c>
      <c r="Y396" s="334" t="str">
        <f>IF(V396=1,V396+MAX($Y$5:Y395),"")</f>
        <v/>
      </c>
      <c r="Z396" s="334"/>
      <c r="AA396" s="332" t="str">
        <f>IF(ISTEXT(W396),IF(ISTEXT(Z396),Z396,'Datasource 2'!$M$14),"")</f>
        <v/>
      </c>
      <c r="AB396" s="328"/>
      <c r="AC396" s="328" t="str">
        <f t="shared" si="45"/>
        <v/>
      </c>
      <c r="AD396" s="328" t="str">
        <f t="shared" si="46"/>
        <v/>
      </c>
      <c r="AE396" s="329"/>
      <c r="AF396" s="362"/>
      <c r="AG396" s="362"/>
      <c r="AH396" s="371"/>
    </row>
    <row r="397" spans="1:34" ht="35.1" customHeight="1" thickBot="1" x14ac:dyDescent="0.4">
      <c r="A397" s="203">
        <v>40</v>
      </c>
      <c r="B397" s="392"/>
      <c r="C397" s="365"/>
      <c r="D397" s="330"/>
      <c r="E397" s="362"/>
      <c r="F397" s="362"/>
      <c r="G397" s="374"/>
      <c r="H397" s="368"/>
      <c r="I397" s="397"/>
      <c r="J397" s="398"/>
      <c r="K397" s="398"/>
      <c r="L397" s="398"/>
      <c r="M397" s="398"/>
      <c r="N397" s="399"/>
      <c r="O397" s="331"/>
      <c r="P397" s="362"/>
      <c r="Q397" s="365"/>
      <c r="R397" s="362"/>
      <c r="S397" s="365"/>
      <c r="T397" s="362"/>
      <c r="U397" s="368"/>
      <c r="V397" s="332">
        <f t="shared" si="43"/>
        <v>0</v>
      </c>
      <c r="W397" s="333"/>
      <c r="X397" s="334" t="str">
        <f t="shared" si="44"/>
        <v/>
      </c>
      <c r="Y397" s="334" t="str">
        <f>IF(V397=1,V397+MAX($Y$5:Y396),"")</f>
        <v/>
      </c>
      <c r="Z397" s="334"/>
      <c r="AA397" s="332" t="str">
        <f>IF(ISTEXT(W397),IF(ISTEXT(Z397),Z397,'Datasource 2'!$M$14),"")</f>
        <v/>
      </c>
      <c r="AB397" s="328"/>
      <c r="AC397" s="328" t="str">
        <f t="shared" si="45"/>
        <v/>
      </c>
      <c r="AD397" s="328" t="str">
        <f t="shared" si="46"/>
        <v/>
      </c>
      <c r="AE397" s="329"/>
      <c r="AF397" s="362"/>
      <c r="AG397" s="362"/>
      <c r="AH397" s="371"/>
    </row>
    <row r="398" spans="1:34" ht="35.1" customHeight="1" thickBot="1" x14ac:dyDescent="0.4">
      <c r="A398" s="203">
        <v>40</v>
      </c>
      <c r="B398" s="392"/>
      <c r="C398" s="365"/>
      <c r="D398" s="330"/>
      <c r="E398" s="362"/>
      <c r="F398" s="362"/>
      <c r="G398" s="374"/>
      <c r="H398" s="368"/>
      <c r="I398" s="397"/>
      <c r="J398" s="398"/>
      <c r="K398" s="398"/>
      <c r="L398" s="398"/>
      <c r="M398" s="398"/>
      <c r="N398" s="399"/>
      <c r="O398" s="331"/>
      <c r="P398" s="362"/>
      <c r="Q398" s="365"/>
      <c r="R398" s="362"/>
      <c r="S398" s="365"/>
      <c r="T398" s="362"/>
      <c r="U398" s="368"/>
      <c r="V398" s="332">
        <f t="shared" si="43"/>
        <v>0</v>
      </c>
      <c r="W398" s="333"/>
      <c r="X398" s="334" t="str">
        <f t="shared" si="44"/>
        <v/>
      </c>
      <c r="Y398" s="334" t="str">
        <f>IF(V398=1,V398+MAX($Y$5:Y397),"")</f>
        <v/>
      </c>
      <c r="Z398" s="334"/>
      <c r="AA398" s="332" t="str">
        <f>IF(ISTEXT(W398),IF(ISTEXT(Z398),Z398,'Datasource 2'!$M$14),"")</f>
        <v/>
      </c>
      <c r="AB398" s="328"/>
      <c r="AC398" s="328" t="str">
        <f t="shared" si="45"/>
        <v/>
      </c>
      <c r="AD398" s="328" t="str">
        <f t="shared" si="46"/>
        <v/>
      </c>
      <c r="AE398" s="329"/>
      <c r="AF398" s="362"/>
      <c r="AG398" s="362"/>
      <c r="AH398" s="371"/>
    </row>
    <row r="399" spans="1:34" ht="35.1" customHeight="1" thickBot="1" x14ac:dyDescent="0.4">
      <c r="A399" s="203">
        <v>40</v>
      </c>
      <c r="B399" s="392"/>
      <c r="C399" s="365"/>
      <c r="D399" s="330"/>
      <c r="E399" s="362"/>
      <c r="F399" s="362"/>
      <c r="G399" s="374"/>
      <c r="H399" s="368"/>
      <c r="I399" s="397"/>
      <c r="J399" s="398"/>
      <c r="K399" s="398"/>
      <c r="L399" s="398"/>
      <c r="M399" s="398"/>
      <c r="N399" s="399"/>
      <c r="O399" s="331"/>
      <c r="P399" s="362"/>
      <c r="Q399" s="365"/>
      <c r="R399" s="362"/>
      <c r="S399" s="365"/>
      <c r="T399" s="362"/>
      <c r="U399" s="368"/>
      <c r="V399" s="332">
        <f t="shared" si="43"/>
        <v>0</v>
      </c>
      <c r="W399" s="333"/>
      <c r="X399" s="334" t="str">
        <f t="shared" si="44"/>
        <v/>
      </c>
      <c r="Y399" s="334" t="str">
        <f>IF(V399=1,V399+MAX($Y$5:Y398),"")</f>
        <v/>
      </c>
      <c r="Z399" s="334"/>
      <c r="AA399" s="332" t="str">
        <f>IF(ISTEXT(W399),IF(ISTEXT(Z399),Z399,'Datasource 2'!$M$14),"")</f>
        <v/>
      </c>
      <c r="AB399" s="328"/>
      <c r="AC399" s="328" t="str">
        <f t="shared" si="45"/>
        <v/>
      </c>
      <c r="AD399" s="328" t="str">
        <f t="shared" si="46"/>
        <v/>
      </c>
      <c r="AE399" s="329"/>
      <c r="AF399" s="362"/>
      <c r="AG399" s="362"/>
      <c r="AH399" s="371"/>
    </row>
    <row r="400" spans="1:34" ht="35.1" customHeight="1" thickBot="1" x14ac:dyDescent="0.4">
      <c r="A400" s="203">
        <v>40</v>
      </c>
      <c r="B400" s="392"/>
      <c r="C400" s="365"/>
      <c r="D400" s="330"/>
      <c r="E400" s="362"/>
      <c r="F400" s="362"/>
      <c r="G400" s="374"/>
      <c r="H400" s="368"/>
      <c r="I400" s="397"/>
      <c r="J400" s="398"/>
      <c r="K400" s="398"/>
      <c r="L400" s="398"/>
      <c r="M400" s="398"/>
      <c r="N400" s="399"/>
      <c r="O400" s="331"/>
      <c r="P400" s="362"/>
      <c r="Q400" s="365"/>
      <c r="R400" s="362"/>
      <c r="S400" s="365"/>
      <c r="T400" s="362"/>
      <c r="U400" s="368"/>
      <c r="V400" s="332">
        <f t="shared" si="43"/>
        <v>0</v>
      </c>
      <c r="W400" s="333"/>
      <c r="X400" s="334" t="str">
        <f t="shared" si="44"/>
        <v/>
      </c>
      <c r="Y400" s="334" t="str">
        <f>IF(V400=1,V400+MAX($Y$5:Y399),"")</f>
        <v/>
      </c>
      <c r="Z400" s="334"/>
      <c r="AA400" s="332" t="str">
        <f>IF(ISTEXT(W400),IF(ISTEXT(Z400),Z400,'Datasource 2'!$M$14),"")</f>
        <v/>
      </c>
      <c r="AB400" s="328"/>
      <c r="AC400" s="328" t="str">
        <f t="shared" si="45"/>
        <v/>
      </c>
      <c r="AD400" s="328" t="str">
        <f t="shared" si="46"/>
        <v/>
      </c>
      <c r="AE400" s="329"/>
      <c r="AF400" s="362"/>
      <c r="AG400" s="362"/>
      <c r="AH400" s="371"/>
    </row>
    <row r="401" spans="1:34" ht="35.1" customHeight="1" thickBot="1" x14ac:dyDescent="0.4">
      <c r="A401" s="203">
        <v>40</v>
      </c>
      <c r="B401" s="392"/>
      <c r="C401" s="365"/>
      <c r="D401" s="330"/>
      <c r="E401" s="362"/>
      <c r="F401" s="362"/>
      <c r="G401" s="374"/>
      <c r="H401" s="368"/>
      <c r="I401" s="397"/>
      <c r="J401" s="398"/>
      <c r="K401" s="398"/>
      <c r="L401" s="398"/>
      <c r="M401" s="398"/>
      <c r="N401" s="399"/>
      <c r="O401" s="331"/>
      <c r="P401" s="362"/>
      <c r="Q401" s="365"/>
      <c r="R401" s="362"/>
      <c r="S401" s="365"/>
      <c r="T401" s="362"/>
      <c r="U401" s="368"/>
      <c r="V401" s="332">
        <f t="shared" si="43"/>
        <v>0</v>
      </c>
      <c r="W401" s="333"/>
      <c r="X401" s="334" t="str">
        <f t="shared" si="44"/>
        <v/>
      </c>
      <c r="Y401" s="334" t="str">
        <f>IF(V401=1,V401+MAX($Y$5:Y400),"")</f>
        <v/>
      </c>
      <c r="Z401" s="334"/>
      <c r="AA401" s="332" t="str">
        <f>IF(ISTEXT(W401),IF(ISTEXT(Z401),Z401,'Datasource 2'!$M$14),"")</f>
        <v/>
      </c>
      <c r="AB401" s="328"/>
      <c r="AC401" s="328" t="str">
        <f t="shared" si="45"/>
        <v/>
      </c>
      <c r="AD401" s="328" t="str">
        <f t="shared" si="46"/>
        <v/>
      </c>
      <c r="AE401" s="329"/>
      <c r="AF401" s="362"/>
      <c r="AG401" s="362"/>
      <c r="AH401" s="371"/>
    </row>
    <row r="402" spans="1:34" ht="35.1" customHeight="1" thickBot="1" x14ac:dyDescent="0.4">
      <c r="A402" s="203">
        <v>40</v>
      </c>
      <c r="B402" s="392"/>
      <c r="C402" s="365"/>
      <c r="D402" s="330"/>
      <c r="E402" s="362"/>
      <c r="F402" s="362"/>
      <c r="G402" s="374"/>
      <c r="H402" s="368"/>
      <c r="I402" s="397"/>
      <c r="J402" s="398"/>
      <c r="K402" s="398"/>
      <c r="L402" s="398"/>
      <c r="M402" s="398"/>
      <c r="N402" s="399"/>
      <c r="O402" s="331"/>
      <c r="P402" s="362"/>
      <c r="Q402" s="365"/>
      <c r="R402" s="362"/>
      <c r="S402" s="365"/>
      <c r="T402" s="362"/>
      <c r="U402" s="368"/>
      <c r="V402" s="332">
        <f t="shared" si="43"/>
        <v>0</v>
      </c>
      <c r="W402" s="333"/>
      <c r="X402" s="334" t="str">
        <f t="shared" si="44"/>
        <v/>
      </c>
      <c r="Y402" s="334" t="str">
        <f>IF(V402=1,V402+MAX($Y$5:Y401),"")</f>
        <v/>
      </c>
      <c r="Z402" s="334"/>
      <c r="AA402" s="332" t="str">
        <f>IF(ISTEXT(W402),IF(ISTEXT(Z402),Z402,'Datasource 2'!$M$14),"")</f>
        <v/>
      </c>
      <c r="AB402" s="328"/>
      <c r="AC402" s="328" t="str">
        <f t="shared" si="45"/>
        <v/>
      </c>
      <c r="AD402" s="328" t="str">
        <f t="shared" si="46"/>
        <v/>
      </c>
      <c r="AE402" s="329"/>
      <c r="AF402" s="362"/>
      <c r="AG402" s="362"/>
      <c r="AH402" s="371"/>
    </row>
    <row r="403" spans="1:34" ht="35.1" customHeight="1" thickBot="1" x14ac:dyDescent="0.4">
      <c r="A403" s="203">
        <v>40</v>
      </c>
      <c r="B403" s="392"/>
      <c r="C403" s="365"/>
      <c r="D403" s="330"/>
      <c r="E403" s="362"/>
      <c r="F403" s="362"/>
      <c r="G403" s="374"/>
      <c r="H403" s="368"/>
      <c r="I403" s="397"/>
      <c r="J403" s="398"/>
      <c r="K403" s="398"/>
      <c r="L403" s="398"/>
      <c r="M403" s="398"/>
      <c r="N403" s="399"/>
      <c r="O403" s="331"/>
      <c r="P403" s="362"/>
      <c r="Q403" s="365"/>
      <c r="R403" s="362"/>
      <c r="S403" s="365"/>
      <c r="T403" s="362"/>
      <c r="U403" s="368"/>
      <c r="V403" s="332">
        <f t="shared" si="43"/>
        <v>0</v>
      </c>
      <c r="W403" s="333"/>
      <c r="X403" s="334" t="str">
        <f t="shared" si="44"/>
        <v/>
      </c>
      <c r="Y403" s="334" t="str">
        <f>IF(V403=1,V403+MAX($Y$5:Y402),"")</f>
        <v/>
      </c>
      <c r="Z403" s="334"/>
      <c r="AA403" s="332" t="str">
        <f>IF(ISTEXT(W403),IF(ISTEXT(Z403),Z403,'Datasource 2'!$M$14),"")</f>
        <v/>
      </c>
      <c r="AB403" s="328"/>
      <c r="AC403" s="328" t="str">
        <f t="shared" si="45"/>
        <v/>
      </c>
      <c r="AD403" s="328" t="str">
        <f t="shared" si="46"/>
        <v/>
      </c>
      <c r="AE403" s="329"/>
      <c r="AF403" s="362"/>
      <c r="AG403" s="362"/>
      <c r="AH403" s="371"/>
    </row>
    <row r="404" spans="1:34" ht="35.1" customHeight="1" thickBot="1" x14ac:dyDescent="0.4">
      <c r="A404" s="213">
        <v>40</v>
      </c>
      <c r="B404" s="393"/>
      <c r="C404" s="366"/>
      <c r="D404" s="335"/>
      <c r="E404" s="363"/>
      <c r="F404" s="363"/>
      <c r="G404" s="375"/>
      <c r="H404" s="369"/>
      <c r="I404" s="400"/>
      <c r="J404" s="401"/>
      <c r="K404" s="401"/>
      <c r="L404" s="401"/>
      <c r="M404" s="401"/>
      <c r="N404" s="402"/>
      <c r="O404" s="336"/>
      <c r="P404" s="363"/>
      <c r="Q404" s="366"/>
      <c r="R404" s="363"/>
      <c r="S404" s="366"/>
      <c r="T404" s="363"/>
      <c r="U404" s="369"/>
      <c r="V404" s="337">
        <f t="shared" si="43"/>
        <v>0</v>
      </c>
      <c r="W404" s="338"/>
      <c r="X404" s="339" t="str">
        <f t="shared" si="44"/>
        <v/>
      </c>
      <c r="Y404" s="339" t="str">
        <f>IF(V404=1,V404+MAX($Y$5:Y403),"")</f>
        <v/>
      </c>
      <c r="Z404" s="339"/>
      <c r="AA404" s="337" t="str">
        <f>IF(ISTEXT(W404),IF(ISTEXT(Z404),Z404,'Datasource 2'!$M$14),"")</f>
        <v/>
      </c>
      <c r="AB404" s="339"/>
      <c r="AC404" s="328" t="str">
        <f t="shared" si="45"/>
        <v/>
      </c>
      <c r="AD404" s="328" t="str">
        <f t="shared" si="46"/>
        <v/>
      </c>
      <c r="AE404" s="340"/>
      <c r="AF404" s="363"/>
      <c r="AG404" s="363"/>
      <c r="AH404" s="372"/>
    </row>
    <row r="405" spans="1:34" ht="35.1" customHeight="1" thickBot="1" x14ac:dyDescent="0.4">
      <c r="A405" s="205">
        <v>41</v>
      </c>
      <c r="B405" s="412">
        <v>41</v>
      </c>
      <c r="C405" s="382"/>
      <c r="D405" s="257"/>
      <c r="E405" s="379"/>
      <c r="F405" s="379"/>
      <c r="G405" s="376"/>
      <c r="H405" s="385" t="e">
        <f>IF(VLOOKUP(G405,Trusselvurdering!$B$3:$P$28,15,FALSE)=0,VLOOKUP(G405,Trusselvurdering!$B$3:$P$28,14,FALSE),VLOOKUP(G405,Trusselvurdering!$B$3:$P$28,15,FALSE))</f>
        <v>#N/A</v>
      </c>
      <c r="I405" s="403"/>
      <c r="J405" s="404"/>
      <c r="K405" s="404"/>
      <c r="L405" s="404"/>
      <c r="M405" s="404"/>
      <c r="N405" s="405"/>
      <c r="O405" s="258"/>
      <c r="P405" s="379"/>
      <c r="Q405" s="382"/>
      <c r="R405" s="379"/>
      <c r="S405" s="382"/>
      <c r="T405" s="379"/>
      <c r="U405" s="385" t="e">
        <f>VLOOKUP(Risikovurdering_data!C403,Akseptkriterier!$C$33:$H$37,MATCH(Risikovurdering_data!D403,Akseptkriterier!$D$32:$H$32,0)+1,FALSE)</f>
        <v>#N/A</v>
      </c>
      <c r="V405" s="259">
        <f t="shared" si="43"/>
        <v>0</v>
      </c>
      <c r="W405" s="260"/>
      <c r="X405" s="261" t="str">
        <f t="shared" si="44"/>
        <v/>
      </c>
      <c r="Y405" s="261" t="str">
        <f>IF(V405=1,V405+MAX($Y$5:Y404),"")</f>
        <v/>
      </c>
      <c r="Z405" s="261"/>
      <c r="AA405" s="259" t="str">
        <f>IF(ISTEXT(W405),IF(ISTEXT(Z405),Z405,'Datasource 2'!$M$14),"")</f>
        <v/>
      </c>
      <c r="AB405" s="261"/>
      <c r="AC405" s="261" t="str">
        <f t="shared" si="45"/>
        <v/>
      </c>
      <c r="AD405" s="261" t="str">
        <f t="shared" si="46"/>
        <v/>
      </c>
      <c r="AE405" s="262"/>
      <c r="AF405" s="379"/>
      <c r="AG405" s="379"/>
      <c r="AH405" s="388" t="e">
        <f>VLOOKUP(Risikovurdering_data!F403,Akseptkriterier!$C$33:$H$37,MATCH(Risikovurdering_data!G403,Akseptkriterier!$D$32:$H$32,0)+1,FALSE)</f>
        <v>#N/A</v>
      </c>
    </row>
    <row r="406" spans="1:34" ht="35.1" customHeight="1" thickBot="1" x14ac:dyDescent="0.4">
      <c r="A406" s="203">
        <v>41</v>
      </c>
      <c r="B406" s="413"/>
      <c r="C406" s="383"/>
      <c r="D406" s="263"/>
      <c r="E406" s="380"/>
      <c r="F406" s="380"/>
      <c r="G406" s="377"/>
      <c r="H406" s="386"/>
      <c r="I406" s="406"/>
      <c r="J406" s="407"/>
      <c r="K406" s="407"/>
      <c r="L406" s="407"/>
      <c r="M406" s="407"/>
      <c r="N406" s="408"/>
      <c r="O406" s="264"/>
      <c r="P406" s="380"/>
      <c r="Q406" s="383"/>
      <c r="R406" s="380"/>
      <c r="S406" s="383"/>
      <c r="T406" s="380"/>
      <c r="U406" s="386"/>
      <c r="V406" s="265">
        <f t="shared" si="43"/>
        <v>0</v>
      </c>
      <c r="W406" s="266"/>
      <c r="X406" s="267" t="str">
        <f t="shared" si="44"/>
        <v/>
      </c>
      <c r="Y406" s="267" t="str">
        <f>IF(V406=1,V406+MAX($Y$5:Y405),"")</f>
        <v/>
      </c>
      <c r="Z406" s="267"/>
      <c r="AA406" s="265" t="str">
        <f>IF(ISTEXT(W406),IF(ISTEXT(Z406),Z406,'Datasource 2'!$M$14),"")</f>
        <v/>
      </c>
      <c r="AB406" s="261"/>
      <c r="AC406" s="261" t="str">
        <f t="shared" si="45"/>
        <v/>
      </c>
      <c r="AD406" s="261" t="str">
        <f t="shared" si="46"/>
        <v/>
      </c>
      <c r="AE406" s="262"/>
      <c r="AF406" s="380"/>
      <c r="AG406" s="380"/>
      <c r="AH406" s="389"/>
    </row>
    <row r="407" spans="1:34" ht="35.1" customHeight="1" thickBot="1" x14ac:dyDescent="0.4">
      <c r="A407" s="203">
        <v>41</v>
      </c>
      <c r="B407" s="413"/>
      <c r="C407" s="383"/>
      <c r="D407" s="263"/>
      <c r="E407" s="380"/>
      <c r="F407" s="380"/>
      <c r="G407" s="377"/>
      <c r="H407" s="386"/>
      <c r="I407" s="406"/>
      <c r="J407" s="407"/>
      <c r="K407" s="407"/>
      <c r="L407" s="407"/>
      <c r="M407" s="407"/>
      <c r="N407" s="408"/>
      <c r="O407" s="264"/>
      <c r="P407" s="380"/>
      <c r="Q407" s="383"/>
      <c r="R407" s="380"/>
      <c r="S407" s="383"/>
      <c r="T407" s="380"/>
      <c r="U407" s="386"/>
      <c r="V407" s="265">
        <f t="shared" si="43"/>
        <v>0</v>
      </c>
      <c r="W407" s="266"/>
      <c r="X407" s="267" t="str">
        <f t="shared" si="44"/>
        <v/>
      </c>
      <c r="Y407" s="267" t="str">
        <f>IF(V407=1,V407+MAX($Y$5:Y406),"")</f>
        <v/>
      </c>
      <c r="Z407" s="267"/>
      <c r="AA407" s="265" t="str">
        <f>IF(ISTEXT(W407),IF(ISTEXT(Z407),Z407,'Datasource 2'!$M$14),"")</f>
        <v/>
      </c>
      <c r="AB407" s="261"/>
      <c r="AC407" s="261" t="str">
        <f t="shared" si="45"/>
        <v/>
      </c>
      <c r="AD407" s="261" t="str">
        <f t="shared" si="46"/>
        <v/>
      </c>
      <c r="AE407" s="262"/>
      <c r="AF407" s="380"/>
      <c r="AG407" s="380"/>
      <c r="AH407" s="389"/>
    </row>
    <row r="408" spans="1:34" ht="35.1" customHeight="1" thickBot="1" x14ac:dyDescent="0.4">
      <c r="A408" s="203">
        <v>41</v>
      </c>
      <c r="B408" s="413"/>
      <c r="C408" s="383"/>
      <c r="D408" s="263"/>
      <c r="E408" s="380"/>
      <c r="F408" s="380"/>
      <c r="G408" s="377"/>
      <c r="H408" s="386"/>
      <c r="I408" s="406"/>
      <c r="J408" s="407"/>
      <c r="K408" s="407"/>
      <c r="L408" s="407"/>
      <c r="M408" s="407"/>
      <c r="N408" s="408"/>
      <c r="O408" s="264"/>
      <c r="P408" s="380"/>
      <c r="Q408" s="383"/>
      <c r="R408" s="380"/>
      <c r="S408" s="383"/>
      <c r="T408" s="380"/>
      <c r="U408" s="386"/>
      <c r="V408" s="265">
        <f t="shared" si="43"/>
        <v>0</v>
      </c>
      <c r="W408" s="266"/>
      <c r="X408" s="267" t="str">
        <f t="shared" si="44"/>
        <v/>
      </c>
      <c r="Y408" s="267" t="str">
        <f>IF(V408=1,V408+MAX($Y$5:Y407),"")</f>
        <v/>
      </c>
      <c r="Z408" s="267"/>
      <c r="AA408" s="265" t="str">
        <f>IF(ISTEXT(W408),IF(ISTEXT(Z408),Z408,'Datasource 2'!$M$14),"")</f>
        <v/>
      </c>
      <c r="AB408" s="261"/>
      <c r="AC408" s="261" t="str">
        <f t="shared" si="45"/>
        <v/>
      </c>
      <c r="AD408" s="261" t="str">
        <f t="shared" si="46"/>
        <v/>
      </c>
      <c r="AE408" s="262"/>
      <c r="AF408" s="380"/>
      <c r="AG408" s="380"/>
      <c r="AH408" s="389"/>
    </row>
    <row r="409" spans="1:34" ht="35.1" customHeight="1" thickBot="1" x14ac:dyDescent="0.4">
      <c r="A409" s="203">
        <v>41</v>
      </c>
      <c r="B409" s="413"/>
      <c r="C409" s="383"/>
      <c r="D409" s="263"/>
      <c r="E409" s="380"/>
      <c r="F409" s="380"/>
      <c r="G409" s="377"/>
      <c r="H409" s="386"/>
      <c r="I409" s="406"/>
      <c r="J409" s="407"/>
      <c r="K409" s="407"/>
      <c r="L409" s="407"/>
      <c r="M409" s="407"/>
      <c r="N409" s="408"/>
      <c r="O409" s="264"/>
      <c r="P409" s="380"/>
      <c r="Q409" s="383"/>
      <c r="R409" s="380"/>
      <c r="S409" s="383"/>
      <c r="T409" s="380"/>
      <c r="U409" s="386"/>
      <c r="V409" s="265">
        <f t="shared" si="43"/>
        <v>0</v>
      </c>
      <c r="W409" s="266"/>
      <c r="X409" s="267" t="str">
        <f t="shared" si="44"/>
        <v/>
      </c>
      <c r="Y409" s="267" t="str">
        <f>IF(V409=1,V409+MAX($Y$5:Y408),"")</f>
        <v/>
      </c>
      <c r="Z409" s="267"/>
      <c r="AA409" s="265" t="str">
        <f>IF(ISTEXT(W409),IF(ISTEXT(Z409),Z409,'Datasource 2'!$M$14),"")</f>
        <v/>
      </c>
      <c r="AB409" s="261"/>
      <c r="AC409" s="261" t="str">
        <f t="shared" si="45"/>
        <v/>
      </c>
      <c r="AD409" s="261" t="str">
        <f t="shared" si="46"/>
        <v/>
      </c>
      <c r="AE409" s="262"/>
      <c r="AF409" s="380"/>
      <c r="AG409" s="380"/>
      <c r="AH409" s="389"/>
    </row>
    <row r="410" spans="1:34" ht="35.1" customHeight="1" thickBot="1" x14ac:dyDescent="0.4">
      <c r="A410" s="203">
        <v>41</v>
      </c>
      <c r="B410" s="413"/>
      <c r="C410" s="383"/>
      <c r="D410" s="263"/>
      <c r="E410" s="380"/>
      <c r="F410" s="380"/>
      <c r="G410" s="377"/>
      <c r="H410" s="386"/>
      <c r="I410" s="406"/>
      <c r="J410" s="407"/>
      <c r="K410" s="407"/>
      <c r="L410" s="407"/>
      <c r="M410" s="407"/>
      <c r="N410" s="408"/>
      <c r="O410" s="264"/>
      <c r="P410" s="380"/>
      <c r="Q410" s="383"/>
      <c r="R410" s="380"/>
      <c r="S410" s="383"/>
      <c r="T410" s="380"/>
      <c r="U410" s="386"/>
      <c r="V410" s="265">
        <f t="shared" si="43"/>
        <v>0</v>
      </c>
      <c r="W410" s="266"/>
      <c r="X410" s="267" t="str">
        <f t="shared" si="44"/>
        <v/>
      </c>
      <c r="Y410" s="267" t="str">
        <f>IF(V410=1,V410+MAX($Y$5:Y409),"")</f>
        <v/>
      </c>
      <c r="Z410" s="267"/>
      <c r="AA410" s="265" t="str">
        <f>IF(ISTEXT(W410),IF(ISTEXT(Z410),Z410,'Datasource 2'!$M$14),"")</f>
        <v/>
      </c>
      <c r="AB410" s="261"/>
      <c r="AC410" s="261" t="str">
        <f t="shared" si="45"/>
        <v/>
      </c>
      <c r="AD410" s="261" t="str">
        <f t="shared" si="46"/>
        <v/>
      </c>
      <c r="AE410" s="262"/>
      <c r="AF410" s="380"/>
      <c r="AG410" s="380"/>
      <c r="AH410" s="389"/>
    </row>
    <row r="411" spans="1:34" ht="35.1" customHeight="1" thickBot="1" x14ac:dyDescent="0.4">
      <c r="A411" s="203">
        <v>41</v>
      </c>
      <c r="B411" s="413"/>
      <c r="C411" s="383"/>
      <c r="D411" s="263"/>
      <c r="E411" s="380"/>
      <c r="F411" s="380"/>
      <c r="G411" s="377"/>
      <c r="H411" s="386"/>
      <c r="I411" s="406"/>
      <c r="J411" s="407"/>
      <c r="K411" s="407"/>
      <c r="L411" s="407"/>
      <c r="M411" s="407"/>
      <c r="N411" s="408"/>
      <c r="O411" s="264"/>
      <c r="P411" s="380"/>
      <c r="Q411" s="383"/>
      <c r="R411" s="380"/>
      <c r="S411" s="383"/>
      <c r="T411" s="380"/>
      <c r="U411" s="386"/>
      <c r="V411" s="265">
        <f t="shared" si="43"/>
        <v>0</v>
      </c>
      <c r="W411" s="266"/>
      <c r="X411" s="267" t="str">
        <f t="shared" si="44"/>
        <v/>
      </c>
      <c r="Y411" s="267" t="str">
        <f>IF(V411=1,V411+MAX($Y$5:Y410),"")</f>
        <v/>
      </c>
      <c r="Z411" s="267"/>
      <c r="AA411" s="265" t="str">
        <f>IF(ISTEXT(W411),IF(ISTEXT(Z411),Z411,'Datasource 2'!$M$14),"")</f>
        <v/>
      </c>
      <c r="AB411" s="261"/>
      <c r="AC411" s="261" t="str">
        <f t="shared" si="45"/>
        <v/>
      </c>
      <c r="AD411" s="261" t="str">
        <f t="shared" si="46"/>
        <v/>
      </c>
      <c r="AE411" s="262"/>
      <c r="AF411" s="380"/>
      <c r="AG411" s="380"/>
      <c r="AH411" s="389"/>
    </row>
    <row r="412" spans="1:34" ht="35.1" customHeight="1" thickBot="1" x14ac:dyDescent="0.4">
      <c r="A412" s="203">
        <v>41</v>
      </c>
      <c r="B412" s="413"/>
      <c r="C412" s="383"/>
      <c r="D412" s="263"/>
      <c r="E412" s="380"/>
      <c r="F412" s="380"/>
      <c r="G412" s="377"/>
      <c r="H412" s="386"/>
      <c r="I412" s="406"/>
      <c r="J412" s="407"/>
      <c r="K412" s="407"/>
      <c r="L412" s="407"/>
      <c r="M412" s="407"/>
      <c r="N412" s="408"/>
      <c r="O412" s="264"/>
      <c r="P412" s="380"/>
      <c r="Q412" s="383"/>
      <c r="R412" s="380"/>
      <c r="S412" s="383"/>
      <c r="T412" s="380"/>
      <c r="U412" s="386"/>
      <c r="V412" s="265">
        <f t="shared" si="43"/>
        <v>0</v>
      </c>
      <c r="W412" s="266"/>
      <c r="X412" s="267" t="str">
        <f t="shared" si="44"/>
        <v/>
      </c>
      <c r="Y412" s="267" t="str">
        <f>IF(V412=1,V412+MAX($Y$5:Y411),"")</f>
        <v/>
      </c>
      <c r="Z412" s="267"/>
      <c r="AA412" s="265" t="str">
        <f>IF(ISTEXT(W412),IF(ISTEXT(Z412),Z412,'Datasource 2'!$M$14),"")</f>
        <v/>
      </c>
      <c r="AB412" s="261"/>
      <c r="AC412" s="261" t="str">
        <f t="shared" si="45"/>
        <v/>
      </c>
      <c r="AD412" s="261" t="str">
        <f t="shared" si="46"/>
        <v/>
      </c>
      <c r="AE412" s="262"/>
      <c r="AF412" s="380"/>
      <c r="AG412" s="380"/>
      <c r="AH412" s="389"/>
    </row>
    <row r="413" spans="1:34" ht="35.1" customHeight="1" thickBot="1" x14ac:dyDescent="0.4">
      <c r="A413" s="203">
        <v>41</v>
      </c>
      <c r="B413" s="413"/>
      <c r="C413" s="383"/>
      <c r="D413" s="263"/>
      <c r="E413" s="380"/>
      <c r="F413" s="380"/>
      <c r="G413" s="377"/>
      <c r="H413" s="386"/>
      <c r="I413" s="406"/>
      <c r="J413" s="407"/>
      <c r="K413" s="407"/>
      <c r="L413" s="407"/>
      <c r="M413" s="407"/>
      <c r="N413" s="408"/>
      <c r="O413" s="264"/>
      <c r="P413" s="380"/>
      <c r="Q413" s="383"/>
      <c r="R413" s="380"/>
      <c r="S413" s="383"/>
      <c r="T413" s="380"/>
      <c r="U413" s="386"/>
      <c r="V413" s="265">
        <f t="shared" si="43"/>
        <v>0</v>
      </c>
      <c r="W413" s="266"/>
      <c r="X413" s="267" t="str">
        <f t="shared" si="44"/>
        <v/>
      </c>
      <c r="Y413" s="267" t="str">
        <f>IF(V413=1,V413+MAX($Y$5:Y412),"")</f>
        <v/>
      </c>
      <c r="Z413" s="267"/>
      <c r="AA413" s="265" t="str">
        <f>IF(ISTEXT(W413),IF(ISTEXT(Z413),Z413,'Datasource 2'!$M$14),"")</f>
        <v/>
      </c>
      <c r="AB413" s="261"/>
      <c r="AC413" s="261" t="str">
        <f t="shared" si="45"/>
        <v/>
      </c>
      <c r="AD413" s="261" t="str">
        <f t="shared" si="46"/>
        <v/>
      </c>
      <c r="AE413" s="262"/>
      <c r="AF413" s="380"/>
      <c r="AG413" s="380"/>
      <c r="AH413" s="389"/>
    </row>
    <row r="414" spans="1:34" ht="35.1" customHeight="1" thickBot="1" x14ac:dyDescent="0.4">
      <c r="A414" s="203">
        <v>41</v>
      </c>
      <c r="B414" s="414"/>
      <c r="C414" s="384"/>
      <c r="D414" s="268"/>
      <c r="E414" s="381"/>
      <c r="F414" s="381"/>
      <c r="G414" s="378"/>
      <c r="H414" s="387"/>
      <c r="I414" s="409"/>
      <c r="J414" s="410"/>
      <c r="K414" s="410"/>
      <c r="L414" s="410"/>
      <c r="M414" s="410"/>
      <c r="N414" s="411"/>
      <c r="O414" s="269"/>
      <c r="P414" s="381"/>
      <c r="Q414" s="384"/>
      <c r="R414" s="381"/>
      <c r="S414" s="384"/>
      <c r="T414" s="381"/>
      <c r="U414" s="387"/>
      <c r="V414" s="270">
        <f t="shared" ref="V414:V471" si="47">IF(W414="",0,1)</f>
        <v>0</v>
      </c>
      <c r="W414" s="271"/>
      <c r="X414" s="272" t="str">
        <f t="shared" si="44"/>
        <v/>
      </c>
      <c r="Y414" s="272" t="str">
        <f>IF(V414=1,V414+MAX($Y$5:Y413),"")</f>
        <v/>
      </c>
      <c r="Z414" s="272"/>
      <c r="AA414" s="270" t="str">
        <f>IF(ISTEXT(W414),IF(ISTEXT(Z414),Z414,'Datasource 2'!$M$14),"")</f>
        <v/>
      </c>
      <c r="AB414" s="273"/>
      <c r="AC414" s="261" t="str">
        <f t="shared" si="45"/>
        <v/>
      </c>
      <c r="AD414" s="261" t="str">
        <f t="shared" si="46"/>
        <v/>
      </c>
      <c r="AE414" s="274"/>
      <c r="AF414" s="381"/>
      <c r="AG414" s="381"/>
      <c r="AH414" s="390"/>
    </row>
    <row r="415" spans="1:34" ht="35.1" customHeight="1" thickBot="1" x14ac:dyDescent="0.4">
      <c r="A415" s="205">
        <v>42</v>
      </c>
      <c r="B415" s="391">
        <v>42</v>
      </c>
      <c r="C415" s="364"/>
      <c r="D415" s="323"/>
      <c r="E415" s="361"/>
      <c r="F415" s="361"/>
      <c r="G415" s="373"/>
      <c r="H415" s="367" t="e">
        <f>IF(VLOOKUP(G415,Trusselvurdering!$B$3:$P$28,15,FALSE)=0,VLOOKUP(G415,Trusselvurdering!$B$3:$P$28,14,FALSE),VLOOKUP(G415,Trusselvurdering!$B$3:$P$28,15,FALSE))</f>
        <v>#N/A</v>
      </c>
      <c r="I415" s="394"/>
      <c r="J415" s="395"/>
      <c r="K415" s="395"/>
      <c r="L415" s="395"/>
      <c r="M415" s="395"/>
      <c r="N415" s="396"/>
      <c r="O415" s="324"/>
      <c r="P415" s="361"/>
      <c r="Q415" s="364"/>
      <c r="R415" s="361"/>
      <c r="S415" s="364"/>
      <c r="T415" s="361"/>
      <c r="U415" s="367" t="e">
        <f>VLOOKUP(Risikovurdering_data!C413,Akseptkriterier!$C$33:$H$37,MATCH(Risikovurdering_data!D413,Akseptkriterier!$D$32:$H$32,0)+1,FALSE)</f>
        <v>#N/A</v>
      </c>
      <c r="V415" s="325">
        <f t="shared" si="47"/>
        <v>0</v>
      </c>
      <c r="W415" s="326"/>
      <c r="X415" s="327" t="str">
        <f t="shared" si="44"/>
        <v/>
      </c>
      <c r="Y415" s="327" t="str">
        <f>IF(V415=1,V415+MAX($Y$5:Y414),"")</f>
        <v/>
      </c>
      <c r="Z415" s="327"/>
      <c r="AA415" s="325" t="str">
        <f>IF(ISTEXT(W415),IF(ISTEXT(Z415),Z415,'Datasource 2'!$M$14),"")</f>
        <v/>
      </c>
      <c r="AB415" s="328"/>
      <c r="AC415" s="328" t="str">
        <f t="shared" si="45"/>
        <v/>
      </c>
      <c r="AD415" s="328" t="str">
        <f t="shared" si="46"/>
        <v/>
      </c>
      <c r="AE415" s="329"/>
      <c r="AF415" s="361"/>
      <c r="AG415" s="361"/>
      <c r="AH415" s="370" t="e">
        <f>VLOOKUP(Risikovurdering_data!F413,Akseptkriterier!$C$33:$H$37,MATCH(Risikovurdering_data!G413,Akseptkriterier!$D$32:$H$32,0)+1,FALSE)</f>
        <v>#N/A</v>
      </c>
    </row>
    <row r="416" spans="1:34" ht="35.1" customHeight="1" thickBot="1" x14ac:dyDescent="0.4">
      <c r="A416" s="203">
        <v>42</v>
      </c>
      <c r="B416" s="392"/>
      <c r="C416" s="365"/>
      <c r="D416" s="330"/>
      <c r="E416" s="362"/>
      <c r="F416" s="362"/>
      <c r="G416" s="374"/>
      <c r="H416" s="368"/>
      <c r="I416" s="397"/>
      <c r="J416" s="398"/>
      <c r="K416" s="398"/>
      <c r="L416" s="398"/>
      <c r="M416" s="398"/>
      <c r="N416" s="399"/>
      <c r="O416" s="331"/>
      <c r="P416" s="362"/>
      <c r="Q416" s="365"/>
      <c r="R416" s="362"/>
      <c r="S416" s="365"/>
      <c r="T416" s="362"/>
      <c r="U416" s="368"/>
      <c r="V416" s="332">
        <f t="shared" si="47"/>
        <v>0</v>
      </c>
      <c r="W416" s="333"/>
      <c r="X416" s="334" t="str">
        <f t="shared" si="44"/>
        <v/>
      </c>
      <c r="Y416" s="334" t="str">
        <f>IF(V416=1,V416+MAX($Y$5:Y415),"")</f>
        <v/>
      </c>
      <c r="Z416" s="334"/>
      <c r="AA416" s="332" t="str">
        <f>IF(ISTEXT(W416),IF(ISTEXT(Z416),Z416,'Datasource 2'!$M$14),"")</f>
        <v/>
      </c>
      <c r="AB416" s="328"/>
      <c r="AC416" s="328" t="str">
        <f t="shared" si="45"/>
        <v/>
      </c>
      <c r="AD416" s="328" t="str">
        <f t="shared" si="46"/>
        <v/>
      </c>
      <c r="AE416" s="329"/>
      <c r="AF416" s="362"/>
      <c r="AG416" s="362"/>
      <c r="AH416" s="371"/>
    </row>
    <row r="417" spans="1:34" ht="35.1" customHeight="1" thickBot="1" x14ac:dyDescent="0.4">
      <c r="A417" s="203">
        <v>42</v>
      </c>
      <c r="B417" s="392"/>
      <c r="C417" s="365"/>
      <c r="D417" s="330"/>
      <c r="E417" s="362"/>
      <c r="F417" s="362"/>
      <c r="G417" s="374"/>
      <c r="H417" s="368"/>
      <c r="I417" s="397"/>
      <c r="J417" s="398"/>
      <c r="K417" s="398"/>
      <c r="L417" s="398"/>
      <c r="M417" s="398"/>
      <c r="N417" s="399"/>
      <c r="O417" s="331"/>
      <c r="P417" s="362"/>
      <c r="Q417" s="365"/>
      <c r="R417" s="362"/>
      <c r="S417" s="365"/>
      <c r="T417" s="362"/>
      <c r="U417" s="368"/>
      <c r="V417" s="332">
        <f t="shared" si="47"/>
        <v>0</v>
      </c>
      <c r="W417" s="333"/>
      <c r="X417" s="334" t="str">
        <f t="shared" si="44"/>
        <v/>
      </c>
      <c r="Y417" s="334" t="str">
        <f>IF(V417=1,V417+MAX($Y$5:Y416),"")</f>
        <v/>
      </c>
      <c r="Z417" s="334"/>
      <c r="AA417" s="332" t="str">
        <f>IF(ISTEXT(W417),IF(ISTEXT(Z417),Z417,'Datasource 2'!$M$14),"")</f>
        <v/>
      </c>
      <c r="AB417" s="328"/>
      <c r="AC417" s="328" t="str">
        <f t="shared" si="45"/>
        <v/>
      </c>
      <c r="AD417" s="328" t="str">
        <f t="shared" si="46"/>
        <v/>
      </c>
      <c r="AE417" s="329"/>
      <c r="AF417" s="362"/>
      <c r="AG417" s="362"/>
      <c r="AH417" s="371"/>
    </row>
    <row r="418" spans="1:34" ht="35.1" customHeight="1" thickBot="1" x14ac:dyDescent="0.4">
      <c r="A418" s="203">
        <v>42</v>
      </c>
      <c r="B418" s="392"/>
      <c r="C418" s="365"/>
      <c r="D418" s="330"/>
      <c r="E418" s="362"/>
      <c r="F418" s="362"/>
      <c r="G418" s="374"/>
      <c r="H418" s="368"/>
      <c r="I418" s="397"/>
      <c r="J418" s="398"/>
      <c r="K418" s="398"/>
      <c r="L418" s="398"/>
      <c r="M418" s="398"/>
      <c r="N418" s="399"/>
      <c r="O418" s="331"/>
      <c r="P418" s="362"/>
      <c r="Q418" s="365"/>
      <c r="R418" s="362"/>
      <c r="S418" s="365"/>
      <c r="T418" s="362"/>
      <c r="U418" s="368"/>
      <c r="V418" s="332">
        <f t="shared" si="47"/>
        <v>0</v>
      </c>
      <c r="W418" s="333"/>
      <c r="X418" s="334" t="str">
        <f t="shared" si="44"/>
        <v/>
      </c>
      <c r="Y418" s="334" t="str">
        <f>IF(V418=1,V418+MAX($Y$5:Y417),"")</f>
        <v/>
      </c>
      <c r="Z418" s="334"/>
      <c r="AA418" s="332" t="str">
        <f>IF(ISTEXT(W418),IF(ISTEXT(Z418),Z418,'Datasource 2'!$M$14),"")</f>
        <v/>
      </c>
      <c r="AB418" s="328"/>
      <c r="AC418" s="328" t="str">
        <f t="shared" si="45"/>
        <v/>
      </c>
      <c r="AD418" s="328" t="str">
        <f t="shared" si="46"/>
        <v/>
      </c>
      <c r="AE418" s="329"/>
      <c r="AF418" s="362"/>
      <c r="AG418" s="362"/>
      <c r="AH418" s="371"/>
    </row>
    <row r="419" spans="1:34" ht="35.1" customHeight="1" thickBot="1" x14ac:dyDescent="0.4">
      <c r="A419" s="203">
        <v>42</v>
      </c>
      <c r="B419" s="392"/>
      <c r="C419" s="365"/>
      <c r="D419" s="330"/>
      <c r="E419" s="362"/>
      <c r="F419" s="362"/>
      <c r="G419" s="374"/>
      <c r="H419" s="368"/>
      <c r="I419" s="397"/>
      <c r="J419" s="398"/>
      <c r="K419" s="398"/>
      <c r="L419" s="398"/>
      <c r="M419" s="398"/>
      <c r="N419" s="399"/>
      <c r="O419" s="331"/>
      <c r="P419" s="362"/>
      <c r="Q419" s="365"/>
      <c r="R419" s="362"/>
      <c r="S419" s="365"/>
      <c r="T419" s="362"/>
      <c r="U419" s="368"/>
      <c r="V419" s="332">
        <f t="shared" si="47"/>
        <v>0</v>
      </c>
      <c r="W419" s="333"/>
      <c r="X419" s="334" t="str">
        <f t="shared" si="44"/>
        <v/>
      </c>
      <c r="Y419" s="334" t="str">
        <f>IF(V419=1,V419+MAX($Y$5:Y418),"")</f>
        <v/>
      </c>
      <c r="Z419" s="334"/>
      <c r="AA419" s="332" t="str">
        <f>IF(ISTEXT(W419),IF(ISTEXT(Z419),Z419,'Datasource 2'!$M$14),"")</f>
        <v/>
      </c>
      <c r="AB419" s="328"/>
      <c r="AC419" s="328" t="str">
        <f t="shared" si="45"/>
        <v/>
      </c>
      <c r="AD419" s="328" t="str">
        <f t="shared" si="46"/>
        <v/>
      </c>
      <c r="AE419" s="329"/>
      <c r="AF419" s="362"/>
      <c r="AG419" s="362"/>
      <c r="AH419" s="371"/>
    </row>
    <row r="420" spans="1:34" ht="35.1" customHeight="1" thickBot="1" x14ac:dyDescent="0.4">
      <c r="A420" s="203">
        <v>42</v>
      </c>
      <c r="B420" s="392"/>
      <c r="C420" s="365"/>
      <c r="D420" s="330"/>
      <c r="E420" s="362"/>
      <c r="F420" s="362"/>
      <c r="G420" s="374"/>
      <c r="H420" s="368"/>
      <c r="I420" s="397"/>
      <c r="J420" s="398"/>
      <c r="K420" s="398"/>
      <c r="L420" s="398"/>
      <c r="M420" s="398"/>
      <c r="N420" s="399"/>
      <c r="O420" s="331"/>
      <c r="P420" s="362"/>
      <c r="Q420" s="365"/>
      <c r="R420" s="362"/>
      <c r="S420" s="365"/>
      <c r="T420" s="362"/>
      <c r="U420" s="368"/>
      <c r="V420" s="332">
        <f t="shared" si="47"/>
        <v>0</v>
      </c>
      <c r="W420" s="333"/>
      <c r="X420" s="334" t="str">
        <f t="shared" si="44"/>
        <v/>
      </c>
      <c r="Y420" s="334" t="str">
        <f>IF(V420=1,V420+MAX($Y$5:Y419),"")</f>
        <v/>
      </c>
      <c r="Z420" s="334"/>
      <c r="AA420" s="332" t="str">
        <f>IF(ISTEXT(W420),IF(ISTEXT(Z420),Z420,'Datasource 2'!$M$14),"")</f>
        <v/>
      </c>
      <c r="AB420" s="328"/>
      <c r="AC420" s="328" t="str">
        <f t="shared" si="45"/>
        <v/>
      </c>
      <c r="AD420" s="328" t="str">
        <f t="shared" si="46"/>
        <v/>
      </c>
      <c r="AE420" s="329"/>
      <c r="AF420" s="362"/>
      <c r="AG420" s="362"/>
      <c r="AH420" s="371"/>
    </row>
    <row r="421" spans="1:34" ht="35.1" customHeight="1" thickBot="1" x14ac:dyDescent="0.4">
      <c r="A421" s="203">
        <v>42</v>
      </c>
      <c r="B421" s="392"/>
      <c r="C421" s="365"/>
      <c r="D421" s="330"/>
      <c r="E421" s="362"/>
      <c r="F421" s="362"/>
      <c r="G421" s="374"/>
      <c r="H421" s="368"/>
      <c r="I421" s="397"/>
      <c r="J421" s="398"/>
      <c r="K421" s="398"/>
      <c r="L421" s="398"/>
      <c r="M421" s="398"/>
      <c r="N421" s="399"/>
      <c r="O421" s="331"/>
      <c r="P421" s="362"/>
      <c r="Q421" s="365"/>
      <c r="R421" s="362"/>
      <c r="S421" s="365"/>
      <c r="T421" s="362"/>
      <c r="U421" s="368"/>
      <c r="V421" s="332">
        <f t="shared" si="47"/>
        <v>0</v>
      </c>
      <c r="W421" s="333"/>
      <c r="X421" s="334" t="str">
        <f t="shared" si="44"/>
        <v/>
      </c>
      <c r="Y421" s="334" t="str">
        <f>IF(V421=1,V421+MAX($Y$5:Y420),"")</f>
        <v/>
      </c>
      <c r="Z421" s="334"/>
      <c r="AA421" s="332" t="str">
        <f>IF(ISTEXT(W421),IF(ISTEXT(Z421),Z421,'Datasource 2'!$M$14),"")</f>
        <v/>
      </c>
      <c r="AB421" s="328"/>
      <c r="AC421" s="328" t="str">
        <f t="shared" si="45"/>
        <v/>
      </c>
      <c r="AD421" s="328" t="str">
        <f t="shared" si="46"/>
        <v/>
      </c>
      <c r="AE421" s="329"/>
      <c r="AF421" s="362"/>
      <c r="AG421" s="362"/>
      <c r="AH421" s="371"/>
    </row>
    <row r="422" spans="1:34" ht="35.1" customHeight="1" thickBot="1" x14ac:dyDescent="0.4">
      <c r="A422" s="203">
        <v>42</v>
      </c>
      <c r="B422" s="392"/>
      <c r="C422" s="365"/>
      <c r="D422" s="330"/>
      <c r="E422" s="362"/>
      <c r="F422" s="362"/>
      <c r="G422" s="374"/>
      <c r="H422" s="368"/>
      <c r="I422" s="397"/>
      <c r="J422" s="398"/>
      <c r="K422" s="398"/>
      <c r="L422" s="398"/>
      <c r="M422" s="398"/>
      <c r="N422" s="399"/>
      <c r="O422" s="331"/>
      <c r="P422" s="362"/>
      <c r="Q422" s="365"/>
      <c r="R422" s="362"/>
      <c r="S422" s="365"/>
      <c r="T422" s="362"/>
      <c r="U422" s="368"/>
      <c r="V422" s="332">
        <f t="shared" si="47"/>
        <v>0</v>
      </c>
      <c r="W422" s="333"/>
      <c r="X422" s="334" t="str">
        <f t="shared" si="44"/>
        <v/>
      </c>
      <c r="Y422" s="334" t="str">
        <f>IF(V422=1,V422+MAX($Y$5:Y421),"")</f>
        <v/>
      </c>
      <c r="Z422" s="334"/>
      <c r="AA422" s="332" t="str">
        <f>IF(ISTEXT(W422),IF(ISTEXT(Z422),Z422,'Datasource 2'!$M$14),"")</f>
        <v/>
      </c>
      <c r="AB422" s="328"/>
      <c r="AC422" s="328" t="str">
        <f t="shared" si="45"/>
        <v/>
      </c>
      <c r="AD422" s="328" t="str">
        <f t="shared" si="46"/>
        <v/>
      </c>
      <c r="AE422" s="329"/>
      <c r="AF422" s="362"/>
      <c r="AG422" s="362"/>
      <c r="AH422" s="371"/>
    </row>
    <row r="423" spans="1:34" ht="35.1" customHeight="1" thickBot="1" x14ac:dyDescent="0.4">
      <c r="A423" s="203">
        <v>42</v>
      </c>
      <c r="B423" s="392"/>
      <c r="C423" s="365"/>
      <c r="D423" s="330"/>
      <c r="E423" s="362"/>
      <c r="F423" s="362"/>
      <c r="G423" s="374"/>
      <c r="H423" s="368"/>
      <c r="I423" s="397"/>
      <c r="J423" s="398"/>
      <c r="K423" s="398"/>
      <c r="L423" s="398"/>
      <c r="M423" s="398"/>
      <c r="N423" s="399"/>
      <c r="O423" s="331"/>
      <c r="P423" s="362"/>
      <c r="Q423" s="365"/>
      <c r="R423" s="362"/>
      <c r="S423" s="365"/>
      <c r="T423" s="362"/>
      <c r="U423" s="368"/>
      <c r="V423" s="332">
        <f t="shared" si="47"/>
        <v>0</v>
      </c>
      <c r="W423" s="333"/>
      <c r="X423" s="334" t="str">
        <f t="shared" si="44"/>
        <v/>
      </c>
      <c r="Y423" s="334" t="str">
        <f>IF(V423=1,V423+MAX($Y$5:Y422),"")</f>
        <v/>
      </c>
      <c r="Z423" s="334"/>
      <c r="AA423" s="332" t="str">
        <f>IF(ISTEXT(W423),IF(ISTEXT(Z423),Z423,'Datasource 2'!$M$14),"")</f>
        <v/>
      </c>
      <c r="AB423" s="328"/>
      <c r="AC423" s="328" t="str">
        <f t="shared" si="45"/>
        <v/>
      </c>
      <c r="AD423" s="328" t="str">
        <f t="shared" si="46"/>
        <v/>
      </c>
      <c r="AE423" s="329"/>
      <c r="AF423" s="362"/>
      <c r="AG423" s="362"/>
      <c r="AH423" s="371"/>
    </row>
    <row r="424" spans="1:34" ht="35.1" customHeight="1" thickBot="1" x14ac:dyDescent="0.4">
      <c r="A424" s="203">
        <v>42</v>
      </c>
      <c r="B424" s="393"/>
      <c r="C424" s="366"/>
      <c r="D424" s="335"/>
      <c r="E424" s="363"/>
      <c r="F424" s="363"/>
      <c r="G424" s="375"/>
      <c r="H424" s="369"/>
      <c r="I424" s="400"/>
      <c r="J424" s="401"/>
      <c r="K424" s="401"/>
      <c r="L424" s="401"/>
      <c r="M424" s="401"/>
      <c r="N424" s="402"/>
      <c r="O424" s="336"/>
      <c r="P424" s="363"/>
      <c r="Q424" s="366"/>
      <c r="R424" s="363"/>
      <c r="S424" s="366"/>
      <c r="T424" s="363"/>
      <c r="U424" s="369"/>
      <c r="V424" s="337">
        <f t="shared" si="47"/>
        <v>0</v>
      </c>
      <c r="W424" s="338"/>
      <c r="X424" s="339" t="str">
        <f t="shared" si="44"/>
        <v/>
      </c>
      <c r="Y424" s="339" t="str">
        <f>IF(V424=1,V424+MAX($Y$5:Y423),"")</f>
        <v/>
      </c>
      <c r="Z424" s="339"/>
      <c r="AA424" s="337" t="str">
        <f>IF(ISTEXT(W424),IF(ISTEXT(Z424),Z424,'Datasource 2'!$M$14),"")</f>
        <v/>
      </c>
      <c r="AB424" s="339"/>
      <c r="AC424" s="328" t="str">
        <f t="shared" si="45"/>
        <v/>
      </c>
      <c r="AD424" s="328" t="str">
        <f t="shared" si="46"/>
        <v/>
      </c>
      <c r="AE424" s="340"/>
      <c r="AF424" s="363"/>
      <c r="AG424" s="363"/>
      <c r="AH424" s="372"/>
    </row>
    <row r="425" spans="1:34" ht="35.1" customHeight="1" thickBot="1" x14ac:dyDescent="0.4">
      <c r="A425" s="205">
        <v>43</v>
      </c>
      <c r="B425" s="412">
        <v>43</v>
      </c>
      <c r="C425" s="382"/>
      <c r="D425" s="257"/>
      <c r="E425" s="379"/>
      <c r="F425" s="379"/>
      <c r="G425" s="376"/>
      <c r="H425" s="385" t="e">
        <f>IF(VLOOKUP(G425,Trusselvurdering!$B$3:$P$28,15,FALSE)=0,VLOOKUP(G425,Trusselvurdering!$B$3:$P$28,14,FALSE),VLOOKUP(G425,Trusselvurdering!$B$3:$P$28,15,FALSE))</f>
        <v>#N/A</v>
      </c>
      <c r="I425" s="403"/>
      <c r="J425" s="404"/>
      <c r="K425" s="404"/>
      <c r="L425" s="404"/>
      <c r="M425" s="404"/>
      <c r="N425" s="405"/>
      <c r="O425" s="258"/>
      <c r="P425" s="379"/>
      <c r="Q425" s="382"/>
      <c r="R425" s="379"/>
      <c r="S425" s="382"/>
      <c r="T425" s="379"/>
      <c r="U425" s="385" t="e">
        <f>VLOOKUP(Risikovurdering_data!C423,Akseptkriterier!$C$33:$H$37,MATCH(Risikovurdering_data!D423,Akseptkriterier!$D$32:$H$32,0)+1,FALSE)</f>
        <v>#N/A</v>
      </c>
      <c r="V425" s="259">
        <f t="shared" si="47"/>
        <v>0</v>
      </c>
      <c r="W425" s="260"/>
      <c r="X425" s="261" t="str">
        <f t="shared" si="44"/>
        <v/>
      </c>
      <c r="Y425" s="261" t="str">
        <f>IF(V425=1,V425+MAX($Y$5:Y424),"")</f>
        <v/>
      </c>
      <c r="Z425" s="261"/>
      <c r="AA425" s="259" t="str">
        <f>IF(ISTEXT(W425),IF(ISTEXT(Z425),Z425,'Datasource 2'!$M$14),"")</f>
        <v/>
      </c>
      <c r="AB425" s="261"/>
      <c r="AC425" s="261" t="str">
        <f t="shared" si="45"/>
        <v/>
      </c>
      <c r="AD425" s="261" t="str">
        <f t="shared" si="46"/>
        <v/>
      </c>
      <c r="AE425" s="262"/>
      <c r="AF425" s="379"/>
      <c r="AG425" s="379"/>
      <c r="AH425" s="388" t="e">
        <f>VLOOKUP(Risikovurdering_data!F423,Akseptkriterier!$C$33:$H$37,MATCH(Risikovurdering_data!G423,Akseptkriterier!$D$32:$H$32,0)+1,FALSE)</f>
        <v>#N/A</v>
      </c>
    </row>
    <row r="426" spans="1:34" ht="35.1" customHeight="1" thickBot="1" x14ac:dyDescent="0.4">
      <c r="A426" s="203">
        <v>43</v>
      </c>
      <c r="B426" s="413"/>
      <c r="C426" s="383"/>
      <c r="D426" s="263"/>
      <c r="E426" s="380"/>
      <c r="F426" s="380"/>
      <c r="G426" s="377"/>
      <c r="H426" s="386"/>
      <c r="I426" s="406"/>
      <c r="J426" s="407"/>
      <c r="K426" s="407"/>
      <c r="L426" s="407"/>
      <c r="M426" s="407"/>
      <c r="N426" s="408"/>
      <c r="O426" s="264"/>
      <c r="P426" s="380"/>
      <c r="Q426" s="383"/>
      <c r="R426" s="380"/>
      <c r="S426" s="383"/>
      <c r="T426" s="380"/>
      <c r="U426" s="386"/>
      <c r="V426" s="265">
        <f t="shared" si="47"/>
        <v>0</v>
      </c>
      <c r="W426" s="266"/>
      <c r="X426" s="267" t="str">
        <f t="shared" si="44"/>
        <v/>
      </c>
      <c r="Y426" s="267" t="str">
        <f>IF(V426=1,V426+MAX($Y$5:Y425),"")</f>
        <v/>
      </c>
      <c r="Z426" s="267"/>
      <c r="AA426" s="265" t="str">
        <f>IF(ISTEXT(W426),IF(ISTEXT(Z426),Z426,'Datasource 2'!$M$14),"")</f>
        <v/>
      </c>
      <c r="AB426" s="261"/>
      <c r="AC426" s="261" t="str">
        <f t="shared" si="45"/>
        <v/>
      </c>
      <c r="AD426" s="261" t="str">
        <f t="shared" si="46"/>
        <v/>
      </c>
      <c r="AE426" s="262"/>
      <c r="AF426" s="380"/>
      <c r="AG426" s="380"/>
      <c r="AH426" s="389"/>
    </row>
    <row r="427" spans="1:34" ht="35.1" customHeight="1" thickBot="1" x14ac:dyDescent="0.4">
      <c r="A427" s="203">
        <v>43</v>
      </c>
      <c r="B427" s="413"/>
      <c r="C427" s="383"/>
      <c r="D427" s="263"/>
      <c r="E427" s="380"/>
      <c r="F427" s="380"/>
      <c r="G427" s="377"/>
      <c r="H427" s="386"/>
      <c r="I427" s="406"/>
      <c r="J427" s="407"/>
      <c r="K427" s="407"/>
      <c r="L427" s="407"/>
      <c r="M427" s="407"/>
      <c r="N427" s="408"/>
      <c r="O427" s="264"/>
      <c r="P427" s="380"/>
      <c r="Q427" s="383"/>
      <c r="R427" s="380"/>
      <c r="S427" s="383"/>
      <c r="T427" s="380"/>
      <c r="U427" s="386"/>
      <c r="V427" s="265">
        <f t="shared" si="47"/>
        <v>0</v>
      </c>
      <c r="W427" s="266"/>
      <c r="X427" s="267" t="str">
        <f t="shared" si="44"/>
        <v/>
      </c>
      <c r="Y427" s="267" t="str">
        <f>IF(V427=1,V427+MAX($Y$5:Y426),"")</f>
        <v/>
      </c>
      <c r="Z427" s="267"/>
      <c r="AA427" s="265" t="str">
        <f>IF(ISTEXT(W427),IF(ISTEXT(Z427),Z427,'Datasource 2'!$M$14),"")</f>
        <v/>
      </c>
      <c r="AB427" s="261"/>
      <c r="AC427" s="261" t="str">
        <f t="shared" si="45"/>
        <v/>
      </c>
      <c r="AD427" s="261" t="str">
        <f t="shared" si="46"/>
        <v/>
      </c>
      <c r="AE427" s="262"/>
      <c r="AF427" s="380"/>
      <c r="AG427" s="380"/>
      <c r="AH427" s="389"/>
    </row>
    <row r="428" spans="1:34" ht="35.1" customHeight="1" thickBot="1" x14ac:dyDescent="0.4">
      <c r="A428" s="203">
        <v>43</v>
      </c>
      <c r="B428" s="413"/>
      <c r="C428" s="383"/>
      <c r="D428" s="263"/>
      <c r="E428" s="380"/>
      <c r="F428" s="380"/>
      <c r="G428" s="377"/>
      <c r="H428" s="386"/>
      <c r="I428" s="406"/>
      <c r="J428" s="407"/>
      <c r="K428" s="407"/>
      <c r="L428" s="407"/>
      <c r="M428" s="407"/>
      <c r="N428" s="408"/>
      <c r="O428" s="264"/>
      <c r="P428" s="380"/>
      <c r="Q428" s="383"/>
      <c r="R428" s="380"/>
      <c r="S428" s="383"/>
      <c r="T428" s="380"/>
      <c r="U428" s="386"/>
      <c r="V428" s="265">
        <f t="shared" si="47"/>
        <v>0</v>
      </c>
      <c r="W428" s="266"/>
      <c r="X428" s="267" t="str">
        <f t="shared" si="44"/>
        <v/>
      </c>
      <c r="Y428" s="267" t="str">
        <f>IF(V428=1,V428+MAX($Y$5:Y427),"")</f>
        <v/>
      </c>
      <c r="Z428" s="267"/>
      <c r="AA428" s="265" t="str">
        <f>IF(ISTEXT(W428),IF(ISTEXT(Z428),Z428,'Datasource 2'!$M$14),"")</f>
        <v/>
      </c>
      <c r="AB428" s="261"/>
      <c r="AC428" s="261" t="str">
        <f t="shared" si="45"/>
        <v/>
      </c>
      <c r="AD428" s="261" t="str">
        <f t="shared" si="46"/>
        <v/>
      </c>
      <c r="AE428" s="262"/>
      <c r="AF428" s="380"/>
      <c r="AG428" s="380"/>
      <c r="AH428" s="389"/>
    </row>
    <row r="429" spans="1:34" ht="35.1" customHeight="1" thickBot="1" x14ac:dyDescent="0.4">
      <c r="A429" s="203">
        <v>43</v>
      </c>
      <c r="B429" s="413"/>
      <c r="C429" s="383"/>
      <c r="D429" s="263"/>
      <c r="E429" s="380"/>
      <c r="F429" s="380"/>
      <c r="G429" s="377"/>
      <c r="H429" s="386"/>
      <c r="I429" s="406"/>
      <c r="J429" s="407"/>
      <c r="K429" s="407"/>
      <c r="L429" s="407"/>
      <c r="M429" s="407"/>
      <c r="N429" s="408"/>
      <c r="O429" s="264"/>
      <c r="P429" s="380"/>
      <c r="Q429" s="383"/>
      <c r="R429" s="380"/>
      <c r="S429" s="383"/>
      <c r="T429" s="380"/>
      <c r="U429" s="386"/>
      <c r="V429" s="265">
        <f t="shared" si="47"/>
        <v>0</v>
      </c>
      <c r="W429" s="266"/>
      <c r="X429" s="267" t="str">
        <f t="shared" si="44"/>
        <v/>
      </c>
      <c r="Y429" s="267" t="str">
        <f>IF(V429=1,V429+MAX($Y$5:Y428),"")</f>
        <v/>
      </c>
      <c r="Z429" s="267"/>
      <c r="AA429" s="265" t="str">
        <f>IF(ISTEXT(W429),IF(ISTEXT(Z429),Z429,'Datasource 2'!$M$14),"")</f>
        <v/>
      </c>
      <c r="AB429" s="261"/>
      <c r="AC429" s="261" t="str">
        <f t="shared" si="45"/>
        <v/>
      </c>
      <c r="AD429" s="261" t="str">
        <f t="shared" si="46"/>
        <v/>
      </c>
      <c r="AE429" s="262"/>
      <c r="AF429" s="380"/>
      <c r="AG429" s="380"/>
      <c r="AH429" s="389"/>
    </row>
    <row r="430" spans="1:34" ht="35.1" customHeight="1" thickBot="1" x14ac:dyDescent="0.4">
      <c r="A430" s="203">
        <v>43</v>
      </c>
      <c r="B430" s="413"/>
      <c r="C430" s="383"/>
      <c r="D430" s="263"/>
      <c r="E430" s="380"/>
      <c r="F430" s="380"/>
      <c r="G430" s="377"/>
      <c r="H430" s="386"/>
      <c r="I430" s="406"/>
      <c r="J430" s="407"/>
      <c r="K430" s="407"/>
      <c r="L430" s="407"/>
      <c r="M430" s="407"/>
      <c r="N430" s="408"/>
      <c r="O430" s="264"/>
      <c r="P430" s="380"/>
      <c r="Q430" s="383"/>
      <c r="R430" s="380"/>
      <c r="S430" s="383"/>
      <c r="T430" s="380"/>
      <c r="U430" s="386"/>
      <c r="V430" s="265">
        <f t="shared" si="47"/>
        <v>0</v>
      </c>
      <c r="W430" s="266"/>
      <c r="X430" s="267" t="str">
        <f t="shared" si="44"/>
        <v/>
      </c>
      <c r="Y430" s="267" t="str">
        <f>IF(V430=1,V430+MAX($Y$5:Y429),"")</f>
        <v/>
      </c>
      <c r="Z430" s="267"/>
      <c r="AA430" s="265" t="str">
        <f>IF(ISTEXT(W430),IF(ISTEXT(Z430),Z430,'Datasource 2'!$M$14),"")</f>
        <v/>
      </c>
      <c r="AB430" s="261"/>
      <c r="AC430" s="261" t="str">
        <f t="shared" si="45"/>
        <v/>
      </c>
      <c r="AD430" s="261" t="str">
        <f t="shared" si="46"/>
        <v/>
      </c>
      <c r="AE430" s="262"/>
      <c r="AF430" s="380"/>
      <c r="AG430" s="380"/>
      <c r="AH430" s="389"/>
    </row>
    <row r="431" spans="1:34" ht="35.1" customHeight="1" thickBot="1" x14ac:dyDescent="0.4">
      <c r="A431" s="203">
        <v>43</v>
      </c>
      <c r="B431" s="413"/>
      <c r="C431" s="383"/>
      <c r="D431" s="263"/>
      <c r="E431" s="380"/>
      <c r="F431" s="380"/>
      <c r="G431" s="377"/>
      <c r="H431" s="386"/>
      <c r="I431" s="406"/>
      <c r="J431" s="407"/>
      <c r="K431" s="407"/>
      <c r="L431" s="407"/>
      <c r="M431" s="407"/>
      <c r="N431" s="408"/>
      <c r="O431" s="264"/>
      <c r="P431" s="380"/>
      <c r="Q431" s="383"/>
      <c r="R431" s="380"/>
      <c r="S431" s="383"/>
      <c r="T431" s="380"/>
      <c r="U431" s="386"/>
      <c r="V431" s="265">
        <f t="shared" si="47"/>
        <v>0</v>
      </c>
      <c r="W431" s="266"/>
      <c r="X431" s="267" t="str">
        <f t="shared" si="44"/>
        <v/>
      </c>
      <c r="Y431" s="267" t="str">
        <f>IF(V431=1,V431+MAX($Y$5:Y430),"")</f>
        <v/>
      </c>
      <c r="Z431" s="267"/>
      <c r="AA431" s="265" t="str">
        <f>IF(ISTEXT(W431),IF(ISTEXT(Z431),Z431,'Datasource 2'!$M$14),"")</f>
        <v/>
      </c>
      <c r="AB431" s="261"/>
      <c r="AC431" s="261" t="str">
        <f t="shared" si="45"/>
        <v/>
      </c>
      <c r="AD431" s="261" t="str">
        <f t="shared" si="46"/>
        <v/>
      </c>
      <c r="AE431" s="262"/>
      <c r="AF431" s="380"/>
      <c r="AG431" s="380"/>
      <c r="AH431" s="389"/>
    </row>
    <row r="432" spans="1:34" ht="35.1" customHeight="1" thickBot="1" x14ac:dyDescent="0.4">
      <c r="A432" s="203">
        <v>43</v>
      </c>
      <c r="B432" s="413"/>
      <c r="C432" s="383"/>
      <c r="D432" s="263"/>
      <c r="E432" s="380"/>
      <c r="F432" s="380"/>
      <c r="G432" s="377"/>
      <c r="H432" s="386"/>
      <c r="I432" s="406"/>
      <c r="J432" s="407"/>
      <c r="K432" s="407"/>
      <c r="L432" s="407"/>
      <c r="M432" s="407"/>
      <c r="N432" s="408"/>
      <c r="O432" s="264"/>
      <c r="P432" s="380"/>
      <c r="Q432" s="383"/>
      <c r="R432" s="380"/>
      <c r="S432" s="383"/>
      <c r="T432" s="380"/>
      <c r="U432" s="386"/>
      <c r="V432" s="265">
        <f t="shared" si="47"/>
        <v>0</v>
      </c>
      <c r="W432" s="266"/>
      <c r="X432" s="267" t="str">
        <f t="shared" si="44"/>
        <v/>
      </c>
      <c r="Y432" s="267" t="str">
        <f>IF(V432=1,V432+MAX($Y$5:Y431),"")</f>
        <v/>
      </c>
      <c r="Z432" s="267"/>
      <c r="AA432" s="265" t="str">
        <f>IF(ISTEXT(W432),IF(ISTEXT(Z432),Z432,'Datasource 2'!$M$14),"")</f>
        <v/>
      </c>
      <c r="AB432" s="261"/>
      <c r="AC432" s="261" t="str">
        <f t="shared" si="45"/>
        <v/>
      </c>
      <c r="AD432" s="261" t="str">
        <f t="shared" si="46"/>
        <v/>
      </c>
      <c r="AE432" s="262"/>
      <c r="AF432" s="380"/>
      <c r="AG432" s="380"/>
      <c r="AH432" s="389"/>
    </row>
    <row r="433" spans="1:34" ht="35.1" customHeight="1" thickBot="1" x14ac:dyDescent="0.4">
      <c r="A433" s="203">
        <v>43</v>
      </c>
      <c r="B433" s="413"/>
      <c r="C433" s="383"/>
      <c r="D433" s="263"/>
      <c r="E433" s="380"/>
      <c r="F433" s="380"/>
      <c r="G433" s="377"/>
      <c r="H433" s="386"/>
      <c r="I433" s="406"/>
      <c r="J433" s="407"/>
      <c r="K433" s="407"/>
      <c r="L433" s="407"/>
      <c r="M433" s="407"/>
      <c r="N433" s="408"/>
      <c r="O433" s="264"/>
      <c r="P433" s="380"/>
      <c r="Q433" s="383"/>
      <c r="R433" s="380"/>
      <c r="S433" s="383"/>
      <c r="T433" s="380"/>
      <c r="U433" s="386"/>
      <c r="V433" s="265">
        <f t="shared" si="47"/>
        <v>0</v>
      </c>
      <c r="W433" s="266"/>
      <c r="X433" s="267" t="str">
        <f t="shared" si="44"/>
        <v/>
      </c>
      <c r="Y433" s="267" t="str">
        <f>IF(V433=1,V433+MAX($Y$5:Y432),"")</f>
        <v/>
      </c>
      <c r="Z433" s="267"/>
      <c r="AA433" s="265" t="str">
        <f>IF(ISTEXT(W433),IF(ISTEXT(Z433),Z433,'Datasource 2'!$M$14),"")</f>
        <v/>
      </c>
      <c r="AB433" s="261"/>
      <c r="AC433" s="261" t="str">
        <f t="shared" si="45"/>
        <v/>
      </c>
      <c r="AD433" s="261" t="str">
        <f t="shared" si="46"/>
        <v/>
      </c>
      <c r="AE433" s="262"/>
      <c r="AF433" s="380"/>
      <c r="AG433" s="380"/>
      <c r="AH433" s="389"/>
    </row>
    <row r="434" spans="1:34" ht="35.1" customHeight="1" thickBot="1" x14ac:dyDescent="0.4">
      <c r="A434" s="203">
        <v>43</v>
      </c>
      <c r="B434" s="414"/>
      <c r="C434" s="384"/>
      <c r="D434" s="268"/>
      <c r="E434" s="381"/>
      <c r="F434" s="381"/>
      <c r="G434" s="378"/>
      <c r="H434" s="387"/>
      <c r="I434" s="409"/>
      <c r="J434" s="410"/>
      <c r="K434" s="410"/>
      <c r="L434" s="410"/>
      <c r="M434" s="410"/>
      <c r="N434" s="411"/>
      <c r="O434" s="269"/>
      <c r="P434" s="381"/>
      <c r="Q434" s="384"/>
      <c r="R434" s="381"/>
      <c r="S434" s="384"/>
      <c r="T434" s="381"/>
      <c r="U434" s="387"/>
      <c r="V434" s="270">
        <f t="shared" si="47"/>
        <v>0</v>
      </c>
      <c r="W434" s="271"/>
      <c r="X434" s="272" t="str">
        <f t="shared" si="44"/>
        <v/>
      </c>
      <c r="Y434" s="272" t="str">
        <f>IF(V434=1,V434+MAX($Y$5:Y433),"")</f>
        <v/>
      </c>
      <c r="Z434" s="272"/>
      <c r="AA434" s="270" t="str">
        <f>IF(ISTEXT(W434),IF(ISTEXT(Z434),Z434,'Datasource 2'!$M$14),"")</f>
        <v/>
      </c>
      <c r="AB434" s="273"/>
      <c r="AC434" s="261" t="str">
        <f t="shared" si="45"/>
        <v/>
      </c>
      <c r="AD434" s="261" t="str">
        <f t="shared" si="46"/>
        <v/>
      </c>
      <c r="AE434" s="274"/>
      <c r="AF434" s="381"/>
      <c r="AG434" s="381"/>
      <c r="AH434" s="390"/>
    </row>
    <row r="435" spans="1:34" ht="35.1" customHeight="1" thickBot="1" x14ac:dyDescent="0.4">
      <c r="A435" s="205">
        <v>44</v>
      </c>
      <c r="B435" s="391">
        <v>44</v>
      </c>
      <c r="C435" s="364"/>
      <c r="D435" s="323"/>
      <c r="E435" s="361"/>
      <c r="F435" s="361"/>
      <c r="G435" s="373"/>
      <c r="H435" s="367" t="e">
        <f>IF(VLOOKUP(G435,Trusselvurdering!$B$3:$P$28,15,FALSE)=0,VLOOKUP(G435,Trusselvurdering!$B$3:$P$28,14,FALSE),VLOOKUP(G435,Trusselvurdering!$B$3:$P$28,15,FALSE))</f>
        <v>#N/A</v>
      </c>
      <c r="I435" s="394"/>
      <c r="J435" s="395"/>
      <c r="K435" s="395"/>
      <c r="L435" s="395"/>
      <c r="M435" s="395"/>
      <c r="N435" s="396"/>
      <c r="O435" s="324"/>
      <c r="P435" s="361"/>
      <c r="Q435" s="364"/>
      <c r="R435" s="361"/>
      <c r="S435" s="364"/>
      <c r="T435" s="361"/>
      <c r="U435" s="367" t="e">
        <f>VLOOKUP(Risikovurdering_data!C433,Akseptkriterier!$C$33:$H$37,MATCH(Risikovurdering_data!D433,Akseptkriterier!$D$32:$H$32,0)+1,FALSE)</f>
        <v>#N/A</v>
      </c>
      <c r="V435" s="325">
        <f t="shared" si="47"/>
        <v>0</v>
      </c>
      <c r="W435" s="326"/>
      <c r="X435" s="327" t="str">
        <f t="shared" si="44"/>
        <v/>
      </c>
      <c r="Y435" s="327" t="str">
        <f>IF(V435=1,V435+MAX($Y$5:Y434),"")</f>
        <v/>
      </c>
      <c r="Z435" s="327"/>
      <c r="AA435" s="325" t="str">
        <f>IF(ISTEXT(W435),IF(ISTEXT(Z435),Z435,'Datasource 2'!$M$14),"")</f>
        <v/>
      </c>
      <c r="AB435" s="328"/>
      <c r="AC435" s="328" t="str">
        <f t="shared" si="45"/>
        <v/>
      </c>
      <c r="AD435" s="328" t="str">
        <f t="shared" si="46"/>
        <v/>
      </c>
      <c r="AE435" s="329"/>
      <c r="AF435" s="361"/>
      <c r="AG435" s="361"/>
      <c r="AH435" s="370" t="e">
        <f>VLOOKUP(Risikovurdering_data!F433,Akseptkriterier!$C$33:$H$37,MATCH(Risikovurdering_data!G433,Akseptkriterier!$D$32:$H$32,0)+1,FALSE)</f>
        <v>#N/A</v>
      </c>
    </row>
    <row r="436" spans="1:34" ht="35.1" customHeight="1" thickBot="1" x14ac:dyDescent="0.4">
      <c r="A436" s="203">
        <v>44</v>
      </c>
      <c r="B436" s="392"/>
      <c r="C436" s="365"/>
      <c r="D436" s="330"/>
      <c r="E436" s="362"/>
      <c r="F436" s="362"/>
      <c r="G436" s="374"/>
      <c r="H436" s="368"/>
      <c r="I436" s="397"/>
      <c r="J436" s="398"/>
      <c r="K436" s="398"/>
      <c r="L436" s="398"/>
      <c r="M436" s="398"/>
      <c r="N436" s="399"/>
      <c r="O436" s="331"/>
      <c r="P436" s="362"/>
      <c r="Q436" s="365"/>
      <c r="R436" s="362"/>
      <c r="S436" s="365"/>
      <c r="T436" s="362"/>
      <c r="U436" s="368"/>
      <c r="V436" s="332">
        <f t="shared" si="47"/>
        <v>0</v>
      </c>
      <c r="W436" s="333"/>
      <c r="X436" s="334" t="str">
        <f t="shared" si="44"/>
        <v/>
      </c>
      <c r="Y436" s="334" t="str">
        <f>IF(V436=1,V436+MAX($Y$5:Y435),"")</f>
        <v/>
      </c>
      <c r="Z436" s="334"/>
      <c r="AA436" s="332" t="str">
        <f>IF(ISTEXT(W436),IF(ISTEXT(Z436),Z436,'Datasource 2'!$M$14),"")</f>
        <v/>
      </c>
      <c r="AB436" s="328"/>
      <c r="AC436" s="328" t="str">
        <f t="shared" si="45"/>
        <v/>
      </c>
      <c r="AD436" s="328" t="str">
        <f t="shared" si="46"/>
        <v/>
      </c>
      <c r="AE436" s="329"/>
      <c r="AF436" s="362"/>
      <c r="AG436" s="362"/>
      <c r="AH436" s="371"/>
    </row>
    <row r="437" spans="1:34" ht="35.1" customHeight="1" thickBot="1" x14ac:dyDescent="0.4">
      <c r="A437" s="203">
        <v>44</v>
      </c>
      <c r="B437" s="392"/>
      <c r="C437" s="365"/>
      <c r="D437" s="330"/>
      <c r="E437" s="362"/>
      <c r="F437" s="362"/>
      <c r="G437" s="374"/>
      <c r="H437" s="368"/>
      <c r="I437" s="397"/>
      <c r="J437" s="398"/>
      <c r="K437" s="398"/>
      <c r="L437" s="398"/>
      <c r="M437" s="398"/>
      <c r="N437" s="399"/>
      <c r="O437" s="331"/>
      <c r="P437" s="362"/>
      <c r="Q437" s="365"/>
      <c r="R437" s="362"/>
      <c r="S437" s="365"/>
      <c r="T437" s="362"/>
      <c r="U437" s="368"/>
      <c r="V437" s="332">
        <f t="shared" si="47"/>
        <v>0</v>
      </c>
      <c r="W437" s="333"/>
      <c r="X437" s="334" t="str">
        <f t="shared" si="44"/>
        <v/>
      </c>
      <c r="Y437" s="334" t="str">
        <f>IF(V437=1,V437+MAX($Y$5:Y436),"")</f>
        <v/>
      </c>
      <c r="Z437" s="334"/>
      <c r="AA437" s="332" t="str">
        <f>IF(ISTEXT(W437),IF(ISTEXT(Z437),Z437,'Datasource 2'!$M$14),"")</f>
        <v/>
      </c>
      <c r="AB437" s="328"/>
      <c r="AC437" s="328" t="str">
        <f t="shared" si="45"/>
        <v/>
      </c>
      <c r="AD437" s="328" t="str">
        <f t="shared" si="46"/>
        <v/>
      </c>
      <c r="AE437" s="329"/>
      <c r="AF437" s="362"/>
      <c r="AG437" s="362"/>
      <c r="AH437" s="371"/>
    </row>
    <row r="438" spans="1:34" ht="35.1" customHeight="1" thickBot="1" x14ac:dyDescent="0.4">
      <c r="A438" s="203">
        <v>44</v>
      </c>
      <c r="B438" s="392"/>
      <c r="C438" s="365"/>
      <c r="D438" s="330"/>
      <c r="E438" s="362"/>
      <c r="F438" s="362"/>
      <c r="G438" s="374"/>
      <c r="H438" s="368"/>
      <c r="I438" s="397"/>
      <c r="J438" s="398"/>
      <c r="K438" s="398"/>
      <c r="L438" s="398"/>
      <c r="M438" s="398"/>
      <c r="N438" s="399"/>
      <c r="O438" s="331"/>
      <c r="P438" s="362"/>
      <c r="Q438" s="365"/>
      <c r="R438" s="362"/>
      <c r="S438" s="365"/>
      <c r="T438" s="362"/>
      <c r="U438" s="368"/>
      <c r="V438" s="332">
        <f t="shared" si="47"/>
        <v>0</v>
      </c>
      <c r="W438" s="333"/>
      <c r="X438" s="334" t="str">
        <f t="shared" si="44"/>
        <v/>
      </c>
      <c r="Y438" s="334" t="str">
        <f>IF(V438=1,V438+MAX($Y$5:Y437),"")</f>
        <v/>
      </c>
      <c r="Z438" s="334"/>
      <c r="AA438" s="332" t="str">
        <f>IF(ISTEXT(W438),IF(ISTEXT(Z438),Z438,'Datasource 2'!$M$14),"")</f>
        <v/>
      </c>
      <c r="AB438" s="328"/>
      <c r="AC438" s="328" t="str">
        <f t="shared" si="45"/>
        <v/>
      </c>
      <c r="AD438" s="328" t="str">
        <f t="shared" si="46"/>
        <v/>
      </c>
      <c r="AE438" s="329"/>
      <c r="AF438" s="362"/>
      <c r="AG438" s="362"/>
      <c r="AH438" s="371"/>
    </row>
    <row r="439" spans="1:34" ht="35.1" customHeight="1" thickBot="1" x14ac:dyDescent="0.4">
      <c r="A439" s="203">
        <v>44</v>
      </c>
      <c r="B439" s="392"/>
      <c r="C439" s="365"/>
      <c r="D439" s="330"/>
      <c r="E439" s="362"/>
      <c r="F439" s="362"/>
      <c r="G439" s="374"/>
      <c r="H439" s="368"/>
      <c r="I439" s="397"/>
      <c r="J439" s="398"/>
      <c r="K439" s="398"/>
      <c r="L439" s="398"/>
      <c r="M439" s="398"/>
      <c r="N439" s="399"/>
      <c r="O439" s="331"/>
      <c r="P439" s="362"/>
      <c r="Q439" s="365"/>
      <c r="R439" s="362"/>
      <c r="S439" s="365"/>
      <c r="T439" s="362"/>
      <c r="U439" s="368"/>
      <c r="V439" s="332">
        <f t="shared" si="47"/>
        <v>0</v>
      </c>
      <c r="W439" s="333"/>
      <c r="X439" s="334" t="str">
        <f t="shared" si="44"/>
        <v/>
      </c>
      <c r="Y439" s="334" t="str">
        <f>IF(V439=1,V439+MAX($Y$5:Y438),"")</f>
        <v/>
      </c>
      <c r="Z439" s="334"/>
      <c r="AA439" s="332" t="str">
        <f>IF(ISTEXT(W439),IF(ISTEXT(Z439),Z439,'Datasource 2'!$M$14),"")</f>
        <v/>
      </c>
      <c r="AB439" s="328"/>
      <c r="AC439" s="328" t="str">
        <f t="shared" si="45"/>
        <v/>
      </c>
      <c r="AD439" s="328" t="str">
        <f t="shared" si="46"/>
        <v/>
      </c>
      <c r="AE439" s="329"/>
      <c r="AF439" s="362"/>
      <c r="AG439" s="362"/>
      <c r="AH439" s="371"/>
    </row>
    <row r="440" spans="1:34" ht="35.1" customHeight="1" thickBot="1" x14ac:dyDescent="0.4">
      <c r="A440" s="203">
        <v>44</v>
      </c>
      <c r="B440" s="392"/>
      <c r="C440" s="365"/>
      <c r="D440" s="330"/>
      <c r="E440" s="362"/>
      <c r="F440" s="362"/>
      <c r="G440" s="374"/>
      <c r="H440" s="368"/>
      <c r="I440" s="397"/>
      <c r="J440" s="398"/>
      <c r="K440" s="398"/>
      <c r="L440" s="398"/>
      <c r="M440" s="398"/>
      <c r="N440" s="399"/>
      <c r="O440" s="331"/>
      <c r="P440" s="362"/>
      <c r="Q440" s="365"/>
      <c r="R440" s="362"/>
      <c r="S440" s="365"/>
      <c r="T440" s="362"/>
      <c r="U440" s="368"/>
      <c r="V440" s="332">
        <f t="shared" si="47"/>
        <v>0</v>
      </c>
      <c r="W440" s="333"/>
      <c r="X440" s="334" t="str">
        <f t="shared" si="44"/>
        <v/>
      </c>
      <c r="Y440" s="334" t="str">
        <f>IF(V440=1,V440+MAX($Y$5:Y439),"")</f>
        <v/>
      </c>
      <c r="Z440" s="334"/>
      <c r="AA440" s="332" t="str">
        <f>IF(ISTEXT(W440),IF(ISTEXT(Z440),Z440,'Datasource 2'!$M$14),"")</f>
        <v/>
      </c>
      <c r="AB440" s="328"/>
      <c r="AC440" s="328" t="str">
        <f t="shared" si="45"/>
        <v/>
      </c>
      <c r="AD440" s="328" t="str">
        <f t="shared" si="46"/>
        <v/>
      </c>
      <c r="AE440" s="329"/>
      <c r="AF440" s="362"/>
      <c r="AG440" s="362"/>
      <c r="AH440" s="371"/>
    </row>
    <row r="441" spans="1:34" ht="35.1" customHeight="1" thickBot="1" x14ac:dyDescent="0.4">
      <c r="A441" s="203">
        <v>44</v>
      </c>
      <c r="B441" s="392"/>
      <c r="C441" s="365"/>
      <c r="D441" s="330"/>
      <c r="E441" s="362"/>
      <c r="F441" s="362"/>
      <c r="G441" s="374"/>
      <c r="H441" s="368"/>
      <c r="I441" s="397"/>
      <c r="J441" s="398"/>
      <c r="K441" s="398"/>
      <c r="L441" s="398"/>
      <c r="M441" s="398"/>
      <c r="N441" s="399"/>
      <c r="O441" s="331"/>
      <c r="P441" s="362"/>
      <c r="Q441" s="365"/>
      <c r="R441" s="362"/>
      <c r="S441" s="365"/>
      <c r="T441" s="362"/>
      <c r="U441" s="368"/>
      <c r="V441" s="332">
        <f t="shared" si="47"/>
        <v>0</v>
      </c>
      <c r="W441" s="333"/>
      <c r="X441" s="334" t="str">
        <f t="shared" si="44"/>
        <v/>
      </c>
      <c r="Y441" s="334" t="str">
        <f>IF(V441=1,V441+MAX($Y$5:Y440),"")</f>
        <v/>
      </c>
      <c r="Z441" s="334"/>
      <c r="AA441" s="332" t="str">
        <f>IF(ISTEXT(W441),IF(ISTEXT(Z441),Z441,'Datasource 2'!$M$14),"")</f>
        <v/>
      </c>
      <c r="AB441" s="328"/>
      <c r="AC441" s="328" t="str">
        <f t="shared" si="45"/>
        <v/>
      </c>
      <c r="AD441" s="328" t="str">
        <f t="shared" si="46"/>
        <v/>
      </c>
      <c r="AE441" s="329"/>
      <c r="AF441" s="362"/>
      <c r="AG441" s="362"/>
      <c r="AH441" s="371"/>
    </row>
    <row r="442" spans="1:34" ht="35.1" customHeight="1" thickBot="1" x14ac:dyDescent="0.4">
      <c r="A442" s="203">
        <v>44</v>
      </c>
      <c r="B442" s="392"/>
      <c r="C442" s="365"/>
      <c r="D442" s="330"/>
      <c r="E442" s="362"/>
      <c r="F442" s="362"/>
      <c r="G442" s="374"/>
      <c r="H442" s="368"/>
      <c r="I442" s="397"/>
      <c r="J442" s="398"/>
      <c r="K442" s="398"/>
      <c r="L442" s="398"/>
      <c r="M442" s="398"/>
      <c r="N442" s="399"/>
      <c r="O442" s="331"/>
      <c r="P442" s="362"/>
      <c r="Q442" s="365"/>
      <c r="R442" s="362"/>
      <c r="S442" s="365"/>
      <c r="T442" s="362"/>
      <c r="U442" s="368"/>
      <c r="V442" s="332">
        <f t="shared" si="47"/>
        <v>0</v>
      </c>
      <c r="W442" s="333"/>
      <c r="X442" s="334" t="str">
        <f t="shared" si="44"/>
        <v/>
      </c>
      <c r="Y442" s="334" t="str">
        <f>IF(V442=1,V442+MAX($Y$5:Y441),"")</f>
        <v/>
      </c>
      <c r="Z442" s="334"/>
      <c r="AA442" s="332" t="str">
        <f>IF(ISTEXT(W442),IF(ISTEXT(Z442),Z442,'Datasource 2'!$M$14),"")</f>
        <v/>
      </c>
      <c r="AB442" s="328"/>
      <c r="AC442" s="328" t="str">
        <f t="shared" si="45"/>
        <v/>
      </c>
      <c r="AD442" s="328" t="str">
        <f t="shared" si="46"/>
        <v/>
      </c>
      <c r="AE442" s="329"/>
      <c r="AF442" s="362"/>
      <c r="AG442" s="362"/>
      <c r="AH442" s="371"/>
    </row>
    <row r="443" spans="1:34" ht="35.1" customHeight="1" thickBot="1" x14ac:dyDescent="0.4">
      <c r="A443" s="203">
        <v>44</v>
      </c>
      <c r="B443" s="392"/>
      <c r="C443" s="365"/>
      <c r="D443" s="330"/>
      <c r="E443" s="362"/>
      <c r="F443" s="362"/>
      <c r="G443" s="374"/>
      <c r="H443" s="368"/>
      <c r="I443" s="397"/>
      <c r="J443" s="398"/>
      <c r="K443" s="398"/>
      <c r="L443" s="398"/>
      <c r="M443" s="398"/>
      <c r="N443" s="399"/>
      <c r="O443" s="331"/>
      <c r="P443" s="362"/>
      <c r="Q443" s="365"/>
      <c r="R443" s="362"/>
      <c r="S443" s="365"/>
      <c r="T443" s="362"/>
      <c r="U443" s="368"/>
      <c r="V443" s="332">
        <f t="shared" si="47"/>
        <v>0</v>
      </c>
      <c r="W443" s="333"/>
      <c r="X443" s="334" t="str">
        <f t="shared" si="44"/>
        <v/>
      </c>
      <c r="Y443" s="334" t="str">
        <f>IF(V443=1,V443+MAX($Y$5:Y442),"")</f>
        <v/>
      </c>
      <c r="Z443" s="334"/>
      <c r="AA443" s="332" t="str">
        <f>IF(ISTEXT(W443),IF(ISTEXT(Z443),Z443,'Datasource 2'!$M$14),"")</f>
        <v/>
      </c>
      <c r="AB443" s="328"/>
      <c r="AC443" s="328" t="str">
        <f t="shared" si="45"/>
        <v/>
      </c>
      <c r="AD443" s="328" t="str">
        <f t="shared" si="46"/>
        <v/>
      </c>
      <c r="AE443" s="329"/>
      <c r="AF443" s="362"/>
      <c r="AG443" s="362"/>
      <c r="AH443" s="371"/>
    </row>
    <row r="444" spans="1:34" ht="35.1" customHeight="1" thickBot="1" x14ac:dyDescent="0.4">
      <c r="A444" s="203">
        <v>44</v>
      </c>
      <c r="B444" s="393"/>
      <c r="C444" s="366"/>
      <c r="D444" s="335"/>
      <c r="E444" s="363"/>
      <c r="F444" s="363"/>
      <c r="G444" s="375"/>
      <c r="H444" s="369"/>
      <c r="I444" s="400"/>
      <c r="J444" s="401"/>
      <c r="K444" s="401"/>
      <c r="L444" s="401"/>
      <c r="M444" s="401"/>
      <c r="N444" s="402"/>
      <c r="O444" s="336"/>
      <c r="P444" s="363"/>
      <c r="Q444" s="366"/>
      <c r="R444" s="363"/>
      <c r="S444" s="366"/>
      <c r="T444" s="363"/>
      <c r="U444" s="369"/>
      <c r="V444" s="337">
        <f t="shared" si="47"/>
        <v>0</v>
      </c>
      <c r="W444" s="338"/>
      <c r="X444" s="339" t="str">
        <f t="shared" si="44"/>
        <v/>
      </c>
      <c r="Y444" s="339" t="str">
        <f>IF(V444=1,V444+MAX($Y$5:Y443),"")</f>
        <v/>
      </c>
      <c r="Z444" s="339"/>
      <c r="AA444" s="337" t="str">
        <f>IF(ISTEXT(W444),IF(ISTEXT(Z444),Z444,'Datasource 2'!$M$14),"")</f>
        <v/>
      </c>
      <c r="AB444" s="339"/>
      <c r="AC444" s="328" t="str">
        <f t="shared" si="45"/>
        <v/>
      </c>
      <c r="AD444" s="328" t="str">
        <f t="shared" si="46"/>
        <v/>
      </c>
      <c r="AE444" s="340"/>
      <c r="AF444" s="363"/>
      <c r="AG444" s="363"/>
      <c r="AH444" s="372"/>
    </row>
    <row r="445" spans="1:34" ht="35.1" customHeight="1" thickBot="1" x14ac:dyDescent="0.4">
      <c r="A445" s="205">
        <v>45</v>
      </c>
      <c r="B445" s="412">
        <v>45</v>
      </c>
      <c r="C445" s="382"/>
      <c r="D445" s="257"/>
      <c r="E445" s="379"/>
      <c r="F445" s="379"/>
      <c r="G445" s="376"/>
      <c r="H445" s="385" t="e">
        <f>IF(VLOOKUP(G445,Trusselvurdering!$B$3:$P$28,15,FALSE)=0,VLOOKUP(G445,Trusselvurdering!$B$3:$P$28,14,FALSE),VLOOKUP(G445,Trusselvurdering!$B$3:$P$28,15,FALSE))</f>
        <v>#N/A</v>
      </c>
      <c r="I445" s="403"/>
      <c r="J445" s="404"/>
      <c r="K445" s="404"/>
      <c r="L445" s="404"/>
      <c r="M445" s="404"/>
      <c r="N445" s="405"/>
      <c r="O445" s="258"/>
      <c r="P445" s="379"/>
      <c r="Q445" s="382"/>
      <c r="R445" s="379"/>
      <c r="S445" s="382"/>
      <c r="T445" s="379"/>
      <c r="U445" s="385" t="e">
        <f>VLOOKUP(Risikovurdering_data!C443,Akseptkriterier!$C$33:$H$37,MATCH(Risikovurdering_data!D443,Akseptkriterier!$D$32:$H$32,0)+1,FALSE)</f>
        <v>#N/A</v>
      </c>
      <c r="V445" s="259">
        <f t="shared" si="47"/>
        <v>0</v>
      </c>
      <c r="W445" s="260"/>
      <c r="X445" s="261" t="str">
        <f t="shared" si="44"/>
        <v/>
      </c>
      <c r="Y445" s="261" t="str">
        <f>IF(V445=1,V445+MAX($Y$5:Y444),"")</f>
        <v/>
      </c>
      <c r="Z445" s="261"/>
      <c r="AA445" s="259" t="str">
        <f>IF(ISTEXT(W445),IF(ISTEXT(Z445),Z445,'Datasource 2'!$M$14),"")</f>
        <v/>
      </c>
      <c r="AB445" s="261"/>
      <c r="AC445" s="261" t="str">
        <f t="shared" si="45"/>
        <v/>
      </c>
      <c r="AD445" s="261" t="str">
        <f t="shared" si="46"/>
        <v/>
      </c>
      <c r="AE445" s="262"/>
      <c r="AF445" s="379"/>
      <c r="AG445" s="379"/>
      <c r="AH445" s="388" t="e">
        <f>VLOOKUP(Risikovurdering_data!F443,Akseptkriterier!$C$33:$H$37,MATCH(Risikovurdering_data!G443,Akseptkriterier!$D$32:$H$32,0)+1,FALSE)</f>
        <v>#N/A</v>
      </c>
    </row>
    <row r="446" spans="1:34" ht="35.1" customHeight="1" thickBot="1" x14ac:dyDescent="0.4">
      <c r="A446" s="203">
        <v>45</v>
      </c>
      <c r="B446" s="413"/>
      <c r="C446" s="383"/>
      <c r="D446" s="263"/>
      <c r="E446" s="380"/>
      <c r="F446" s="380"/>
      <c r="G446" s="377"/>
      <c r="H446" s="386"/>
      <c r="I446" s="406"/>
      <c r="J446" s="407"/>
      <c r="K446" s="407"/>
      <c r="L446" s="407"/>
      <c r="M446" s="407"/>
      <c r="N446" s="408"/>
      <c r="O446" s="264"/>
      <c r="P446" s="380"/>
      <c r="Q446" s="383"/>
      <c r="R446" s="380"/>
      <c r="S446" s="383"/>
      <c r="T446" s="380"/>
      <c r="U446" s="386"/>
      <c r="V446" s="265">
        <f t="shared" si="47"/>
        <v>0</v>
      </c>
      <c r="W446" s="266"/>
      <c r="X446" s="267" t="str">
        <f t="shared" si="44"/>
        <v/>
      </c>
      <c r="Y446" s="267" t="str">
        <f>IF(V446=1,V446+MAX($Y$5:Y445),"")</f>
        <v/>
      </c>
      <c r="Z446" s="267"/>
      <c r="AA446" s="265" t="str">
        <f>IF(ISTEXT(W446),IF(ISTEXT(Z446),Z446,'Datasource 2'!$M$14),"")</f>
        <v/>
      </c>
      <c r="AB446" s="261"/>
      <c r="AC446" s="261" t="str">
        <f t="shared" si="45"/>
        <v/>
      </c>
      <c r="AD446" s="261" t="str">
        <f t="shared" si="46"/>
        <v/>
      </c>
      <c r="AE446" s="262"/>
      <c r="AF446" s="380"/>
      <c r="AG446" s="380"/>
      <c r="AH446" s="389"/>
    </row>
    <row r="447" spans="1:34" ht="35.1" customHeight="1" thickBot="1" x14ac:dyDescent="0.4">
      <c r="A447" s="203">
        <v>45</v>
      </c>
      <c r="B447" s="413"/>
      <c r="C447" s="383"/>
      <c r="D447" s="263"/>
      <c r="E447" s="380"/>
      <c r="F447" s="380"/>
      <c r="G447" s="377"/>
      <c r="H447" s="386"/>
      <c r="I447" s="406"/>
      <c r="J447" s="407"/>
      <c r="K447" s="407"/>
      <c r="L447" s="407"/>
      <c r="M447" s="407"/>
      <c r="N447" s="408"/>
      <c r="O447" s="264"/>
      <c r="P447" s="380"/>
      <c r="Q447" s="383"/>
      <c r="R447" s="380"/>
      <c r="S447" s="383"/>
      <c r="T447" s="380"/>
      <c r="U447" s="386"/>
      <c r="V447" s="265">
        <f t="shared" si="47"/>
        <v>0</v>
      </c>
      <c r="W447" s="266"/>
      <c r="X447" s="267" t="str">
        <f t="shared" si="44"/>
        <v/>
      </c>
      <c r="Y447" s="267" t="str">
        <f>IF(V447=1,V447+MAX($Y$5:Y446),"")</f>
        <v/>
      </c>
      <c r="Z447" s="267"/>
      <c r="AA447" s="265" t="str">
        <f>IF(ISTEXT(W447),IF(ISTEXT(Z447),Z447,'Datasource 2'!$M$14),"")</f>
        <v/>
      </c>
      <c r="AB447" s="261"/>
      <c r="AC447" s="261" t="str">
        <f t="shared" si="45"/>
        <v/>
      </c>
      <c r="AD447" s="261" t="str">
        <f t="shared" si="46"/>
        <v/>
      </c>
      <c r="AE447" s="262"/>
      <c r="AF447" s="380"/>
      <c r="AG447" s="380"/>
      <c r="AH447" s="389"/>
    </row>
    <row r="448" spans="1:34" ht="35.1" customHeight="1" thickBot="1" x14ac:dyDescent="0.4">
      <c r="A448" s="203">
        <v>45</v>
      </c>
      <c r="B448" s="413"/>
      <c r="C448" s="383"/>
      <c r="D448" s="263"/>
      <c r="E448" s="380"/>
      <c r="F448" s="380"/>
      <c r="G448" s="377"/>
      <c r="H448" s="386"/>
      <c r="I448" s="406"/>
      <c r="J448" s="407"/>
      <c r="K448" s="407"/>
      <c r="L448" s="407"/>
      <c r="M448" s="407"/>
      <c r="N448" s="408"/>
      <c r="O448" s="264"/>
      <c r="P448" s="380"/>
      <c r="Q448" s="383"/>
      <c r="R448" s="380"/>
      <c r="S448" s="383"/>
      <c r="T448" s="380"/>
      <c r="U448" s="386"/>
      <c r="V448" s="265">
        <f t="shared" si="47"/>
        <v>0</v>
      </c>
      <c r="W448" s="266"/>
      <c r="X448" s="267" t="str">
        <f t="shared" si="44"/>
        <v/>
      </c>
      <c r="Y448" s="267" t="str">
        <f>IF(V448=1,V448+MAX($Y$5:Y447),"")</f>
        <v/>
      </c>
      <c r="Z448" s="267"/>
      <c r="AA448" s="265" t="str">
        <f>IF(ISTEXT(W448),IF(ISTEXT(Z448),Z448,'Datasource 2'!$M$14),"")</f>
        <v/>
      </c>
      <c r="AB448" s="261"/>
      <c r="AC448" s="261" t="str">
        <f t="shared" si="45"/>
        <v/>
      </c>
      <c r="AD448" s="261" t="str">
        <f t="shared" si="46"/>
        <v/>
      </c>
      <c r="AE448" s="262"/>
      <c r="AF448" s="380"/>
      <c r="AG448" s="380"/>
      <c r="AH448" s="389"/>
    </row>
    <row r="449" spans="1:34" ht="35.1" customHeight="1" thickBot="1" x14ac:dyDescent="0.4">
      <c r="A449" s="203">
        <v>45</v>
      </c>
      <c r="B449" s="413"/>
      <c r="C449" s="383"/>
      <c r="D449" s="263"/>
      <c r="E449" s="380"/>
      <c r="F449" s="380"/>
      <c r="G449" s="377"/>
      <c r="H449" s="386"/>
      <c r="I449" s="406"/>
      <c r="J449" s="407"/>
      <c r="K449" s="407"/>
      <c r="L449" s="407"/>
      <c r="M449" s="407"/>
      <c r="N449" s="408"/>
      <c r="O449" s="264"/>
      <c r="P449" s="380"/>
      <c r="Q449" s="383"/>
      <c r="R449" s="380"/>
      <c r="S449" s="383"/>
      <c r="T449" s="380"/>
      <c r="U449" s="386"/>
      <c r="V449" s="265">
        <f t="shared" si="47"/>
        <v>0</v>
      </c>
      <c r="W449" s="266"/>
      <c r="X449" s="267" t="str">
        <f t="shared" si="44"/>
        <v/>
      </c>
      <c r="Y449" s="267" t="str">
        <f>IF(V449=1,V449+MAX($Y$5:Y448),"")</f>
        <v/>
      </c>
      <c r="Z449" s="267"/>
      <c r="AA449" s="265" t="str">
        <f>IF(ISTEXT(W449),IF(ISTEXT(Z449),Z449,'Datasource 2'!$M$14),"")</f>
        <v/>
      </c>
      <c r="AB449" s="261"/>
      <c r="AC449" s="261" t="str">
        <f t="shared" si="45"/>
        <v/>
      </c>
      <c r="AD449" s="261" t="str">
        <f t="shared" si="46"/>
        <v/>
      </c>
      <c r="AE449" s="262"/>
      <c r="AF449" s="380"/>
      <c r="AG449" s="380"/>
      <c r="AH449" s="389"/>
    </row>
    <row r="450" spans="1:34" ht="35.1" customHeight="1" thickBot="1" x14ac:dyDescent="0.4">
      <c r="A450" s="203">
        <v>45</v>
      </c>
      <c r="B450" s="413"/>
      <c r="C450" s="383"/>
      <c r="D450" s="263"/>
      <c r="E450" s="380"/>
      <c r="F450" s="380"/>
      <c r="G450" s="377"/>
      <c r="H450" s="386"/>
      <c r="I450" s="406"/>
      <c r="J450" s="407"/>
      <c r="K450" s="407"/>
      <c r="L450" s="407"/>
      <c r="M450" s="407"/>
      <c r="N450" s="408"/>
      <c r="O450" s="264"/>
      <c r="P450" s="380"/>
      <c r="Q450" s="383"/>
      <c r="R450" s="380"/>
      <c r="S450" s="383"/>
      <c r="T450" s="380"/>
      <c r="U450" s="386"/>
      <c r="V450" s="265">
        <f t="shared" si="47"/>
        <v>0</v>
      </c>
      <c r="W450" s="266"/>
      <c r="X450" s="267" t="str">
        <f t="shared" si="44"/>
        <v/>
      </c>
      <c r="Y450" s="267" t="str">
        <f>IF(V450=1,V450+MAX($Y$5:Y449),"")</f>
        <v/>
      </c>
      <c r="Z450" s="267"/>
      <c r="AA450" s="265" t="str">
        <f>IF(ISTEXT(W450),IF(ISTEXT(Z450),Z450,'Datasource 2'!$M$14),"")</f>
        <v/>
      </c>
      <c r="AB450" s="261"/>
      <c r="AC450" s="261" t="str">
        <f t="shared" si="45"/>
        <v/>
      </c>
      <c r="AD450" s="261" t="str">
        <f t="shared" si="46"/>
        <v/>
      </c>
      <c r="AE450" s="262"/>
      <c r="AF450" s="380"/>
      <c r="AG450" s="380"/>
      <c r="AH450" s="389"/>
    </row>
    <row r="451" spans="1:34" ht="35.1" customHeight="1" thickBot="1" x14ac:dyDescent="0.4">
      <c r="A451" s="203">
        <v>45</v>
      </c>
      <c r="B451" s="413"/>
      <c r="C451" s="383"/>
      <c r="D451" s="263"/>
      <c r="E451" s="380"/>
      <c r="F451" s="380"/>
      <c r="G451" s="377"/>
      <c r="H451" s="386"/>
      <c r="I451" s="406"/>
      <c r="J451" s="407"/>
      <c r="K451" s="407"/>
      <c r="L451" s="407"/>
      <c r="M451" s="407"/>
      <c r="N451" s="408"/>
      <c r="O451" s="264"/>
      <c r="P451" s="380"/>
      <c r="Q451" s="383"/>
      <c r="R451" s="380"/>
      <c r="S451" s="383"/>
      <c r="T451" s="380"/>
      <c r="U451" s="386"/>
      <c r="V451" s="265">
        <f t="shared" si="47"/>
        <v>0</v>
      </c>
      <c r="W451" s="266"/>
      <c r="X451" s="267" t="str">
        <f t="shared" si="44"/>
        <v/>
      </c>
      <c r="Y451" s="267" t="str">
        <f>IF(V451=1,V451+MAX($Y$5:Y450),"")</f>
        <v/>
      </c>
      <c r="Z451" s="267"/>
      <c r="AA451" s="265" t="str">
        <f>IF(ISTEXT(W451),IF(ISTEXT(Z451),Z451,'Datasource 2'!$M$14),"")</f>
        <v/>
      </c>
      <c r="AB451" s="261"/>
      <c r="AC451" s="261" t="str">
        <f t="shared" si="45"/>
        <v/>
      </c>
      <c r="AD451" s="261" t="str">
        <f t="shared" si="46"/>
        <v/>
      </c>
      <c r="AE451" s="262"/>
      <c r="AF451" s="380"/>
      <c r="AG451" s="380"/>
      <c r="AH451" s="389"/>
    </row>
    <row r="452" spans="1:34" ht="35.1" customHeight="1" thickBot="1" x14ac:dyDescent="0.4">
      <c r="A452" s="203">
        <v>45</v>
      </c>
      <c r="B452" s="413"/>
      <c r="C452" s="383"/>
      <c r="D452" s="263"/>
      <c r="E452" s="380"/>
      <c r="F452" s="380"/>
      <c r="G452" s="377"/>
      <c r="H452" s="386"/>
      <c r="I452" s="406"/>
      <c r="J452" s="407"/>
      <c r="K452" s="407"/>
      <c r="L452" s="407"/>
      <c r="M452" s="407"/>
      <c r="N452" s="408"/>
      <c r="O452" s="264"/>
      <c r="P452" s="380"/>
      <c r="Q452" s="383"/>
      <c r="R452" s="380"/>
      <c r="S452" s="383"/>
      <c r="T452" s="380"/>
      <c r="U452" s="386"/>
      <c r="V452" s="265">
        <f t="shared" si="47"/>
        <v>0</v>
      </c>
      <c r="W452" s="266"/>
      <c r="X452" s="267" t="str">
        <f t="shared" si="44"/>
        <v/>
      </c>
      <c r="Y452" s="267" t="str">
        <f>IF(V452=1,V452+MAX($Y$5:Y451),"")</f>
        <v/>
      </c>
      <c r="Z452" s="267"/>
      <c r="AA452" s="265" t="str">
        <f>IF(ISTEXT(W452),IF(ISTEXT(Z452),Z452,'Datasource 2'!$M$14),"")</f>
        <v/>
      </c>
      <c r="AB452" s="261"/>
      <c r="AC452" s="261" t="str">
        <f t="shared" si="45"/>
        <v/>
      </c>
      <c r="AD452" s="261" t="str">
        <f t="shared" si="46"/>
        <v/>
      </c>
      <c r="AE452" s="262"/>
      <c r="AF452" s="380"/>
      <c r="AG452" s="380"/>
      <c r="AH452" s="389"/>
    </row>
    <row r="453" spans="1:34" ht="35.1" customHeight="1" thickBot="1" x14ac:dyDescent="0.4">
      <c r="A453" s="203">
        <v>45</v>
      </c>
      <c r="B453" s="413"/>
      <c r="C453" s="383"/>
      <c r="D453" s="263"/>
      <c r="E453" s="380"/>
      <c r="F453" s="380"/>
      <c r="G453" s="377"/>
      <c r="H453" s="386"/>
      <c r="I453" s="406"/>
      <c r="J453" s="407"/>
      <c r="K453" s="407"/>
      <c r="L453" s="407"/>
      <c r="M453" s="407"/>
      <c r="N453" s="408"/>
      <c r="O453" s="264"/>
      <c r="P453" s="380"/>
      <c r="Q453" s="383"/>
      <c r="R453" s="380"/>
      <c r="S453" s="383"/>
      <c r="T453" s="380"/>
      <c r="U453" s="386"/>
      <c r="V453" s="265">
        <f t="shared" si="47"/>
        <v>0</v>
      </c>
      <c r="W453" s="266"/>
      <c r="X453" s="267" t="str">
        <f t="shared" ref="X453:X504" si="48">IF(W453="","",A453)</f>
        <v/>
      </c>
      <c r="Y453" s="267" t="str">
        <f>IF(V453=1,V453+MAX($Y$5:Y452),"")</f>
        <v/>
      </c>
      <c r="Z453" s="267"/>
      <c r="AA453" s="265" t="str">
        <f>IF(ISTEXT(W453),IF(ISTEXT(Z453),Z453,'Datasource 2'!$M$14),"")</f>
        <v/>
      </c>
      <c r="AB453" s="261"/>
      <c r="AC453" s="261" t="str">
        <f t="shared" si="45"/>
        <v/>
      </c>
      <c r="AD453" s="261" t="str">
        <f t="shared" si="46"/>
        <v/>
      </c>
      <c r="AE453" s="262"/>
      <c r="AF453" s="380"/>
      <c r="AG453" s="380"/>
      <c r="AH453" s="389"/>
    </row>
    <row r="454" spans="1:34" ht="35.1" customHeight="1" thickBot="1" x14ac:dyDescent="0.4">
      <c r="A454" s="203">
        <v>45</v>
      </c>
      <c r="B454" s="414"/>
      <c r="C454" s="384"/>
      <c r="D454" s="268"/>
      <c r="E454" s="381"/>
      <c r="F454" s="381"/>
      <c r="G454" s="378"/>
      <c r="H454" s="387"/>
      <c r="I454" s="409"/>
      <c r="J454" s="410"/>
      <c r="K454" s="410"/>
      <c r="L454" s="410"/>
      <c r="M454" s="410"/>
      <c r="N454" s="411"/>
      <c r="O454" s="269"/>
      <c r="P454" s="381"/>
      <c r="Q454" s="384"/>
      <c r="R454" s="381"/>
      <c r="S454" s="384"/>
      <c r="T454" s="381"/>
      <c r="U454" s="387"/>
      <c r="V454" s="270">
        <f t="shared" si="47"/>
        <v>0</v>
      </c>
      <c r="W454" s="271"/>
      <c r="X454" s="272" t="str">
        <f t="shared" si="48"/>
        <v/>
      </c>
      <c r="Y454" s="272" t="str">
        <f>IF(V454=1,V454+MAX($Y$5:Y453),"")</f>
        <v/>
      </c>
      <c r="Z454" s="272"/>
      <c r="AA454" s="270" t="str">
        <f>IF(ISTEXT(W454),IF(ISTEXT(Z454),Z454,'Datasource 2'!$M$14),"")</f>
        <v/>
      </c>
      <c r="AB454" s="273"/>
      <c r="AC454" s="261" t="str">
        <f t="shared" ref="AC454:AC504" si="49">IF(ISTEXT(W454),IF(ISTEXT(AB454),AB454,"Ikke angitt"),"")</f>
        <v/>
      </c>
      <c r="AD454" s="261" t="str">
        <f t="shared" ref="AD454:AD504" si="50">IF(ISTEXT(W454),IF(ISBLANK(AE454),"Ikke angitt", AE454),"")</f>
        <v/>
      </c>
      <c r="AE454" s="274"/>
      <c r="AF454" s="381"/>
      <c r="AG454" s="381"/>
      <c r="AH454" s="390"/>
    </row>
    <row r="455" spans="1:34" ht="35.1" customHeight="1" thickBot="1" x14ac:dyDescent="0.4">
      <c r="A455" s="205">
        <v>46</v>
      </c>
      <c r="B455" s="391">
        <v>46</v>
      </c>
      <c r="C455" s="364"/>
      <c r="D455" s="323"/>
      <c r="E455" s="361"/>
      <c r="F455" s="361"/>
      <c r="G455" s="373"/>
      <c r="H455" s="367" t="e">
        <f>IF(VLOOKUP(G455,Trusselvurdering!$B$3:$P$28,15,FALSE)=0,VLOOKUP(G455,Trusselvurdering!$B$3:$P$28,14,FALSE),VLOOKUP(G455,Trusselvurdering!$B$3:$P$28,15,FALSE))</f>
        <v>#N/A</v>
      </c>
      <c r="I455" s="394"/>
      <c r="J455" s="395"/>
      <c r="K455" s="395"/>
      <c r="L455" s="395"/>
      <c r="M455" s="395"/>
      <c r="N455" s="396"/>
      <c r="O455" s="324"/>
      <c r="P455" s="361"/>
      <c r="Q455" s="364"/>
      <c r="R455" s="361"/>
      <c r="S455" s="364"/>
      <c r="T455" s="361"/>
      <c r="U455" s="367" t="e">
        <f>VLOOKUP(Risikovurdering_data!C453,Akseptkriterier!$C$33:$H$37,MATCH(Risikovurdering_data!D453,Akseptkriterier!$D$32:$H$32,0)+1,FALSE)</f>
        <v>#N/A</v>
      </c>
      <c r="V455" s="325">
        <f t="shared" si="47"/>
        <v>0</v>
      </c>
      <c r="W455" s="326"/>
      <c r="X455" s="327" t="str">
        <f t="shared" si="48"/>
        <v/>
      </c>
      <c r="Y455" s="327" t="str">
        <f>IF(V455=1,V455+MAX($Y$5:Y454),"")</f>
        <v/>
      </c>
      <c r="Z455" s="327"/>
      <c r="AA455" s="325" t="str">
        <f>IF(ISTEXT(W455),IF(ISTEXT(Z455),Z455,'Datasource 2'!$M$14),"")</f>
        <v/>
      </c>
      <c r="AB455" s="328"/>
      <c r="AC455" s="328" t="str">
        <f t="shared" si="49"/>
        <v/>
      </c>
      <c r="AD455" s="328" t="str">
        <f t="shared" si="50"/>
        <v/>
      </c>
      <c r="AE455" s="329"/>
      <c r="AF455" s="361"/>
      <c r="AG455" s="361"/>
      <c r="AH455" s="370" t="e">
        <f>VLOOKUP(Risikovurdering_data!F453,Akseptkriterier!$C$33:$H$37,MATCH(Risikovurdering_data!G453,Akseptkriterier!$D$32:$H$32,0)+1,FALSE)</f>
        <v>#N/A</v>
      </c>
    </row>
    <row r="456" spans="1:34" ht="35.1" customHeight="1" thickBot="1" x14ac:dyDescent="0.4">
      <c r="A456" s="203">
        <v>46</v>
      </c>
      <c r="B456" s="392"/>
      <c r="C456" s="365"/>
      <c r="D456" s="330"/>
      <c r="E456" s="362"/>
      <c r="F456" s="362"/>
      <c r="G456" s="374"/>
      <c r="H456" s="368"/>
      <c r="I456" s="397"/>
      <c r="J456" s="398"/>
      <c r="K456" s="398"/>
      <c r="L456" s="398"/>
      <c r="M456" s="398"/>
      <c r="N456" s="399"/>
      <c r="O456" s="331"/>
      <c r="P456" s="362"/>
      <c r="Q456" s="365"/>
      <c r="R456" s="362"/>
      <c r="S456" s="365"/>
      <c r="T456" s="362"/>
      <c r="U456" s="368"/>
      <c r="V456" s="332">
        <f t="shared" si="47"/>
        <v>0</v>
      </c>
      <c r="W456" s="333"/>
      <c r="X456" s="334" t="str">
        <f t="shared" si="48"/>
        <v/>
      </c>
      <c r="Y456" s="334" t="str">
        <f>IF(V456=1,V456+MAX($Y$5:Y455),"")</f>
        <v/>
      </c>
      <c r="Z456" s="334"/>
      <c r="AA456" s="332" t="str">
        <f>IF(ISTEXT(W456),IF(ISTEXT(Z456),Z456,'Datasource 2'!$M$14),"")</f>
        <v/>
      </c>
      <c r="AB456" s="328"/>
      <c r="AC456" s="328" t="str">
        <f t="shared" si="49"/>
        <v/>
      </c>
      <c r="AD456" s="328" t="str">
        <f t="shared" si="50"/>
        <v/>
      </c>
      <c r="AE456" s="329"/>
      <c r="AF456" s="362"/>
      <c r="AG456" s="362"/>
      <c r="AH456" s="371"/>
    </row>
    <row r="457" spans="1:34" ht="35.1" customHeight="1" thickBot="1" x14ac:dyDescent="0.4">
      <c r="A457" s="203">
        <v>46</v>
      </c>
      <c r="B457" s="392"/>
      <c r="C457" s="365"/>
      <c r="D457" s="330"/>
      <c r="E457" s="362"/>
      <c r="F457" s="362"/>
      <c r="G457" s="374"/>
      <c r="H457" s="368"/>
      <c r="I457" s="397"/>
      <c r="J457" s="398"/>
      <c r="K457" s="398"/>
      <c r="L457" s="398"/>
      <c r="M457" s="398"/>
      <c r="N457" s="399"/>
      <c r="O457" s="331"/>
      <c r="P457" s="362"/>
      <c r="Q457" s="365"/>
      <c r="R457" s="362"/>
      <c r="S457" s="365"/>
      <c r="T457" s="362"/>
      <c r="U457" s="368"/>
      <c r="V457" s="332">
        <f t="shared" si="47"/>
        <v>0</v>
      </c>
      <c r="W457" s="333"/>
      <c r="X457" s="334" t="str">
        <f t="shared" si="48"/>
        <v/>
      </c>
      <c r="Y457" s="334" t="str">
        <f>IF(V457=1,V457+MAX($Y$5:Y456),"")</f>
        <v/>
      </c>
      <c r="Z457" s="334"/>
      <c r="AA457" s="332" t="str">
        <f>IF(ISTEXT(W457),IF(ISTEXT(Z457),Z457,'Datasource 2'!$M$14),"")</f>
        <v/>
      </c>
      <c r="AB457" s="328"/>
      <c r="AC457" s="328" t="str">
        <f t="shared" si="49"/>
        <v/>
      </c>
      <c r="AD457" s="328" t="str">
        <f t="shared" si="50"/>
        <v/>
      </c>
      <c r="AE457" s="329"/>
      <c r="AF457" s="362"/>
      <c r="AG457" s="362"/>
      <c r="AH457" s="371"/>
    </row>
    <row r="458" spans="1:34" ht="35.1" customHeight="1" thickBot="1" x14ac:dyDescent="0.4">
      <c r="A458" s="203">
        <v>46</v>
      </c>
      <c r="B458" s="392"/>
      <c r="C458" s="365"/>
      <c r="D458" s="330"/>
      <c r="E458" s="362"/>
      <c r="F458" s="362"/>
      <c r="G458" s="374"/>
      <c r="H458" s="368"/>
      <c r="I458" s="397"/>
      <c r="J458" s="398"/>
      <c r="K458" s="398"/>
      <c r="L458" s="398"/>
      <c r="M458" s="398"/>
      <c r="N458" s="399"/>
      <c r="O458" s="331"/>
      <c r="P458" s="362"/>
      <c r="Q458" s="365"/>
      <c r="R458" s="362"/>
      <c r="S458" s="365"/>
      <c r="T458" s="362"/>
      <c r="U458" s="368"/>
      <c r="V458" s="332">
        <f t="shared" si="47"/>
        <v>0</v>
      </c>
      <c r="W458" s="333"/>
      <c r="X458" s="334" t="str">
        <f t="shared" si="48"/>
        <v/>
      </c>
      <c r="Y458" s="334" t="str">
        <f>IF(V458=1,V458+MAX($Y$5:Y457),"")</f>
        <v/>
      </c>
      <c r="Z458" s="334"/>
      <c r="AA458" s="332" t="str">
        <f>IF(ISTEXT(W458),IF(ISTEXT(Z458),Z458,'Datasource 2'!$M$14),"")</f>
        <v/>
      </c>
      <c r="AB458" s="328"/>
      <c r="AC458" s="328" t="str">
        <f t="shared" si="49"/>
        <v/>
      </c>
      <c r="AD458" s="328" t="str">
        <f t="shared" si="50"/>
        <v/>
      </c>
      <c r="AE458" s="329"/>
      <c r="AF458" s="362"/>
      <c r="AG458" s="362"/>
      <c r="AH458" s="371"/>
    </row>
    <row r="459" spans="1:34" ht="35.1" customHeight="1" thickBot="1" x14ac:dyDescent="0.4">
      <c r="A459" s="203">
        <v>46</v>
      </c>
      <c r="B459" s="392"/>
      <c r="C459" s="365"/>
      <c r="D459" s="330"/>
      <c r="E459" s="362"/>
      <c r="F459" s="362"/>
      <c r="G459" s="374"/>
      <c r="H459" s="368"/>
      <c r="I459" s="397"/>
      <c r="J459" s="398"/>
      <c r="K459" s="398"/>
      <c r="L459" s="398"/>
      <c r="M459" s="398"/>
      <c r="N459" s="399"/>
      <c r="O459" s="331"/>
      <c r="P459" s="362"/>
      <c r="Q459" s="365"/>
      <c r="R459" s="362"/>
      <c r="S459" s="365"/>
      <c r="T459" s="362"/>
      <c r="U459" s="368"/>
      <c r="V459" s="332">
        <f t="shared" si="47"/>
        <v>0</v>
      </c>
      <c r="W459" s="333"/>
      <c r="X459" s="334" t="str">
        <f t="shared" si="48"/>
        <v/>
      </c>
      <c r="Y459" s="334" t="str">
        <f>IF(V459=1,V459+MAX($Y$5:Y458),"")</f>
        <v/>
      </c>
      <c r="Z459" s="334"/>
      <c r="AA459" s="332" t="str">
        <f>IF(ISTEXT(W459),IF(ISTEXT(Z459),Z459,'Datasource 2'!$M$14),"")</f>
        <v/>
      </c>
      <c r="AB459" s="328"/>
      <c r="AC459" s="328" t="str">
        <f t="shared" si="49"/>
        <v/>
      </c>
      <c r="AD459" s="328" t="str">
        <f t="shared" si="50"/>
        <v/>
      </c>
      <c r="AE459" s="329"/>
      <c r="AF459" s="362"/>
      <c r="AG459" s="362"/>
      <c r="AH459" s="371"/>
    </row>
    <row r="460" spans="1:34" ht="35.1" customHeight="1" thickBot="1" x14ac:dyDescent="0.4">
      <c r="A460" s="203">
        <v>46</v>
      </c>
      <c r="B460" s="392"/>
      <c r="C460" s="365"/>
      <c r="D460" s="330"/>
      <c r="E460" s="362"/>
      <c r="F460" s="362"/>
      <c r="G460" s="374"/>
      <c r="H460" s="368"/>
      <c r="I460" s="397"/>
      <c r="J460" s="398"/>
      <c r="K460" s="398"/>
      <c r="L460" s="398"/>
      <c r="M460" s="398"/>
      <c r="N460" s="399"/>
      <c r="O460" s="331"/>
      <c r="P460" s="362"/>
      <c r="Q460" s="365"/>
      <c r="R460" s="362"/>
      <c r="S460" s="365"/>
      <c r="T460" s="362"/>
      <c r="U460" s="368"/>
      <c r="V460" s="332">
        <f t="shared" si="47"/>
        <v>0</v>
      </c>
      <c r="W460" s="333"/>
      <c r="X460" s="334" t="str">
        <f t="shared" si="48"/>
        <v/>
      </c>
      <c r="Y460" s="334" t="str">
        <f>IF(V460=1,V460+MAX($Y$5:Y459),"")</f>
        <v/>
      </c>
      <c r="Z460" s="334"/>
      <c r="AA460" s="332" t="str">
        <f>IF(ISTEXT(W460),IF(ISTEXT(Z460),Z460,'Datasource 2'!$M$14),"")</f>
        <v/>
      </c>
      <c r="AB460" s="328"/>
      <c r="AC460" s="328" t="str">
        <f t="shared" si="49"/>
        <v/>
      </c>
      <c r="AD460" s="328" t="str">
        <f t="shared" si="50"/>
        <v/>
      </c>
      <c r="AE460" s="329"/>
      <c r="AF460" s="362"/>
      <c r="AG460" s="362"/>
      <c r="AH460" s="371"/>
    </row>
    <row r="461" spans="1:34" ht="35.1" customHeight="1" thickBot="1" x14ac:dyDescent="0.4">
      <c r="A461" s="203">
        <v>46</v>
      </c>
      <c r="B461" s="392"/>
      <c r="C461" s="365"/>
      <c r="D461" s="330"/>
      <c r="E461" s="362"/>
      <c r="F461" s="362"/>
      <c r="G461" s="374"/>
      <c r="H461" s="368"/>
      <c r="I461" s="397"/>
      <c r="J461" s="398"/>
      <c r="K461" s="398"/>
      <c r="L461" s="398"/>
      <c r="M461" s="398"/>
      <c r="N461" s="399"/>
      <c r="O461" s="331"/>
      <c r="P461" s="362"/>
      <c r="Q461" s="365"/>
      <c r="R461" s="362"/>
      <c r="S461" s="365"/>
      <c r="T461" s="362"/>
      <c r="U461" s="368"/>
      <c r="V461" s="332">
        <f t="shared" si="47"/>
        <v>0</v>
      </c>
      <c r="W461" s="333"/>
      <c r="X461" s="334" t="str">
        <f t="shared" si="48"/>
        <v/>
      </c>
      <c r="Y461" s="334" t="str">
        <f>IF(V461=1,V461+MAX($Y$5:Y460),"")</f>
        <v/>
      </c>
      <c r="Z461" s="334"/>
      <c r="AA461" s="332" t="str">
        <f>IF(ISTEXT(W461),IF(ISTEXT(Z461),Z461,'Datasource 2'!$M$14),"")</f>
        <v/>
      </c>
      <c r="AB461" s="328"/>
      <c r="AC461" s="328" t="str">
        <f t="shared" si="49"/>
        <v/>
      </c>
      <c r="AD461" s="328" t="str">
        <f t="shared" si="50"/>
        <v/>
      </c>
      <c r="AE461" s="329"/>
      <c r="AF461" s="362"/>
      <c r="AG461" s="362"/>
      <c r="AH461" s="371"/>
    </row>
    <row r="462" spans="1:34" ht="35.1" customHeight="1" thickBot="1" x14ac:dyDescent="0.4">
      <c r="A462" s="203">
        <v>46</v>
      </c>
      <c r="B462" s="392"/>
      <c r="C462" s="365"/>
      <c r="D462" s="330"/>
      <c r="E462" s="362"/>
      <c r="F462" s="362"/>
      <c r="G462" s="374"/>
      <c r="H462" s="368"/>
      <c r="I462" s="397"/>
      <c r="J462" s="398"/>
      <c r="K462" s="398"/>
      <c r="L462" s="398"/>
      <c r="M462" s="398"/>
      <c r="N462" s="399"/>
      <c r="O462" s="331"/>
      <c r="P462" s="362"/>
      <c r="Q462" s="365"/>
      <c r="R462" s="362"/>
      <c r="S462" s="365"/>
      <c r="T462" s="362"/>
      <c r="U462" s="368"/>
      <c r="V462" s="332">
        <f t="shared" si="47"/>
        <v>0</v>
      </c>
      <c r="W462" s="333"/>
      <c r="X462" s="334" t="str">
        <f t="shared" si="48"/>
        <v/>
      </c>
      <c r="Y462" s="334" t="str">
        <f>IF(V462=1,V462+MAX($Y$5:Y461),"")</f>
        <v/>
      </c>
      <c r="Z462" s="334"/>
      <c r="AA462" s="332" t="str">
        <f>IF(ISTEXT(W462),IF(ISTEXT(Z462),Z462,'Datasource 2'!$M$14),"")</f>
        <v/>
      </c>
      <c r="AB462" s="328"/>
      <c r="AC462" s="328" t="str">
        <f t="shared" si="49"/>
        <v/>
      </c>
      <c r="AD462" s="328" t="str">
        <f t="shared" si="50"/>
        <v/>
      </c>
      <c r="AE462" s="329"/>
      <c r="AF462" s="362"/>
      <c r="AG462" s="362"/>
      <c r="AH462" s="371"/>
    </row>
    <row r="463" spans="1:34" ht="35.1" customHeight="1" thickBot="1" x14ac:dyDescent="0.4">
      <c r="A463" s="203">
        <v>46</v>
      </c>
      <c r="B463" s="392"/>
      <c r="C463" s="365"/>
      <c r="D463" s="330"/>
      <c r="E463" s="362"/>
      <c r="F463" s="362"/>
      <c r="G463" s="374"/>
      <c r="H463" s="368"/>
      <c r="I463" s="397"/>
      <c r="J463" s="398"/>
      <c r="K463" s="398"/>
      <c r="L463" s="398"/>
      <c r="M463" s="398"/>
      <c r="N463" s="399"/>
      <c r="O463" s="331"/>
      <c r="P463" s="362"/>
      <c r="Q463" s="365"/>
      <c r="R463" s="362"/>
      <c r="S463" s="365"/>
      <c r="T463" s="362"/>
      <c r="U463" s="368"/>
      <c r="V463" s="332">
        <f t="shared" si="47"/>
        <v>0</v>
      </c>
      <c r="W463" s="333"/>
      <c r="X463" s="334" t="str">
        <f t="shared" si="48"/>
        <v/>
      </c>
      <c r="Y463" s="334" t="str">
        <f>IF(V463=1,V463+MAX($Y$5:Y462),"")</f>
        <v/>
      </c>
      <c r="Z463" s="334"/>
      <c r="AA463" s="332" t="str">
        <f>IF(ISTEXT(W463),IF(ISTEXT(Z463),Z463,'Datasource 2'!$M$14),"")</f>
        <v/>
      </c>
      <c r="AB463" s="328"/>
      <c r="AC463" s="328" t="str">
        <f t="shared" si="49"/>
        <v/>
      </c>
      <c r="AD463" s="328" t="str">
        <f t="shared" si="50"/>
        <v/>
      </c>
      <c r="AE463" s="329"/>
      <c r="AF463" s="362"/>
      <c r="AG463" s="362"/>
      <c r="AH463" s="371"/>
    </row>
    <row r="464" spans="1:34" ht="35.1" customHeight="1" thickBot="1" x14ac:dyDescent="0.4">
      <c r="A464" s="203">
        <v>46</v>
      </c>
      <c r="B464" s="393"/>
      <c r="C464" s="366"/>
      <c r="D464" s="335"/>
      <c r="E464" s="363"/>
      <c r="F464" s="363"/>
      <c r="G464" s="375"/>
      <c r="H464" s="369"/>
      <c r="I464" s="400"/>
      <c r="J464" s="401"/>
      <c r="K464" s="401"/>
      <c r="L464" s="401"/>
      <c r="M464" s="401"/>
      <c r="N464" s="402"/>
      <c r="O464" s="336"/>
      <c r="P464" s="363"/>
      <c r="Q464" s="366"/>
      <c r="R464" s="363"/>
      <c r="S464" s="366"/>
      <c r="T464" s="363"/>
      <c r="U464" s="369"/>
      <c r="V464" s="337">
        <f t="shared" si="47"/>
        <v>0</v>
      </c>
      <c r="W464" s="338"/>
      <c r="X464" s="339" t="str">
        <f t="shared" si="48"/>
        <v/>
      </c>
      <c r="Y464" s="339" t="str">
        <f>IF(V464=1,V464+MAX($Y$5:Y463),"")</f>
        <v/>
      </c>
      <c r="Z464" s="339"/>
      <c r="AA464" s="337" t="str">
        <f>IF(ISTEXT(W464),IF(ISTEXT(Z464),Z464,'Datasource 2'!$M$14),"")</f>
        <v/>
      </c>
      <c r="AB464" s="339"/>
      <c r="AC464" s="328" t="str">
        <f t="shared" si="49"/>
        <v/>
      </c>
      <c r="AD464" s="328" t="str">
        <f t="shared" si="50"/>
        <v/>
      </c>
      <c r="AE464" s="340"/>
      <c r="AF464" s="363"/>
      <c r="AG464" s="363"/>
      <c r="AH464" s="372"/>
    </row>
    <row r="465" spans="1:34" ht="35.1" customHeight="1" thickBot="1" x14ac:dyDescent="0.4">
      <c r="A465" s="205">
        <v>47</v>
      </c>
      <c r="B465" s="412">
        <v>47</v>
      </c>
      <c r="C465" s="382"/>
      <c r="D465" s="257"/>
      <c r="E465" s="379"/>
      <c r="F465" s="379"/>
      <c r="G465" s="376"/>
      <c r="H465" s="385" t="e">
        <f>IF(VLOOKUP(G465,Trusselvurdering!$B$3:$P$28,15,FALSE)=0,VLOOKUP(G465,Trusselvurdering!$B$3:$P$28,14,FALSE),VLOOKUP(G465,Trusselvurdering!$B$3:$P$28,15,FALSE))</f>
        <v>#N/A</v>
      </c>
      <c r="I465" s="403"/>
      <c r="J465" s="404"/>
      <c r="K465" s="404"/>
      <c r="L465" s="404"/>
      <c r="M465" s="404"/>
      <c r="N465" s="405"/>
      <c r="O465" s="258"/>
      <c r="P465" s="379"/>
      <c r="Q465" s="382"/>
      <c r="R465" s="379"/>
      <c r="S465" s="382"/>
      <c r="T465" s="379"/>
      <c r="U465" s="385" t="e">
        <f>VLOOKUP(Risikovurdering_data!C463,Akseptkriterier!$C$33:$H$37,MATCH(Risikovurdering_data!D463,Akseptkriterier!$D$32:$H$32,0)+1,FALSE)</f>
        <v>#N/A</v>
      </c>
      <c r="V465" s="259">
        <f t="shared" si="47"/>
        <v>0</v>
      </c>
      <c r="W465" s="260"/>
      <c r="X465" s="261" t="str">
        <f t="shared" si="48"/>
        <v/>
      </c>
      <c r="Y465" s="261" t="str">
        <f>IF(V465=1,V465+MAX($Y$5:Y464),"")</f>
        <v/>
      </c>
      <c r="Z465" s="261"/>
      <c r="AA465" s="259" t="str">
        <f>IF(ISTEXT(W465),IF(ISTEXT(Z465),Z465,'Datasource 2'!$M$14),"")</f>
        <v/>
      </c>
      <c r="AB465" s="261"/>
      <c r="AC465" s="261" t="str">
        <f t="shared" si="49"/>
        <v/>
      </c>
      <c r="AD465" s="261" t="str">
        <f t="shared" si="50"/>
        <v/>
      </c>
      <c r="AE465" s="262"/>
      <c r="AF465" s="379"/>
      <c r="AG465" s="379"/>
      <c r="AH465" s="388" t="e">
        <f>VLOOKUP(Risikovurdering_data!F463,Akseptkriterier!$C$33:$H$37,MATCH(Risikovurdering_data!G463,Akseptkriterier!$D$32:$H$32,0)+1,FALSE)</f>
        <v>#N/A</v>
      </c>
    </row>
    <row r="466" spans="1:34" ht="35.1" customHeight="1" thickBot="1" x14ac:dyDescent="0.4">
      <c r="A466" s="203">
        <v>47</v>
      </c>
      <c r="B466" s="413"/>
      <c r="C466" s="383"/>
      <c r="D466" s="263"/>
      <c r="E466" s="380"/>
      <c r="F466" s="380"/>
      <c r="G466" s="377"/>
      <c r="H466" s="386"/>
      <c r="I466" s="406"/>
      <c r="J466" s="407"/>
      <c r="K466" s="407"/>
      <c r="L466" s="407"/>
      <c r="M466" s="407"/>
      <c r="N466" s="408"/>
      <c r="O466" s="264"/>
      <c r="P466" s="380"/>
      <c r="Q466" s="383"/>
      <c r="R466" s="380"/>
      <c r="S466" s="383"/>
      <c r="T466" s="380"/>
      <c r="U466" s="386"/>
      <c r="V466" s="265">
        <f t="shared" si="47"/>
        <v>0</v>
      </c>
      <c r="W466" s="266"/>
      <c r="X466" s="267" t="str">
        <f t="shared" si="48"/>
        <v/>
      </c>
      <c r="Y466" s="267" t="str">
        <f>IF(V466=1,V466+MAX($Y$5:Y465),"")</f>
        <v/>
      </c>
      <c r="Z466" s="267"/>
      <c r="AA466" s="265" t="str">
        <f>IF(ISTEXT(W466),IF(ISTEXT(Z466),Z466,'Datasource 2'!$M$14),"")</f>
        <v/>
      </c>
      <c r="AB466" s="261"/>
      <c r="AC466" s="261" t="str">
        <f t="shared" si="49"/>
        <v/>
      </c>
      <c r="AD466" s="261" t="str">
        <f t="shared" si="50"/>
        <v/>
      </c>
      <c r="AE466" s="262"/>
      <c r="AF466" s="380"/>
      <c r="AG466" s="380"/>
      <c r="AH466" s="389"/>
    </row>
    <row r="467" spans="1:34" ht="35.1" customHeight="1" thickBot="1" x14ac:dyDescent="0.4">
      <c r="A467" s="203">
        <v>47</v>
      </c>
      <c r="B467" s="413"/>
      <c r="C467" s="383"/>
      <c r="D467" s="263"/>
      <c r="E467" s="380"/>
      <c r="F467" s="380"/>
      <c r="G467" s="377"/>
      <c r="H467" s="386"/>
      <c r="I467" s="406"/>
      <c r="J467" s="407"/>
      <c r="K467" s="407"/>
      <c r="L467" s="407"/>
      <c r="M467" s="407"/>
      <c r="N467" s="408"/>
      <c r="O467" s="264"/>
      <c r="P467" s="380"/>
      <c r="Q467" s="383"/>
      <c r="R467" s="380"/>
      <c r="S467" s="383"/>
      <c r="T467" s="380"/>
      <c r="U467" s="386"/>
      <c r="V467" s="265">
        <f t="shared" si="47"/>
        <v>0</v>
      </c>
      <c r="W467" s="266"/>
      <c r="X467" s="267" t="str">
        <f t="shared" si="48"/>
        <v/>
      </c>
      <c r="Y467" s="267" t="str">
        <f>IF(V467=1,V467+MAX($Y$5:Y466),"")</f>
        <v/>
      </c>
      <c r="Z467" s="267"/>
      <c r="AA467" s="265" t="str">
        <f>IF(ISTEXT(W467),IF(ISTEXT(Z467),Z467,'Datasource 2'!$M$14),"")</f>
        <v/>
      </c>
      <c r="AB467" s="261"/>
      <c r="AC467" s="261" t="str">
        <f t="shared" si="49"/>
        <v/>
      </c>
      <c r="AD467" s="261" t="str">
        <f t="shared" si="50"/>
        <v/>
      </c>
      <c r="AE467" s="262"/>
      <c r="AF467" s="380"/>
      <c r="AG467" s="380"/>
      <c r="AH467" s="389"/>
    </row>
    <row r="468" spans="1:34" ht="35.1" customHeight="1" thickBot="1" x14ac:dyDescent="0.4">
      <c r="A468" s="203">
        <v>47</v>
      </c>
      <c r="B468" s="413"/>
      <c r="C468" s="383"/>
      <c r="D468" s="263"/>
      <c r="E468" s="380"/>
      <c r="F468" s="380"/>
      <c r="G468" s="377"/>
      <c r="H468" s="386"/>
      <c r="I468" s="406"/>
      <c r="J468" s="407"/>
      <c r="K468" s="407"/>
      <c r="L468" s="407"/>
      <c r="M468" s="407"/>
      <c r="N468" s="408"/>
      <c r="O468" s="264"/>
      <c r="P468" s="380"/>
      <c r="Q468" s="383"/>
      <c r="R468" s="380"/>
      <c r="S468" s="383"/>
      <c r="T468" s="380"/>
      <c r="U468" s="386"/>
      <c r="V468" s="265">
        <f t="shared" si="47"/>
        <v>0</v>
      </c>
      <c r="W468" s="266"/>
      <c r="X468" s="267" t="str">
        <f t="shared" si="48"/>
        <v/>
      </c>
      <c r="Y468" s="267" t="str">
        <f>IF(V468=1,V468+MAX($Y$5:Y467),"")</f>
        <v/>
      </c>
      <c r="Z468" s="267"/>
      <c r="AA468" s="265" t="str">
        <f>IF(ISTEXT(W468),IF(ISTEXT(Z468),Z468,'Datasource 2'!$M$14),"")</f>
        <v/>
      </c>
      <c r="AB468" s="261"/>
      <c r="AC468" s="261" t="str">
        <f t="shared" si="49"/>
        <v/>
      </c>
      <c r="AD468" s="261" t="str">
        <f t="shared" si="50"/>
        <v/>
      </c>
      <c r="AE468" s="262"/>
      <c r="AF468" s="380"/>
      <c r="AG468" s="380"/>
      <c r="AH468" s="389"/>
    </row>
    <row r="469" spans="1:34" ht="35.1" customHeight="1" thickBot="1" x14ac:dyDescent="0.4">
      <c r="A469" s="203">
        <v>47</v>
      </c>
      <c r="B469" s="413"/>
      <c r="C469" s="383"/>
      <c r="D469" s="263"/>
      <c r="E469" s="380"/>
      <c r="F469" s="380"/>
      <c r="G469" s="377"/>
      <c r="H469" s="386"/>
      <c r="I469" s="406"/>
      <c r="J469" s="407"/>
      <c r="K469" s="407"/>
      <c r="L469" s="407"/>
      <c r="M469" s="407"/>
      <c r="N469" s="408"/>
      <c r="O469" s="264"/>
      <c r="P469" s="380"/>
      <c r="Q469" s="383"/>
      <c r="R469" s="380"/>
      <c r="S469" s="383"/>
      <c r="T469" s="380"/>
      <c r="U469" s="386"/>
      <c r="V469" s="265">
        <f t="shared" si="47"/>
        <v>0</v>
      </c>
      <c r="W469" s="266"/>
      <c r="X469" s="267" t="str">
        <f t="shared" si="48"/>
        <v/>
      </c>
      <c r="Y469" s="267" t="str">
        <f>IF(V469=1,V469+MAX($Y$5:Y468),"")</f>
        <v/>
      </c>
      <c r="Z469" s="267"/>
      <c r="AA469" s="265" t="str">
        <f>IF(ISTEXT(W469),IF(ISTEXT(Z469),Z469,'Datasource 2'!$M$14),"")</f>
        <v/>
      </c>
      <c r="AB469" s="261"/>
      <c r="AC469" s="261" t="str">
        <f t="shared" si="49"/>
        <v/>
      </c>
      <c r="AD469" s="261" t="str">
        <f t="shared" si="50"/>
        <v/>
      </c>
      <c r="AE469" s="262"/>
      <c r="AF469" s="380"/>
      <c r="AG469" s="380"/>
      <c r="AH469" s="389"/>
    </row>
    <row r="470" spans="1:34" ht="35.1" customHeight="1" thickBot="1" x14ac:dyDescent="0.4">
      <c r="A470" s="203">
        <v>47</v>
      </c>
      <c r="B470" s="413"/>
      <c r="C470" s="383"/>
      <c r="D470" s="263"/>
      <c r="E470" s="380"/>
      <c r="F470" s="380"/>
      <c r="G470" s="377"/>
      <c r="H470" s="386"/>
      <c r="I470" s="406"/>
      <c r="J470" s="407"/>
      <c r="K470" s="407"/>
      <c r="L470" s="407"/>
      <c r="M470" s="407"/>
      <c r="N470" s="408"/>
      <c r="O470" s="264"/>
      <c r="P470" s="380"/>
      <c r="Q470" s="383"/>
      <c r="R470" s="380"/>
      <c r="S470" s="383"/>
      <c r="T470" s="380"/>
      <c r="U470" s="386"/>
      <c r="V470" s="265">
        <f t="shared" si="47"/>
        <v>0</v>
      </c>
      <c r="W470" s="266"/>
      <c r="X470" s="267" t="str">
        <f t="shared" si="48"/>
        <v/>
      </c>
      <c r="Y470" s="267" t="str">
        <f>IF(V470=1,V470+MAX($Y$5:Y469),"")</f>
        <v/>
      </c>
      <c r="Z470" s="267"/>
      <c r="AA470" s="265" t="str">
        <f>IF(ISTEXT(W470),IF(ISTEXT(Z470),Z470,'Datasource 2'!$M$14),"")</f>
        <v/>
      </c>
      <c r="AB470" s="261"/>
      <c r="AC470" s="261" t="str">
        <f t="shared" si="49"/>
        <v/>
      </c>
      <c r="AD470" s="261" t="str">
        <f t="shared" si="50"/>
        <v/>
      </c>
      <c r="AE470" s="262"/>
      <c r="AF470" s="380"/>
      <c r="AG470" s="380"/>
      <c r="AH470" s="389"/>
    </row>
    <row r="471" spans="1:34" ht="35.1" customHeight="1" thickBot="1" x14ac:dyDescent="0.4">
      <c r="A471" s="203">
        <v>47</v>
      </c>
      <c r="B471" s="413"/>
      <c r="C471" s="383"/>
      <c r="D471" s="263"/>
      <c r="E471" s="380"/>
      <c r="F471" s="380"/>
      <c r="G471" s="377"/>
      <c r="H471" s="386"/>
      <c r="I471" s="406"/>
      <c r="J471" s="407"/>
      <c r="K471" s="407"/>
      <c r="L471" s="407"/>
      <c r="M471" s="407"/>
      <c r="N471" s="408"/>
      <c r="O471" s="264"/>
      <c r="P471" s="380"/>
      <c r="Q471" s="383"/>
      <c r="R471" s="380"/>
      <c r="S471" s="383"/>
      <c r="T471" s="380"/>
      <c r="U471" s="386"/>
      <c r="V471" s="265">
        <f t="shared" si="47"/>
        <v>0</v>
      </c>
      <c r="W471" s="266"/>
      <c r="X471" s="267" t="str">
        <f t="shared" si="48"/>
        <v/>
      </c>
      <c r="Y471" s="267" t="str">
        <f>IF(V471=1,V471+MAX($Y$5:Y470),"")</f>
        <v/>
      </c>
      <c r="Z471" s="267"/>
      <c r="AA471" s="265" t="str">
        <f>IF(ISTEXT(W471),IF(ISTEXT(Z471),Z471,'Datasource 2'!$M$14),"")</f>
        <v/>
      </c>
      <c r="AB471" s="261"/>
      <c r="AC471" s="261" t="str">
        <f t="shared" si="49"/>
        <v/>
      </c>
      <c r="AD471" s="261" t="str">
        <f t="shared" si="50"/>
        <v/>
      </c>
      <c r="AE471" s="262"/>
      <c r="AF471" s="380"/>
      <c r="AG471" s="380"/>
      <c r="AH471" s="389"/>
    </row>
    <row r="472" spans="1:34" ht="35.1" customHeight="1" thickBot="1" x14ac:dyDescent="0.4">
      <c r="A472" s="203">
        <v>47</v>
      </c>
      <c r="B472" s="413"/>
      <c r="C472" s="383"/>
      <c r="D472" s="263"/>
      <c r="E472" s="380"/>
      <c r="F472" s="380"/>
      <c r="G472" s="377"/>
      <c r="H472" s="386"/>
      <c r="I472" s="406"/>
      <c r="J472" s="407"/>
      <c r="K472" s="407"/>
      <c r="L472" s="407"/>
      <c r="M472" s="407"/>
      <c r="N472" s="408"/>
      <c r="O472" s="264"/>
      <c r="P472" s="380"/>
      <c r="Q472" s="383"/>
      <c r="R472" s="380"/>
      <c r="S472" s="383"/>
      <c r="T472" s="380"/>
      <c r="U472" s="386"/>
      <c r="V472" s="265">
        <f t="shared" ref="V472:V504" si="51">IF(W472="",0,1)</f>
        <v>0</v>
      </c>
      <c r="W472" s="266"/>
      <c r="X472" s="267" t="str">
        <f t="shared" si="48"/>
        <v/>
      </c>
      <c r="Y472" s="267" t="str">
        <f>IF(V472=1,V472+MAX($Y$5:Y471),"")</f>
        <v/>
      </c>
      <c r="Z472" s="267"/>
      <c r="AA472" s="265" t="str">
        <f>IF(ISTEXT(W472),IF(ISTEXT(Z472),Z472,'Datasource 2'!$M$14),"")</f>
        <v/>
      </c>
      <c r="AB472" s="261"/>
      <c r="AC472" s="261" t="str">
        <f t="shared" si="49"/>
        <v/>
      </c>
      <c r="AD472" s="261" t="str">
        <f t="shared" si="50"/>
        <v/>
      </c>
      <c r="AE472" s="262"/>
      <c r="AF472" s="380"/>
      <c r="AG472" s="380"/>
      <c r="AH472" s="389"/>
    </row>
    <row r="473" spans="1:34" ht="35.1" customHeight="1" thickBot="1" x14ac:dyDescent="0.4">
      <c r="A473" s="203">
        <v>47</v>
      </c>
      <c r="B473" s="413"/>
      <c r="C473" s="383"/>
      <c r="D473" s="263"/>
      <c r="E473" s="380"/>
      <c r="F473" s="380"/>
      <c r="G473" s="377"/>
      <c r="H473" s="386"/>
      <c r="I473" s="406"/>
      <c r="J473" s="407"/>
      <c r="K473" s="407"/>
      <c r="L473" s="407"/>
      <c r="M473" s="407"/>
      <c r="N473" s="408"/>
      <c r="O473" s="264"/>
      <c r="P473" s="380"/>
      <c r="Q473" s="383"/>
      <c r="R473" s="380"/>
      <c r="S473" s="383"/>
      <c r="T473" s="380"/>
      <c r="U473" s="386"/>
      <c r="V473" s="265">
        <f t="shared" si="51"/>
        <v>0</v>
      </c>
      <c r="W473" s="266"/>
      <c r="X473" s="267" t="str">
        <f t="shared" si="48"/>
        <v/>
      </c>
      <c r="Y473" s="267" t="str">
        <f>IF(V473=1,V473+MAX($Y$5:Y472),"")</f>
        <v/>
      </c>
      <c r="Z473" s="267"/>
      <c r="AA473" s="265" t="str">
        <f>IF(ISTEXT(W473),IF(ISTEXT(Z473),Z473,'Datasource 2'!$M$14),"")</f>
        <v/>
      </c>
      <c r="AB473" s="261"/>
      <c r="AC473" s="261" t="str">
        <f t="shared" si="49"/>
        <v/>
      </c>
      <c r="AD473" s="261" t="str">
        <f t="shared" si="50"/>
        <v/>
      </c>
      <c r="AE473" s="262"/>
      <c r="AF473" s="380"/>
      <c r="AG473" s="380"/>
      <c r="AH473" s="389"/>
    </row>
    <row r="474" spans="1:34" ht="35.1" customHeight="1" thickBot="1" x14ac:dyDescent="0.4">
      <c r="A474" s="203">
        <v>47</v>
      </c>
      <c r="B474" s="414"/>
      <c r="C474" s="384"/>
      <c r="D474" s="268"/>
      <c r="E474" s="381"/>
      <c r="F474" s="381"/>
      <c r="G474" s="378"/>
      <c r="H474" s="387"/>
      <c r="I474" s="409"/>
      <c r="J474" s="410"/>
      <c r="K474" s="410"/>
      <c r="L474" s="410"/>
      <c r="M474" s="410"/>
      <c r="N474" s="411"/>
      <c r="O474" s="269"/>
      <c r="P474" s="381"/>
      <c r="Q474" s="384"/>
      <c r="R474" s="381"/>
      <c r="S474" s="384"/>
      <c r="T474" s="381"/>
      <c r="U474" s="387"/>
      <c r="V474" s="270">
        <f t="shared" si="51"/>
        <v>0</v>
      </c>
      <c r="W474" s="271"/>
      <c r="X474" s="272" t="str">
        <f t="shared" si="48"/>
        <v/>
      </c>
      <c r="Y474" s="272" t="str">
        <f>IF(V474=1,V474+MAX($Y$5:Y473),"")</f>
        <v/>
      </c>
      <c r="Z474" s="272"/>
      <c r="AA474" s="270" t="str">
        <f>IF(ISTEXT(W474),IF(ISTEXT(Z474),Z474,'Datasource 2'!$M$14),"")</f>
        <v/>
      </c>
      <c r="AB474" s="273"/>
      <c r="AC474" s="261" t="str">
        <f t="shared" si="49"/>
        <v/>
      </c>
      <c r="AD474" s="261" t="str">
        <f t="shared" si="50"/>
        <v/>
      </c>
      <c r="AE474" s="274"/>
      <c r="AF474" s="381"/>
      <c r="AG474" s="381"/>
      <c r="AH474" s="390"/>
    </row>
    <row r="475" spans="1:34" ht="35.1" customHeight="1" thickBot="1" x14ac:dyDescent="0.4">
      <c r="A475" s="205">
        <v>48</v>
      </c>
      <c r="B475" s="391">
        <v>48</v>
      </c>
      <c r="C475" s="364"/>
      <c r="D475" s="323"/>
      <c r="E475" s="361"/>
      <c r="F475" s="361"/>
      <c r="G475" s="373"/>
      <c r="H475" s="367" t="e">
        <f>IF(VLOOKUP(G475,Trusselvurdering!$B$3:$P$28,15,FALSE)=0,VLOOKUP(G475,Trusselvurdering!$B$3:$P$28,14,FALSE),VLOOKUP(G475,Trusselvurdering!$B$3:$P$28,15,FALSE))</f>
        <v>#N/A</v>
      </c>
      <c r="I475" s="394"/>
      <c r="J475" s="395"/>
      <c r="K475" s="395"/>
      <c r="L475" s="395"/>
      <c r="M475" s="395"/>
      <c r="N475" s="396"/>
      <c r="O475" s="324"/>
      <c r="P475" s="361"/>
      <c r="Q475" s="364"/>
      <c r="R475" s="361"/>
      <c r="S475" s="364"/>
      <c r="T475" s="361"/>
      <c r="U475" s="367" t="e">
        <f>VLOOKUP(Risikovurdering_data!C473,Akseptkriterier!$C$33:$H$37,MATCH(Risikovurdering_data!D473,Akseptkriterier!$D$32:$H$32,0)+1,FALSE)</f>
        <v>#N/A</v>
      </c>
      <c r="V475" s="325">
        <f t="shared" si="51"/>
        <v>0</v>
      </c>
      <c r="W475" s="326"/>
      <c r="X475" s="327" t="str">
        <f t="shared" si="48"/>
        <v/>
      </c>
      <c r="Y475" s="327" t="str">
        <f>IF(V475=1,V475+MAX($Y$5:Y474),"")</f>
        <v/>
      </c>
      <c r="Z475" s="327"/>
      <c r="AA475" s="325" t="str">
        <f>IF(ISTEXT(W475),IF(ISTEXT(Z475),Z475,'Datasource 2'!$M$14),"")</f>
        <v/>
      </c>
      <c r="AB475" s="328"/>
      <c r="AC475" s="328" t="str">
        <f t="shared" si="49"/>
        <v/>
      </c>
      <c r="AD475" s="328" t="str">
        <f t="shared" si="50"/>
        <v/>
      </c>
      <c r="AE475" s="329"/>
      <c r="AF475" s="361"/>
      <c r="AG475" s="361"/>
      <c r="AH475" s="370" t="e">
        <f>VLOOKUP(Risikovurdering_data!F473,Akseptkriterier!$C$33:$H$37,MATCH(Risikovurdering_data!G473,Akseptkriterier!$D$32:$H$32,0)+1,FALSE)</f>
        <v>#N/A</v>
      </c>
    </row>
    <row r="476" spans="1:34" ht="35.1" customHeight="1" thickBot="1" x14ac:dyDescent="0.4">
      <c r="A476" s="203">
        <v>48</v>
      </c>
      <c r="B476" s="392"/>
      <c r="C476" s="365"/>
      <c r="D476" s="330"/>
      <c r="E476" s="362"/>
      <c r="F476" s="362"/>
      <c r="G476" s="374"/>
      <c r="H476" s="368"/>
      <c r="I476" s="397"/>
      <c r="J476" s="398"/>
      <c r="K476" s="398"/>
      <c r="L476" s="398"/>
      <c r="M476" s="398"/>
      <c r="N476" s="399"/>
      <c r="O476" s="331"/>
      <c r="P476" s="362"/>
      <c r="Q476" s="365"/>
      <c r="R476" s="362"/>
      <c r="S476" s="365"/>
      <c r="T476" s="362"/>
      <c r="U476" s="368"/>
      <c r="V476" s="332">
        <f t="shared" si="51"/>
        <v>0</v>
      </c>
      <c r="W476" s="333"/>
      <c r="X476" s="334" t="str">
        <f t="shared" si="48"/>
        <v/>
      </c>
      <c r="Y476" s="334" t="str">
        <f>IF(V476=1,V476+MAX($Y$5:Y475),"")</f>
        <v/>
      </c>
      <c r="Z476" s="334"/>
      <c r="AA476" s="332" t="str">
        <f>IF(ISTEXT(W476),IF(ISTEXT(Z476),Z476,'Datasource 2'!$M$14),"")</f>
        <v/>
      </c>
      <c r="AB476" s="328"/>
      <c r="AC476" s="328" t="str">
        <f t="shared" si="49"/>
        <v/>
      </c>
      <c r="AD476" s="328" t="str">
        <f t="shared" si="50"/>
        <v/>
      </c>
      <c r="AE476" s="329"/>
      <c r="AF476" s="362"/>
      <c r="AG476" s="362"/>
      <c r="AH476" s="371"/>
    </row>
    <row r="477" spans="1:34" ht="35.1" customHeight="1" thickBot="1" x14ac:dyDescent="0.4">
      <c r="A477" s="203">
        <v>48</v>
      </c>
      <c r="B477" s="392"/>
      <c r="C477" s="365"/>
      <c r="D477" s="330"/>
      <c r="E477" s="362"/>
      <c r="F477" s="362"/>
      <c r="G477" s="374"/>
      <c r="H477" s="368"/>
      <c r="I477" s="397"/>
      <c r="J477" s="398"/>
      <c r="K477" s="398"/>
      <c r="L477" s="398"/>
      <c r="M477" s="398"/>
      <c r="N477" s="399"/>
      <c r="O477" s="331"/>
      <c r="P477" s="362"/>
      <c r="Q477" s="365"/>
      <c r="R477" s="362"/>
      <c r="S477" s="365"/>
      <c r="T477" s="362"/>
      <c r="U477" s="368"/>
      <c r="V477" s="332">
        <f t="shared" si="51"/>
        <v>0</v>
      </c>
      <c r="W477" s="333"/>
      <c r="X477" s="334" t="str">
        <f t="shared" si="48"/>
        <v/>
      </c>
      <c r="Y477" s="334" t="str">
        <f>IF(V477=1,V477+MAX($Y$5:Y476),"")</f>
        <v/>
      </c>
      <c r="Z477" s="334"/>
      <c r="AA477" s="332" t="str">
        <f>IF(ISTEXT(W477),IF(ISTEXT(Z477),Z477,'Datasource 2'!$M$14),"")</f>
        <v/>
      </c>
      <c r="AB477" s="328"/>
      <c r="AC477" s="328" t="str">
        <f t="shared" si="49"/>
        <v/>
      </c>
      <c r="AD477" s="328" t="str">
        <f t="shared" si="50"/>
        <v/>
      </c>
      <c r="AE477" s="329"/>
      <c r="AF477" s="362"/>
      <c r="AG477" s="362"/>
      <c r="AH477" s="371"/>
    </row>
    <row r="478" spans="1:34" ht="35.1" customHeight="1" thickBot="1" x14ac:dyDescent="0.4">
      <c r="A478" s="203">
        <v>48</v>
      </c>
      <c r="B478" s="392"/>
      <c r="C478" s="365"/>
      <c r="D478" s="330"/>
      <c r="E478" s="362"/>
      <c r="F478" s="362"/>
      <c r="G478" s="374"/>
      <c r="H478" s="368"/>
      <c r="I478" s="397"/>
      <c r="J478" s="398"/>
      <c r="K478" s="398"/>
      <c r="L478" s="398"/>
      <c r="M478" s="398"/>
      <c r="N478" s="399"/>
      <c r="O478" s="331"/>
      <c r="P478" s="362"/>
      <c r="Q478" s="365"/>
      <c r="R478" s="362"/>
      <c r="S478" s="365"/>
      <c r="T478" s="362"/>
      <c r="U478" s="368"/>
      <c r="V478" s="332">
        <f t="shared" si="51"/>
        <v>0</v>
      </c>
      <c r="W478" s="333"/>
      <c r="X478" s="334" t="str">
        <f t="shared" si="48"/>
        <v/>
      </c>
      <c r="Y478" s="334" t="str">
        <f>IF(V478=1,V478+MAX($Y$5:Y477),"")</f>
        <v/>
      </c>
      <c r="Z478" s="334"/>
      <c r="AA478" s="332" t="str">
        <f>IF(ISTEXT(W478),IF(ISTEXT(Z478),Z478,'Datasource 2'!$M$14),"")</f>
        <v/>
      </c>
      <c r="AB478" s="328"/>
      <c r="AC478" s="328" t="str">
        <f t="shared" si="49"/>
        <v/>
      </c>
      <c r="AD478" s="328" t="str">
        <f t="shared" si="50"/>
        <v/>
      </c>
      <c r="AE478" s="329"/>
      <c r="AF478" s="362"/>
      <c r="AG478" s="362"/>
      <c r="AH478" s="371"/>
    </row>
    <row r="479" spans="1:34" ht="35.1" customHeight="1" thickBot="1" x14ac:dyDescent="0.4">
      <c r="A479" s="203">
        <v>48</v>
      </c>
      <c r="B479" s="392"/>
      <c r="C479" s="365"/>
      <c r="D479" s="330"/>
      <c r="E479" s="362"/>
      <c r="F479" s="362"/>
      <c r="G479" s="374"/>
      <c r="H479" s="368"/>
      <c r="I479" s="397"/>
      <c r="J479" s="398"/>
      <c r="K479" s="398"/>
      <c r="L479" s="398"/>
      <c r="M479" s="398"/>
      <c r="N479" s="399"/>
      <c r="O479" s="331"/>
      <c r="P479" s="362"/>
      <c r="Q479" s="365"/>
      <c r="R479" s="362"/>
      <c r="S479" s="365"/>
      <c r="T479" s="362"/>
      <c r="U479" s="368"/>
      <c r="V479" s="332">
        <f t="shared" si="51"/>
        <v>0</v>
      </c>
      <c r="W479" s="333"/>
      <c r="X479" s="334" t="str">
        <f t="shared" si="48"/>
        <v/>
      </c>
      <c r="Y479" s="334" t="str">
        <f>IF(V479=1,V479+MAX($Y$5:Y478),"")</f>
        <v/>
      </c>
      <c r="Z479" s="334"/>
      <c r="AA479" s="332" t="str">
        <f>IF(ISTEXT(W479),IF(ISTEXT(Z479),Z479,'Datasource 2'!$M$14),"")</f>
        <v/>
      </c>
      <c r="AB479" s="328"/>
      <c r="AC479" s="328" t="str">
        <f t="shared" si="49"/>
        <v/>
      </c>
      <c r="AD479" s="328" t="str">
        <f t="shared" si="50"/>
        <v/>
      </c>
      <c r="AE479" s="329"/>
      <c r="AF479" s="362"/>
      <c r="AG479" s="362"/>
      <c r="AH479" s="371"/>
    </row>
    <row r="480" spans="1:34" ht="35.1" customHeight="1" thickBot="1" x14ac:dyDescent="0.4">
      <c r="A480" s="203">
        <v>48</v>
      </c>
      <c r="B480" s="392"/>
      <c r="C480" s="365"/>
      <c r="D480" s="330"/>
      <c r="E480" s="362"/>
      <c r="F480" s="362"/>
      <c r="G480" s="374"/>
      <c r="H480" s="368"/>
      <c r="I480" s="397"/>
      <c r="J480" s="398"/>
      <c r="K480" s="398"/>
      <c r="L480" s="398"/>
      <c r="M480" s="398"/>
      <c r="N480" s="399"/>
      <c r="O480" s="331"/>
      <c r="P480" s="362"/>
      <c r="Q480" s="365"/>
      <c r="R480" s="362"/>
      <c r="S480" s="365"/>
      <c r="T480" s="362"/>
      <c r="U480" s="368"/>
      <c r="V480" s="332">
        <f t="shared" si="51"/>
        <v>0</v>
      </c>
      <c r="W480" s="333"/>
      <c r="X480" s="334" t="str">
        <f t="shared" si="48"/>
        <v/>
      </c>
      <c r="Y480" s="334" t="str">
        <f>IF(V480=1,V480+MAX($Y$5:Y479),"")</f>
        <v/>
      </c>
      <c r="Z480" s="334"/>
      <c r="AA480" s="332" t="str">
        <f>IF(ISTEXT(W480),IF(ISTEXT(Z480),Z480,'Datasource 2'!$M$14),"")</f>
        <v/>
      </c>
      <c r="AB480" s="328"/>
      <c r="AC480" s="328" t="str">
        <f t="shared" si="49"/>
        <v/>
      </c>
      <c r="AD480" s="328" t="str">
        <f t="shared" si="50"/>
        <v/>
      </c>
      <c r="AE480" s="329"/>
      <c r="AF480" s="362"/>
      <c r="AG480" s="362"/>
      <c r="AH480" s="371"/>
    </row>
    <row r="481" spans="1:34" ht="35.1" customHeight="1" thickBot="1" x14ac:dyDescent="0.4">
      <c r="A481" s="203">
        <v>48</v>
      </c>
      <c r="B481" s="392"/>
      <c r="C481" s="365"/>
      <c r="D481" s="330"/>
      <c r="E481" s="362"/>
      <c r="F481" s="362"/>
      <c r="G481" s="374"/>
      <c r="H481" s="368"/>
      <c r="I481" s="397"/>
      <c r="J481" s="398"/>
      <c r="K481" s="398"/>
      <c r="L481" s="398"/>
      <c r="M481" s="398"/>
      <c r="N481" s="399"/>
      <c r="O481" s="331"/>
      <c r="P481" s="362"/>
      <c r="Q481" s="365"/>
      <c r="R481" s="362"/>
      <c r="S481" s="365"/>
      <c r="T481" s="362"/>
      <c r="U481" s="368"/>
      <c r="V481" s="332">
        <f t="shared" si="51"/>
        <v>0</v>
      </c>
      <c r="W481" s="333"/>
      <c r="X481" s="334" t="str">
        <f t="shared" si="48"/>
        <v/>
      </c>
      <c r="Y481" s="334" t="str">
        <f>IF(V481=1,V481+MAX($Y$5:Y480),"")</f>
        <v/>
      </c>
      <c r="Z481" s="334"/>
      <c r="AA481" s="332" t="str">
        <f>IF(ISTEXT(W481),IF(ISTEXT(Z481),Z481,'Datasource 2'!$M$14),"")</f>
        <v/>
      </c>
      <c r="AB481" s="328"/>
      <c r="AC481" s="328" t="str">
        <f t="shared" si="49"/>
        <v/>
      </c>
      <c r="AD481" s="328" t="str">
        <f t="shared" si="50"/>
        <v/>
      </c>
      <c r="AE481" s="329"/>
      <c r="AF481" s="362"/>
      <c r="AG481" s="362"/>
      <c r="AH481" s="371"/>
    </row>
    <row r="482" spans="1:34" ht="35.1" customHeight="1" thickBot="1" x14ac:dyDescent="0.4">
      <c r="A482" s="203">
        <v>48</v>
      </c>
      <c r="B482" s="392"/>
      <c r="C482" s="365"/>
      <c r="D482" s="330"/>
      <c r="E482" s="362"/>
      <c r="F482" s="362"/>
      <c r="G482" s="374"/>
      <c r="H482" s="368"/>
      <c r="I482" s="397"/>
      <c r="J482" s="398"/>
      <c r="K482" s="398"/>
      <c r="L482" s="398"/>
      <c r="M482" s="398"/>
      <c r="N482" s="399"/>
      <c r="O482" s="331"/>
      <c r="P482" s="362"/>
      <c r="Q482" s="365"/>
      <c r="R482" s="362"/>
      <c r="S482" s="365"/>
      <c r="T482" s="362"/>
      <c r="U482" s="368"/>
      <c r="V482" s="332">
        <f t="shared" si="51"/>
        <v>0</v>
      </c>
      <c r="W482" s="333"/>
      <c r="X482" s="334" t="str">
        <f t="shared" si="48"/>
        <v/>
      </c>
      <c r="Y482" s="334" t="str">
        <f>IF(V482=1,V482+MAX($Y$5:Y481),"")</f>
        <v/>
      </c>
      <c r="Z482" s="334"/>
      <c r="AA482" s="332" t="str">
        <f>IF(ISTEXT(W482),IF(ISTEXT(Z482),Z482,'Datasource 2'!$M$14),"")</f>
        <v/>
      </c>
      <c r="AB482" s="328"/>
      <c r="AC482" s="328" t="str">
        <f t="shared" si="49"/>
        <v/>
      </c>
      <c r="AD482" s="328" t="str">
        <f t="shared" si="50"/>
        <v/>
      </c>
      <c r="AE482" s="329"/>
      <c r="AF482" s="362"/>
      <c r="AG482" s="362"/>
      <c r="AH482" s="371"/>
    </row>
    <row r="483" spans="1:34" ht="35.1" customHeight="1" thickBot="1" x14ac:dyDescent="0.4">
      <c r="A483" s="203">
        <v>48</v>
      </c>
      <c r="B483" s="392"/>
      <c r="C483" s="365"/>
      <c r="D483" s="330"/>
      <c r="E483" s="362"/>
      <c r="F483" s="362"/>
      <c r="G483" s="374"/>
      <c r="H483" s="368"/>
      <c r="I483" s="397"/>
      <c r="J483" s="398"/>
      <c r="K483" s="398"/>
      <c r="L483" s="398"/>
      <c r="M483" s="398"/>
      <c r="N483" s="399"/>
      <c r="O483" s="331"/>
      <c r="P483" s="362"/>
      <c r="Q483" s="365"/>
      <c r="R483" s="362"/>
      <c r="S483" s="365"/>
      <c r="T483" s="362"/>
      <c r="U483" s="368"/>
      <c r="V483" s="332">
        <f t="shared" si="51"/>
        <v>0</v>
      </c>
      <c r="W483" s="333"/>
      <c r="X483" s="334" t="str">
        <f t="shared" si="48"/>
        <v/>
      </c>
      <c r="Y483" s="334" t="str">
        <f>IF(V483=1,V483+MAX($Y$5:Y482),"")</f>
        <v/>
      </c>
      <c r="Z483" s="334"/>
      <c r="AA483" s="332" t="str">
        <f>IF(ISTEXT(W483),IF(ISTEXT(Z483),Z483,'Datasource 2'!$M$14),"")</f>
        <v/>
      </c>
      <c r="AB483" s="328"/>
      <c r="AC483" s="328" t="str">
        <f t="shared" si="49"/>
        <v/>
      </c>
      <c r="AD483" s="328" t="str">
        <f t="shared" si="50"/>
        <v/>
      </c>
      <c r="AE483" s="329"/>
      <c r="AF483" s="362"/>
      <c r="AG483" s="362"/>
      <c r="AH483" s="371"/>
    </row>
    <row r="484" spans="1:34" ht="35.1" customHeight="1" thickBot="1" x14ac:dyDescent="0.4">
      <c r="A484" s="203">
        <v>48</v>
      </c>
      <c r="B484" s="393"/>
      <c r="C484" s="366"/>
      <c r="D484" s="335"/>
      <c r="E484" s="363"/>
      <c r="F484" s="363"/>
      <c r="G484" s="375"/>
      <c r="H484" s="369"/>
      <c r="I484" s="400"/>
      <c r="J484" s="401"/>
      <c r="K484" s="401"/>
      <c r="L484" s="401"/>
      <c r="M484" s="401"/>
      <c r="N484" s="402"/>
      <c r="O484" s="336"/>
      <c r="P484" s="363"/>
      <c r="Q484" s="366"/>
      <c r="R484" s="363"/>
      <c r="S484" s="366"/>
      <c r="T484" s="363"/>
      <c r="U484" s="369"/>
      <c r="V484" s="337">
        <f t="shared" si="51"/>
        <v>0</v>
      </c>
      <c r="W484" s="338"/>
      <c r="X484" s="339" t="str">
        <f t="shared" si="48"/>
        <v/>
      </c>
      <c r="Y484" s="339" t="str">
        <f>IF(V484=1,V484+MAX($Y$5:Y483),"")</f>
        <v/>
      </c>
      <c r="Z484" s="339"/>
      <c r="AA484" s="337" t="str">
        <f>IF(ISTEXT(W484),IF(ISTEXT(Z484),Z484,'Datasource 2'!$M$14),"")</f>
        <v/>
      </c>
      <c r="AB484" s="339"/>
      <c r="AC484" s="328" t="str">
        <f t="shared" si="49"/>
        <v/>
      </c>
      <c r="AD484" s="328" t="str">
        <f t="shared" si="50"/>
        <v/>
      </c>
      <c r="AE484" s="340"/>
      <c r="AF484" s="363"/>
      <c r="AG484" s="363"/>
      <c r="AH484" s="372"/>
    </row>
    <row r="485" spans="1:34" ht="35.1" customHeight="1" thickBot="1" x14ac:dyDescent="0.4">
      <c r="A485" s="205">
        <v>49</v>
      </c>
      <c r="B485" s="412">
        <v>49</v>
      </c>
      <c r="C485" s="382"/>
      <c r="D485" s="257"/>
      <c r="E485" s="379"/>
      <c r="F485" s="379"/>
      <c r="G485" s="376"/>
      <c r="H485" s="385" t="e">
        <f>IF(VLOOKUP(G485,Trusselvurdering!$B$3:$P$28,15,FALSE)=0,VLOOKUP(G485,Trusselvurdering!$B$3:$P$28,14,FALSE),VLOOKUP(G485,Trusselvurdering!$B$3:$P$28,15,FALSE))</f>
        <v>#N/A</v>
      </c>
      <c r="I485" s="403"/>
      <c r="J485" s="404"/>
      <c r="K485" s="404"/>
      <c r="L485" s="404"/>
      <c r="M485" s="404"/>
      <c r="N485" s="405"/>
      <c r="O485" s="258"/>
      <c r="P485" s="379"/>
      <c r="Q485" s="382"/>
      <c r="R485" s="379"/>
      <c r="S485" s="382"/>
      <c r="T485" s="379"/>
      <c r="U485" s="385" t="e">
        <f>VLOOKUP(Risikovurdering_data!C483,Akseptkriterier!$C$33:$H$37,MATCH(Risikovurdering_data!D483,Akseptkriterier!$D$32:$H$32,0)+1,FALSE)</f>
        <v>#N/A</v>
      </c>
      <c r="V485" s="259">
        <f t="shared" si="51"/>
        <v>0</v>
      </c>
      <c r="W485" s="260"/>
      <c r="X485" s="261" t="str">
        <f t="shared" si="48"/>
        <v/>
      </c>
      <c r="Y485" s="261" t="str">
        <f>IF(V485=1,V485+MAX($Y$5:Y484),"")</f>
        <v/>
      </c>
      <c r="Z485" s="261"/>
      <c r="AA485" s="259" t="str">
        <f>IF(ISTEXT(W485),IF(ISTEXT(Z485),Z485,'Datasource 2'!$M$14),"")</f>
        <v/>
      </c>
      <c r="AB485" s="261"/>
      <c r="AC485" s="261" t="str">
        <f t="shared" si="49"/>
        <v/>
      </c>
      <c r="AD485" s="261" t="str">
        <f t="shared" si="50"/>
        <v/>
      </c>
      <c r="AE485" s="262"/>
      <c r="AF485" s="379"/>
      <c r="AG485" s="379"/>
      <c r="AH485" s="388" t="e">
        <f>VLOOKUP(Risikovurdering_data!F483,Akseptkriterier!$C$33:$H$37,MATCH(Risikovurdering_data!G483,Akseptkriterier!$D$32:$H$32,0)+1,FALSE)</f>
        <v>#N/A</v>
      </c>
    </row>
    <row r="486" spans="1:34" ht="35.1" customHeight="1" thickBot="1" x14ac:dyDescent="0.4">
      <c r="A486" s="203">
        <v>49</v>
      </c>
      <c r="B486" s="413"/>
      <c r="C486" s="383"/>
      <c r="D486" s="263"/>
      <c r="E486" s="380"/>
      <c r="F486" s="380"/>
      <c r="G486" s="377"/>
      <c r="H486" s="386"/>
      <c r="I486" s="406"/>
      <c r="J486" s="407"/>
      <c r="K486" s="407"/>
      <c r="L486" s="407"/>
      <c r="M486" s="407"/>
      <c r="N486" s="408"/>
      <c r="O486" s="264"/>
      <c r="P486" s="380"/>
      <c r="Q486" s="383"/>
      <c r="R486" s="380"/>
      <c r="S486" s="383"/>
      <c r="T486" s="380"/>
      <c r="U486" s="386"/>
      <c r="V486" s="265">
        <f t="shared" si="51"/>
        <v>0</v>
      </c>
      <c r="W486" s="266"/>
      <c r="X486" s="267" t="str">
        <f t="shared" si="48"/>
        <v/>
      </c>
      <c r="Y486" s="267" t="str">
        <f>IF(V486=1,V486+MAX($Y$5:Y485),"")</f>
        <v/>
      </c>
      <c r="Z486" s="267"/>
      <c r="AA486" s="265" t="str">
        <f>IF(ISTEXT(W486),IF(ISTEXT(Z486),Z486,'Datasource 2'!$M$14),"")</f>
        <v/>
      </c>
      <c r="AB486" s="261"/>
      <c r="AC486" s="261" t="str">
        <f t="shared" si="49"/>
        <v/>
      </c>
      <c r="AD486" s="261" t="str">
        <f t="shared" si="50"/>
        <v/>
      </c>
      <c r="AE486" s="262"/>
      <c r="AF486" s="380"/>
      <c r="AG486" s="380"/>
      <c r="AH486" s="389"/>
    </row>
    <row r="487" spans="1:34" ht="35.1" customHeight="1" thickBot="1" x14ac:dyDescent="0.4">
      <c r="A487" s="203">
        <v>49</v>
      </c>
      <c r="B487" s="413"/>
      <c r="C487" s="383"/>
      <c r="D487" s="263"/>
      <c r="E487" s="380"/>
      <c r="F487" s="380"/>
      <c r="G487" s="377"/>
      <c r="H487" s="386"/>
      <c r="I487" s="406"/>
      <c r="J487" s="407"/>
      <c r="K487" s="407"/>
      <c r="L487" s="407"/>
      <c r="M487" s="407"/>
      <c r="N487" s="408"/>
      <c r="O487" s="264"/>
      <c r="P487" s="380"/>
      <c r="Q487" s="383"/>
      <c r="R487" s="380"/>
      <c r="S487" s="383"/>
      <c r="T487" s="380"/>
      <c r="U487" s="386"/>
      <c r="V487" s="265">
        <f t="shared" si="51"/>
        <v>0</v>
      </c>
      <c r="W487" s="266"/>
      <c r="X487" s="267" t="str">
        <f t="shared" si="48"/>
        <v/>
      </c>
      <c r="Y487" s="267" t="str">
        <f>IF(V487=1,V487+MAX($Y$5:Y486),"")</f>
        <v/>
      </c>
      <c r="Z487" s="267"/>
      <c r="AA487" s="265" t="str">
        <f>IF(ISTEXT(W487),IF(ISTEXT(Z487),Z487,'Datasource 2'!$M$14),"")</f>
        <v/>
      </c>
      <c r="AB487" s="261"/>
      <c r="AC487" s="261" t="str">
        <f t="shared" si="49"/>
        <v/>
      </c>
      <c r="AD487" s="261" t="str">
        <f t="shared" si="50"/>
        <v/>
      </c>
      <c r="AE487" s="262"/>
      <c r="AF487" s="380"/>
      <c r="AG487" s="380"/>
      <c r="AH487" s="389"/>
    </row>
    <row r="488" spans="1:34" ht="35.1" customHeight="1" thickBot="1" x14ac:dyDescent="0.4">
      <c r="A488" s="203">
        <v>49</v>
      </c>
      <c r="B488" s="413"/>
      <c r="C488" s="383"/>
      <c r="D488" s="263"/>
      <c r="E488" s="380"/>
      <c r="F488" s="380"/>
      <c r="G488" s="377"/>
      <c r="H488" s="386"/>
      <c r="I488" s="406"/>
      <c r="J488" s="407"/>
      <c r="K488" s="407"/>
      <c r="L488" s="407"/>
      <c r="M488" s="407"/>
      <c r="N488" s="408"/>
      <c r="O488" s="264"/>
      <c r="P488" s="380"/>
      <c r="Q488" s="383"/>
      <c r="R488" s="380"/>
      <c r="S488" s="383"/>
      <c r="T488" s="380"/>
      <c r="U488" s="386"/>
      <c r="V488" s="265">
        <f t="shared" si="51"/>
        <v>0</v>
      </c>
      <c r="W488" s="266"/>
      <c r="X488" s="267" t="str">
        <f t="shared" si="48"/>
        <v/>
      </c>
      <c r="Y488" s="267" t="str">
        <f>IF(V488=1,V488+MAX($Y$5:Y487),"")</f>
        <v/>
      </c>
      <c r="Z488" s="267"/>
      <c r="AA488" s="265" t="str">
        <f>IF(ISTEXT(W488),IF(ISTEXT(Z488),Z488,'Datasource 2'!$M$14),"")</f>
        <v/>
      </c>
      <c r="AB488" s="261"/>
      <c r="AC488" s="261" t="str">
        <f t="shared" si="49"/>
        <v/>
      </c>
      <c r="AD488" s="261" t="str">
        <f t="shared" si="50"/>
        <v/>
      </c>
      <c r="AE488" s="262"/>
      <c r="AF488" s="380"/>
      <c r="AG488" s="380"/>
      <c r="AH488" s="389"/>
    </row>
    <row r="489" spans="1:34" ht="35.1" customHeight="1" thickBot="1" x14ac:dyDescent="0.4">
      <c r="A489" s="203">
        <v>49</v>
      </c>
      <c r="B489" s="413"/>
      <c r="C489" s="383"/>
      <c r="D489" s="263"/>
      <c r="E489" s="380"/>
      <c r="F489" s="380"/>
      <c r="G489" s="377"/>
      <c r="H489" s="386"/>
      <c r="I489" s="406"/>
      <c r="J489" s="407"/>
      <c r="K489" s="407"/>
      <c r="L489" s="407"/>
      <c r="M489" s="407"/>
      <c r="N489" s="408"/>
      <c r="O489" s="264"/>
      <c r="P489" s="380"/>
      <c r="Q489" s="383"/>
      <c r="R489" s="380"/>
      <c r="S489" s="383"/>
      <c r="T489" s="380"/>
      <c r="U489" s="386"/>
      <c r="V489" s="265">
        <f t="shared" si="51"/>
        <v>0</v>
      </c>
      <c r="W489" s="266"/>
      <c r="X489" s="267" t="str">
        <f t="shared" si="48"/>
        <v/>
      </c>
      <c r="Y489" s="267" t="str">
        <f>IF(V489=1,V489+MAX($Y$5:Y488),"")</f>
        <v/>
      </c>
      <c r="Z489" s="267"/>
      <c r="AA489" s="265" t="str">
        <f>IF(ISTEXT(W489),IF(ISTEXT(Z489),Z489,'Datasource 2'!$M$14),"")</f>
        <v/>
      </c>
      <c r="AB489" s="261"/>
      <c r="AC489" s="261" t="str">
        <f t="shared" si="49"/>
        <v/>
      </c>
      <c r="AD489" s="261" t="str">
        <f t="shared" si="50"/>
        <v/>
      </c>
      <c r="AE489" s="262"/>
      <c r="AF489" s="380"/>
      <c r="AG489" s="380"/>
      <c r="AH489" s="389"/>
    </row>
    <row r="490" spans="1:34" ht="35.1" customHeight="1" thickBot="1" x14ac:dyDescent="0.4">
      <c r="A490" s="203">
        <v>49</v>
      </c>
      <c r="B490" s="413"/>
      <c r="C490" s="383"/>
      <c r="D490" s="263"/>
      <c r="E490" s="380"/>
      <c r="F490" s="380"/>
      <c r="G490" s="377"/>
      <c r="H490" s="386"/>
      <c r="I490" s="406"/>
      <c r="J490" s="407"/>
      <c r="K490" s="407"/>
      <c r="L490" s="407"/>
      <c r="M490" s="407"/>
      <c r="N490" s="408"/>
      <c r="O490" s="264"/>
      <c r="P490" s="380"/>
      <c r="Q490" s="383"/>
      <c r="R490" s="380"/>
      <c r="S490" s="383"/>
      <c r="T490" s="380"/>
      <c r="U490" s="386"/>
      <c r="V490" s="265">
        <f t="shared" si="51"/>
        <v>0</v>
      </c>
      <c r="W490" s="266"/>
      <c r="X490" s="267" t="str">
        <f t="shared" si="48"/>
        <v/>
      </c>
      <c r="Y490" s="267" t="str">
        <f>IF(V490=1,V490+MAX($Y$5:Y489),"")</f>
        <v/>
      </c>
      <c r="Z490" s="267"/>
      <c r="AA490" s="265" t="str">
        <f>IF(ISTEXT(W490),IF(ISTEXT(Z490),Z490,'Datasource 2'!$M$14),"")</f>
        <v/>
      </c>
      <c r="AB490" s="261"/>
      <c r="AC490" s="261" t="str">
        <f t="shared" si="49"/>
        <v/>
      </c>
      <c r="AD490" s="261" t="str">
        <f t="shared" si="50"/>
        <v/>
      </c>
      <c r="AE490" s="262"/>
      <c r="AF490" s="380"/>
      <c r="AG490" s="380"/>
      <c r="AH490" s="389"/>
    </row>
    <row r="491" spans="1:34" ht="35.1" customHeight="1" thickBot="1" x14ac:dyDescent="0.4">
      <c r="A491" s="203">
        <v>49</v>
      </c>
      <c r="B491" s="413"/>
      <c r="C491" s="383"/>
      <c r="D491" s="263"/>
      <c r="E491" s="380"/>
      <c r="F491" s="380"/>
      <c r="G491" s="377"/>
      <c r="H491" s="386"/>
      <c r="I491" s="406"/>
      <c r="J491" s="407"/>
      <c r="K491" s="407"/>
      <c r="L491" s="407"/>
      <c r="M491" s="407"/>
      <c r="N491" s="408"/>
      <c r="O491" s="264"/>
      <c r="P491" s="380"/>
      <c r="Q491" s="383"/>
      <c r="R491" s="380"/>
      <c r="S491" s="383"/>
      <c r="T491" s="380"/>
      <c r="U491" s="386"/>
      <c r="V491" s="265">
        <f t="shared" si="51"/>
        <v>0</v>
      </c>
      <c r="W491" s="266"/>
      <c r="X491" s="267" t="str">
        <f t="shared" si="48"/>
        <v/>
      </c>
      <c r="Y491" s="267" t="str">
        <f>IF(V491=1,V491+MAX($Y$5:Y490),"")</f>
        <v/>
      </c>
      <c r="Z491" s="267"/>
      <c r="AA491" s="265" t="str">
        <f>IF(ISTEXT(W491),IF(ISTEXT(Z491),Z491,'Datasource 2'!$M$14),"")</f>
        <v/>
      </c>
      <c r="AB491" s="261"/>
      <c r="AC491" s="261" t="str">
        <f t="shared" si="49"/>
        <v/>
      </c>
      <c r="AD491" s="261" t="str">
        <f t="shared" si="50"/>
        <v/>
      </c>
      <c r="AE491" s="262"/>
      <c r="AF491" s="380"/>
      <c r="AG491" s="380"/>
      <c r="AH491" s="389"/>
    </row>
    <row r="492" spans="1:34" ht="35.1" customHeight="1" thickBot="1" x14ac:dyDescent="0.4">
      <c r="A492" s="203">
        <v>49</v>
      </c>
      <c r="B492" s="413"/>
      <c r="C492" s="383"/>
      <c r="D492" s="263"/>
      <c r="E492" s="380"/>
      <c r="F492" s="380"/>
      <c r="G492" s="377"/>
      <c r="H492" s="386"/>
      <c r="I492" s="406"/>
      <c r="J492" s="407"/>
      <c r="K492" s="407"/>
      <c r="L492" s="407"/>
      <c r="M492" s="407"/>
      <c r="N492" s="408"/>
      <c r="O492" s="264"/>
      <c r="P492" s="380"/>
      <c r="Q492" s="383"/>
      <c r="R492" s="380"/>
      <c r="S492" s="383"/>
      <c r="T492" s="380"/>
      <c r="U492" s="386"/>
      <c r="V492" s="265">
        <f t="shared" si="51"/>
        <v>0</v>
      </c>
      <c r="W492" s="266"/>
      <c r="X492" s="267" t="str">
        <f t="shared" si="48"/>
        <v/>
      </c>
      <c r="Y492" s="267" t="str">
        <f>IF(V492=1,V492+MAX($Y$5:Y491),"")</f>
        <v/>
      </c>
      <c r="Z492" s="267"/>
      <c r="AA492" s="265" t="str">
        <f>IF(ISTEXT(W492),IF(ISTEXT(Z492),Z492,'Datasource 2'!$M$14),"")</f>
        <v/>
      </c>
      <c r="AB492" s="261"/>
      <c r="AC492" s="261" t="str">
        <f t="shared" si="49"/>
        <v/>
      </c>
      <c r="AD492" s="261" t="str">
        <f t="shared" si="50"/>
        <v/>
      </c>
      <c r="AE492" s="262"/>
      <c r="AF492" s="380"/>
      <c r="AG492" s="380"/>
      <c r="AH492" s="389"/>
    </row>
    <row r="493" spans="1:34" ht="35.1" customHeight="1" thickBot="1" x14ac:dyDescent="0.4">
      <c r="A493" s="203">
        <v>49</v>
      </c>
      <c r="B493" s="413"/>
      <c r="C493" s="383"/>
      <c r="D493" s="263"/>
      <c r="E493" s="380"/>
      <c r="F493" s="380"/>
      <c r="G493" s="377"/>
      <c r="H493" s="386"/>
      <c r="I493" s="406"/>
      <c r="J493" s="407"/>
      <c r="K493" s="407"/>
      <c r="L493" s="407"/>
      <c r="M493" s="407"/>
      <c r="N493" s="408"/>
      <c r="O493" s="264"/>
      <c r="P493" s="380"/>
      <c r="Q493" s="383"/>
      <c r="R493" s="380"/>
      <c r="S493" s="383"/>
      <c r="T493" s="380"/>
      <c r="U493" s="386"/>
      <c r="V493" s="265">
        <f t="shared" si="51"/>
        <v>0</v>
      </c>
      <c r="W493" s="266"/>
      <c r="X493" s="267" t="str">
        <f t="shared" si="48"/>
        <v/>
      </c>
      <c r="Y493" s="267" t="str">
        <f>IF(V493=1,V493+MAX($Y$5:Y492),"")</f>
        <v/>
      </c>
      <c r="Z493" s="267"/>
      <c r="AA493" s="265" t="str">
        <f>IF(ISTEXT(W493),IF(ISTEXT(Z493),Z493,'Datasource 2'!$M$14),"")</f>
        <v/>
      </c>
      <c r="AB493" s="261"/>
      <c r="AC493" s="261" t="str">
        <f t="shared" si="49"/>
        <v/>
      </c>
      <c r="AD493" s="261" t="str">
        <f t="shared" si="50"/>
        <v/>
      </c>
      <c r="AE493" s="262"/>
      <c r="AF493" s="380"/>
      <c r="AG493" s="380"/>
      <c r="AH493" s="389"/>
    </row>
    <row r="494" spans="1:34" ht="35.1" customHeight="1" thickBot="1" x14ac:dyDescent="0.4">
      <c r="A494" s="203">
        <v>49</v>
      </c>
      <c r="B494" s="414"/>
      <c r="C494" s="384"/>
      <c r="D494" s="268"/>
      <c r="E494" s="381"/>
      <c r="F494" s="381"/>
      <c r="G494" s="378"/>
      <c r="H494" s="387"/>
      <c r="I494" s="409"/>
      <c r="J494" s="410"/>
      <c r="K494" s="410"/>
      <c r="L494" s="410"/>
      <c r="M494" s="410"/>
      <c r="N494" s="411"/>
      <c r="O494" s="269"/>
      <c r="P494" s="381"/>
      <c r="Q494" s="384"/>
      <c r="R494" s="381"/>
      <c r="S494" s="384"/>
      <c r="T494" s="381"/>
      <c r="U494" s="387"/>
      <c r="V494" s="270">
        <f t="shared" si="51"/>
        <v>0</v>
      </c>
      <c r="W494" s="271"/>
      <c r="X494" s="272" t="str">
        <f t="shared" si="48"/>
        <v/>
      </c>
      <c r="Y494" s="272" t="str">
        <f>IF(V494=1,V494+MAX($Y$5:Y493),"")</f>
        <v/>
      </c>
      <c r="Z494" s="272"/>
      <c r="AA494" s="270" t="str">
        <f>IF(ISTEXT(W494),IF(ISTEXT(Z494),Z494,'Datasource 2'!$M$14),"")</f>
        <v/>
      </c>
      <c r="AB494" s="273"/>
      <c r="AC494" s="261" t="str">
        <f t="shared" si="49"/>
        <v/>
      </c>
      <c r="AD494" s="261" t="str">
        <f t="shared" si="50"/>
        <v/>
      </c>
      <c r="AE494" s="274"/>
      <c r="AF494" s="381"/>
      <c r="AG494" s="381"/>
      <c r="AH494" s="390"/>
    </row>
    <row r="495" spans="1:34" ht="35.1" customHeight="1" thickBot="1" x14ac:dyDescent="0.4">
      <c r="A495" s="205">
        <v>50</v>
      </c>
      <c r="B495" s="391">
        <v>50</v>
      </c>
      <c r="C495" s="364"/>
      <c r="D495" s="323"/>
      <c r="E495" s="361"/>
      <c r="F495" s="361"/>
      <c r="G495" s="373"/>
      <c r="H495" s="367" t="e">
        <f>IF(VLOOKUP(G495,Trusselvurdering!$B$3:$P$28,15,FALSE)=0,VLOOKUP(G495,Trusselvurdering!$B$3:$P$28,14,FALSE),VLOOKUP(G495,Trusselvurdering!$B$3:$P$28,15,FALSE))</f>
        <v>#N/A</v>
      </c>
      <c r="I495" s="394"/>
      <c r="J495" s="395"/>
      <c r="K495" s="395"/>
      <c r="L495" s="395"/>
      <c r="M495" s="395"/>
      <c r="N495" s="396"/>
      <c r="O495" s="324"/>
      <c r="P495" s="361"/>
      <c r="Q495" s="364"/>
      <c r="R495" s="361"/>
      <c r="S495" s="364"/>
      <c r="T495" s="361"/>
      <c r="U495" s="367" t="e">
        <f>VLOOKUP(Risikovurdering_data!C493,Akseptkriterier!$C$33:$H$37,MATCH(Risikovurdering_data!D493,Akseptkriterier!$D$32:$H$32,0)+1,FALSE)</f>
        <v>#N/A</v>
      </c>
      <c r="V495" s="325">
        <f t="shared" si="51"/>
        <v>0</v>
      </c>
      <c r="W495" s="326"/>
      <c r="X495" s="327" t="str">
        <f t="shared" si="48"/>
        <v/>
      </c>
      <c r="Y495" s="327" t="str">
        <f>IF(V495=1,V495+MAX($Y$5:Y494),"")</f>
        <v/>
      </c>
      <c r="Z495" s="327"/>
      <c r="AA495" s="325" t="str">
        <f>IF(ISTEXT(W495),IF(ISTEXT(Z495),Z495,'Datasource 2'!$M$14),"")</f>
        <v/>
      </c>
      <c r="AB495" s="328"/>
      <c r="AC495" s="328" t="str">
        <f t="shared" si="49"/>
        <v/>
      </c>
      <c r="AD495" s="328" t="str">
        <f t="shared" si="50"/>
        <v/>
      </c>
      <c r="AE495" s="329"/>
      <c r="AF495" s="361"/>
      <c r="AG495" s="361"/>
      <c r="AH495" s="370" t="e">
        <f>VLOOKUP(Risikovurdering_data!F493,Akseptkriterier!$C$33:$H$37,MATCH(Risikovurdering_data!G493,Akseptkriterier!$D$32:$H$32,0)+1,FALSE)</f>
        <v>#N/A</v>
      </c>
    </row>
    <row r="496" spans="1:34" ht="35.1" customHeight="1" thickBot="1" x14ac:dyDescent="0.4">
      <c r="A496" s="203">
        <v>50</v>
      </c>
      <c r="B496" s="392"/>
      <c r="C496" s="365"/>
      <c r="D496" s="330"/>
      <c r="E496" s="362"/>
      <c r="F496" s="362"/>
      <c r="G496" s="374"/>
      <c r="H496" s="368"/>
      <c r="I496" s="397"/>
      <c r="J496" s="398"/>
      <c r="K496" s="398"/>
      <c r="L496" s="398"/>
      <c r="M496" s="398"/>
      <c r="N496" s="399"/>
      <c r="O496" s="331"/>
      <c r="P496" s="362"/>
      <c r="Q496" s="365"/>
      <c r="R496" s="362"/>
      <c r="S496" s="365"/>
      <c r="T496" s="362"/>
      <c r="U496" s="368"/>
      <c r="V496" s="332">
        <f t="shared" si="51"/>
        <v>0</v>
      </c>
      <c r="W496" s="333"/>
      <c r="X496" s="334" t="str">
        <f t="shared" si="48"/>
        <v/>
      </c>
      <c r="Y496" s="334" t="str">
        <f>IF(V496=1,V496+MAX($Y$5:Y495),"")</f>
        <v/>
      </c>
      <c r="Z496" s="334"/>
      <c r="AA496" s="332" t="str">
        <f>IF(ISTEXT(W496),IF(ISTEXT(Z496),Z496,'Datasource 2'!$M$14),"")</f>
        <v/>
      </c>
      <c r="AB496" s="328"/>
      <c r="AC496" s="328" t="str">
        <f t="shared" si="49"/>
        <v/>
      </c>
      <c r="AD496" s="328" t="str">
        <f t="shared" si="50"/>
        <v/>
      </c>
      <c r="AE496" s="329"/>
      <c r="AF496" s="362"/>
      <c r="AG496" s="362"/>
      <c r="AH496" s="371"/>
    </row>
    <row r="497" spans="1:34" ht="35.1" customHeight="1" thickBot="1" x14ac:dyDescent="0.4">
      <c r="A497" s="203">
        <v>50</v>
      </c>
      <c r="B497" s="392"/>
      <c r="C497" s="365"/>
      <c r="D497" s="330"/>
      <c r="E497" s="362"/>
      <c r="F497" s="362"/>
      <c r="G497" s="374"/>
      <c r="H497" s="368"/>
      <c r="I497" s="397"/>
      <c r="J497" s="398"/>
      <c r="K497" s="398"/>
      <c r="L497" s="398"/>
      <c r="M497" s="398"/>
      <c r="N497" s="399"/>
      <c r="O497" s="331"/>
      <c r="P497" s="362"/>
      <c r="Q497" s="365"/>
      <c r="R497" s="362"/>
      <c r="S497" s="365"/>
      <c r="T497" s="362"/>
      <c r="U497" s="368"/>
      <c r="V497" s="332">
        <f t="shared" si="51"/>
        <v>0</v>
      </c>
      <c r="W497" s="333"/>
      <c r="X497" s="334" t="str">
        <f t="shared" si="48"/>
        <v/>
      </c>
      <c r="Y497" s="334" t="str">
        <f>IF(V497=1,V497+MAX($Y$5:Y496),"")</f>
        <v/>
      </c>
      <c r="Z497" s="334"/>
      <c r="AA497" s="332" t="str">
        <f>IF(ISTEXT(W497),IF(ISTEXT(Z497),Z497,'Datasource 2'!$M$14),"")</f>
        <v/>
      </c>
      <c r="AB497" s="328"/>
      <c r="AC497" s="328" t="str">
        <f t="shared" si="49"/>
        <v/>
      </c>
      <c r="AD497" s="328" t="str">
        <f t="shared" si="50"/>
        <v/>
      </c>
      <c r="AE497" s="329"/>
      <c r="AF497" s="362"/>
      <c r="AG497" s="362"/>
      <c r="AH497" s="371"/>
    </row>
    <row r="498" spans="1:34" ht="35.1" customHeight="1" thickBot="1" x14ac:dyDescent="0.4">
      <c r="A498" s="203">
        <v>50</v>
      </c>
      <c r="B498" s="392"/>
      <c r="C498" s="365"/>
      <c r="D498" s="330"/>
      <c r="E498" s="362"/>
      <c r="F498" s="362"/>
      <c r="G498" s="374"/>
      <c r="H498" s="368"/>
      <c r="I498" s="397"/>
      <c r="J498" s="398"/>
      <c r="K498" s="398"/>
      <c r="L498" s="398"/>
      <c r="M498" s="398"/>
      <c r="N498" s="399"/>
      <c r="O498" s="331"/>
      <c r="P498" s="362"/>
      <c r="Q498" s="365"/>
      <c r="R498" s="362"/>
      <c r="S498" s="365"/>
      <c r="T498" s="362"/>
      <c r="U498" s="368"/>
      <c r="V498" s="332">
        <f t="shared" si="51"/>
        <v>0</v>
      </c>
      <c r="W498" s="333"/>
      <c r="X498" s="334" t="str">
        <f t="shared" si="48"/>
        <v/>
      </c>
      <c r="Y498" s="334" t="str">
        <f>IF(V498=1,V498+MAX($Y$5:Y497),"")</f>
        <v/>
      </c>
      <c r="Z498" s="334"/>
      <c r="AA498" s="332" t="str">
        <f>IF(ISTEXT(W498),IF(ISTEXT(Z498),Z498,'Datasource 2'!$M$14),"")</f>
        <v/>
      </c>
      <c r="AB498" s="328"/>
      <c r="AC498" s="328" t="str">
        <f t="shared" si="49"/>
        <v/>
      </c>
      <c r="AD498" s="328" t="str">
        <f t="shared" si="50"/>
        <v/>
      </c>
      <c r="AE498" s="329"/>
      <c r="AF498" s="362"/>
      <c r="AG498" s="362"/>
      <c r="AH498" s="371"/>
    </row>
    <row r="499" spans="1:34" ht="35.1" customHeight="1" thickBot="1" x14ac:dyDescent="0.4">
      <c r="A499" s="203">
        <v>50</v>
      </c>
      <c r="B499" s="392"/>
      <c r="C499" s="365"/>
      <c r="D499" s="330"/>
      <c r="E499" s="362"/>
      <c r="F499" s="362"/>
      <c r="G499" s="374"/>
      <c r="H499" s="368"/>
      <c r="I499" s="397"/>
      <c r="J499" s="398"/>
      <c r="K499" s="398"/>
      <c r="L499" s="398"/>
      <c r="M499" s="398"/>
      <c r="N499" s="399"/>
      <c r="O499" s="331"/>
      <c r="P499" s="362"/>
      <c r="Q499" s="365"/>
      <c r="R499" s="362"/>
      <c r="S499" s="365"/>
      <c r="T499" s="362"/>
      <c r="U499" s="368"/>
      <c r="V499" s="332">
        <f t="shared" si="51"/>
        <v>0</v>
      </c>
      <c r="W499" s="333"/>
      <c r="X499" s="334" t="str">
        <f t="shared" si="48"/>
        <v/>
      </c>
      <c r="Y499" s="334" t="str">
        <f>IF(V499=1,V499+MAX($Y$5:Y498),"")</f>
        <v/>
      </c>
      <c r="Z499" s="334"/>
      <c r="AA499" s="332" t="str">
        <f>IF(ISTEXT(W499),IF(ISTEXT(Z499),Z499,'Datasource 2'!$M$14),"")</f>
        <v/>
      </c>
      <c r="AB499" s="328"/>
      <c r="AC499" s="328" t="str">
        <f t="shared" si="49"/>
        <v/>
      </c>
      <c r="AD499" s="328" t="str">
        <f t="shared" si="50"/>
        <v/>
      </c>
      <c r="AE499" s="329"/>
      <c r="AF499" s="362"/>
      <c r="AG499" s="362"/>
      <c r="AH499" s="371"/>
    </row>
    <row r="500" spans="1:34" ht="35.1" customHeight="1" thickBot="1" x14ac:dyDescent="0.4">
      <c r="A500" s="203">
        <v>50</v>
      </c>
      <c r="B500" s="392"/>
      <c r="C500" s="365"/>
      <c r="D500" s="330"/>
      <c r="E500" s="362"/>
      <c r="F500" s="362"/>
      <c r="G500" s="374"/>
      <c r="H500" s="368"/>
      <c r="I500" s="397"/>
      <c r="J500" s="398"/>
      <c r="K500" s="398"/>
      <c r="L500" s="398"/>
      <c r="M500" s="398"/>
      <c r="N500" s="399"/>
      <c r="O500" s="331"/>
      <c r="P500" s="362"/>
      <c r="Q500" s="365"/>
      <c r="R500" s="362"/>
      <c r="S500" s="365"/>
      <c r="T500" s="362"/>
      <c r="U500" s="368"/>
      <c r="V500" s="332">
        <f t="shared" si="51"/>
        <v>0</v>
      </c>
      <c r="W500" s="333"/>
      <c r="X500" s="334" t="str">
        <f t="shared" si="48"/>
        <v/>
      </c>
      <c r="Y500" s="334" t="str">
        <f>IF(V500=1,V500+MAX($Y$5:Y499),"")</f>
        <v/>
      </c>
      <c r="Z500" s="334"/>
      <c r="AA500" s="332" t="str">
        <f>IF(ISTEXT(W500),IF(ISTEXT(Z500),Z500,'Datasource 2'!$M$14),"")</f>
        <v/>
      </c>
      <c r="AB500" s="328"/>
      <c r="AC500" s="328" t="str">
        <f t="shared" si="49"/>
        <v/>
      </c>
      <c r="AD500" s="328" t="str">
        <f t="shared" si="50"/>
        <v/>
      </c>
      <c r="AE500" s="329"/>
      <c r="AF500" s="362"/>
      <c r="AG500" s="362"/>
      <c r="AH500" s="371"/>
    </row>
    <row r="501" spans="1:34" ht="35.1" customHeight="1" thickBot="1" x14ac:dyDescent="0.4">
      <c r="A501" s="203">
        <v>50</v>
      </c>
      <c r="B501" s="392"/>
      <c r="C501" s="365"/>
      <c r="D501" s="330"/>
      <c r="E501" s="362"/>
      <c r="F501" s="362"/>
      <c r="G501" s="374"/>
      <c r="H501" s="368"/>
      <c r="I501" s="397"/>
      <c r="J501" s="398"/>
      <c r="K501" s="398"/>
      <c r="L501" s="398"/>
      <c r="M501" s="398"/>
      <c r="N501" s="399"/>
      <c r="O501" s="331"/>
      <c r="P501" s="362"/>
      <c r="Q501" s="365"/>
      <c r="R501" s="362"/>
      <c r="S501" s="365"/>
      <c r="T501" s="362"/>
      <c r="U501" s="368"/>
      <c r="V501" s="332">
        <f t="shared" si="51"/>
        <v>0</v>
      </c>
      <c r="W501" s="333"/>
      <c r="X501" s="334" t="str">
        <f t="shared" si="48"/>
        <v/>
      </c>
      <c r="Y501" s="334" t="str">
        <f>IF(V501=1,V501+MAX($Y$5:Y500),"")</f>
        <v/>
      </c>
      <c r="Z501" s="334"/>
      <c r="AA501" s="332" t="str">
        <f>IF(ISTEXT(W501),IF(ISTEXT(Z501),Z501,'Datasource 2'!$M$14),"")</f>
        <v/>
      </c>
      <c r="AB501" s="328"/>
      <c r="AC501" s="328" t="str">
        <f t="shared" si="49"/>
        <v/>
      </c>
      <c r="AD501" s="328" t="str">
        <f t="shared" si="50"/>
        <v/>
      </c>
      <c r="AE501" s="329"/>
      <c r="AF501" s="362"/>
      <c r="AG501" s="362"/>
      <c r="AH501" s="371"/>
    </row>
    <row r="502" spans="1:34" ht="35.1" customHeight="1" thickBot="1" x14ac:dyDescent="0.4">
      <c r="A502" s="203">
        <v>50</v>
      </c>
      <c r="B502" s="392"/>
      <c r="C502" s="365"/>
      <c r="D502" s="330"/>
      <c r="E502" s="362"/>
      <c r="F502" s="362"/>
      <c r="G502" s="374"/>
      <c r="H502" s="368"/>
      <c r="I502" s="397"/>
      <c r="J502" s="398"/>
      <c r="K502" s="398"/>
      <c r="L502" s="398"/>
      <c r="M502" s="398"/>
      <c r="N502" s="399"/>
      <c r="O502" s="331"/>
      <c r="P502" s="362"/>
      <c r="Q502" s="365"/>
      <c r="R502" s="362"/>
      <c r="S502" s="365"/>
      <c r="T502" s="362"/>
      <c r="U502" s="368"/>
      <c r="V502" s="332">
        <f t="shared" si="51"/>
        <v>0</v>
      </c>
      <c r="W502" s="333"/>
      <c r="X502" s="334" t="str">
        <f t="shared" si="48"/>
        <v/>
      </c>
      <c r="Y502" s="334" t="str">
        <f>IF(V502=1,V502+MAX($Y$5:Y501),"")</f>
        <v/>
      </c>
      <c r="Z502" s="334"/>
      <c r="AA502" s="332" t="str">
        <f>IF(ISTEXT(W502),IF(ISTEXT(Z502),Z502,'Datasource 2'!$M$14),"")</f>
        <v/>
      </c>
      <c r="AB502" s="328"/>
      <c r="AC502" s="328" t="str">
        <f t="shared" si="49"/>
        <v/>
      </c>
      <c r="AD502" s="328" t="str">
        <f t="shared" si="50"/>
        <v/>
      </c>
      <c r="AE502" s="329"/>
      <c r="AF502" s="362"/>
      <c r="AG502" s="362"/>
      <c r="AH502" s="371"/>
    </row>
    <row r="503" spans="1:34" ht="35.1" customHeight="1" thickBot="1" x14ac:dyDescent="0.4">
      <c r="A503" s="203">
        <v>50</v>
      </c>
      <c r="B503" s="392"/>
      <c r="C503" s="365"/>
      <c r="D503" s="330"/>
      <c r="E503" s="362"/>
      <c r="F503" s="362"/>
      <c r="G503" s="374"/>
      <c r="H503" s="368"/>
      <c r="I503" s="397"/>
      <c r="J503" s="398"/>
      <c r="K503" s="398"/>
      <c r="L503" s="398"/>
      <c r="M503" s="398"/>
      <c r="N503" s="399"/>
      <c r="O503" s="331"/>
      <c r="P503" s="362"/>
      <c r="Q503" s="365"/>
      <c r="R503" s="362"/>
      <c r="S503" s="365"/>
      <c r="T503" s="362"/>
      <c r="U503" s="368"/>
      <c r="V503" s="332">
        <f t="shared" si="51"/>
        <v>0</v>
      </c>
      <c r="W503" s="333"/>
      <c r="X503" s="334" t="str">
        <f t="shared" si="48"/>
        <v/>
      </c>
      <c r="Y503" s="334" t="str">
        <f>IF(V503=1,V503+MAX($Y$5:Y502),"")</f>
        <v/>
      </c>
      <c r="Z503" s="334"/>
      <c r="AA503" s="332" t="str">
        <f>IF(ISTEXT(W503),IF(ISTEXT(Z503),Z503,'Datasource 2'!$M$14),"")</f>
        <v/>
      </c>
      <c r="AB503" s="328"/>
      <c r="AC503" s="328" t="str">
        <f t="shared" si="49"/>
        <v/>
      </c>
      <c r="AD503" s="328" t="str">
        <f t="shared" si="50"/>
        <v/>
      </c>
      <c r="AE503" s="329"/>
      <c r="AF503" s="362"/>
      <c r="AG503" s="362"/>
      <c r="AH503" s="371"/>
    </row>
    <row r="504" spans="1:34" ht="35.1" customHeight="1" thickBot="1" x14ac:dyDescent="0.4">
      <c r="A504" s="203">
        <v>50</v>
      </c>
      <c r="B504" s="393"/>
      <c r="C504" s="366"/>
      <c r="D504" s="335"/>
      <c r="E504" s="363"/>
      <c r="F504" s="363"/>
      <c r="G504" s="375"/>
      <c r="H504" s="369"/>
      <c r="I504" s="400"/>
      <c r="J504" s="401"/>
      <c r="K504" s="401"/>
      <c r="L504" s="401"/>
      <c r="M504" s="401"/>
      <c r="N504" s="402"/>
      <c r="O504" s="336"/>
      <c r="P504" s="363"/>
      <c r="Q504" s="366"/>
      <c r="R504" s="363"/>
      <c r="S504" s="366"/>
      <c r="T504" s="363"/>
      <c r="U504" s="369"/>
      <c r="V504" s="337">
        <f t="shared" si="51"/>
        <v>0</v>
      </c>
      <c r="W504" s="338"/>
      <c r="X504" s="339" t="str">
        <f t="shared" si="48"/>
        <v/>
      </c>
      <c r="Y504" s="339" t="str">
        <f>IF(V504=1,V504+MAX($Y$5:Y503),"")</f>
        <v/>
      </c>
      <c r="Z504" s="339"/>
      <c r="AA504" s="337" t="str">
        <f>IF(ISTEXT(W504),IF(ISTEXT(Z504),Z504,'Datasource 2'!$M$14),"")</f>
        <v/>
      </c>
      <c r="AB504" s="339"/>
      <c r="AC504" s="328" t="str">
        <f t="shared" si="49"/>
        <v/>
      </c>
      <c r="AD504" s="328" t="str">
        <f t="shared" si="50"/>
        <v/>
      </c>
      <c r="AE504" s="340"/>
      <c r="AF504" s="363"/>
      <c r="AG504" s="363"/>
      <c r="AH504" s="372"/>
    </row>
    <row r="505" spans="1:34" x14ac:dyDescent="0.35">
      <c r="C505" s="214"/>
    </row>
  </sheetData>
  <sheetProtection sheet="1" selectLockedCells="1"/>
  <mergeCells count="1273">
    <mergeCell ref="AC3:AC4"/>
    <mergeCell ref="AE3:AE4"/>
    <mergeCell ref="AD3:AD4"/>
    <mergeCell ref="E415:E424"/>
    <mergeCell ref="E425:E434"/>
    <mergeCell ref="E435:E444"/>
    <mergeCell ref="E445:E454"/>
    <mergeCell ref="E455:E464"/>
    <mergeCell ref="E465:E474"/>
    <mergeCell ref="E475:E484"/>
    <mergeCell ref="E485:E494"/>
    <mergeCell ref="E215:E224"/>
    <mergeCell ref="E225:E234"/>
    <mergeCell ref="E235:E244"/>
    <mergeCell ref="E245:E254"/>
    <mergeCell ref="E255:E264"/>
    <mergeCell ref="E265:E274"/>
    <mergeCell ref="E275:E284"/>
    <mergeCell ref="E285:E294"/>
    <mergeCell ref="E295:E304"/>
    <mergeCell ref="E305:E314"/>
    <mergeCell ref="E315:E324"/>
    <mergeCell ref="E325:E334"/>
    <mergeCell ref="E335:E344"/>
    <mergeCell ref="E345:E354"/>
    <mergeCell ref="E355:E364"/>
    <mergeCell ref="E365:E374"/>
    <mergeCell ref="E375:E384"/>
    <mergeCell ref="E65:E74"/>
    <mergeCell ref="E75:E84"/>
    <mergeCell ref="E85:E94"/>
    <mergeCell ref="E95:E104"/>
    <mergeCell ref="E105:E114"/>
    <mergeCell ref="E115:E124"/>
    <mergeCell ref="E125:E134"/>
    <mergeCell ref="E135:E144"/>
    <mergeCell ref="E145:E154"/>
    <mergeCell ref="E155:E164"/>
    <mergeCell ref="E165:E174"/>
    <mergeCell ref="E175:E184"/>
    <mergeCell ref="E185:E194"/>
    <mergeCell ref="E195:E204"/>
    <mergeCell ref="E205:E214"/>
    <mergeCell ref="E385:E394"/>
    <mergeCell ref="E395:E404"/>
    <mergeCell ref="F345:F354"/>
    <mergeCell ref="F355:F364"/>
    <mergeCell ref="F365:F374"/>
    <mergeCell ref="F375:F384"/>
    <mergeCell ref="F385:F394"/>
    <mergeCell ref="F395:F404"/>
    <mergeCell ref="F415:F424"/>
    <mergeCell ref="F425:F434"/>
    <mergeCell ref="F435:F444"/>
    <mergeCell ref="F445:F454"/>
    <mergeCell ref="F455:F464"/>
    <mergeCell ref="F465:F474"/>
    <mergeCell ref="F475:F484"/>
    <mergeCell ref="F485:F494"/>
    <mergeCell ref="F495:F504"/>
    <mergeCell ref="F175:F184"/>
    <mergeCell ref="F185:F194"/>
    <mergeCell ref="F195:F204"/>
    <mergeCell ref="F205:F214"/>
    <mergeCell ref="F215:F224"/>
    <mergeCell ref="F225:F234"/>
    <mergeCell ref="F235:F244"/>
    <mergeCell ref="F245:F254"/>
    <mergeCell ref="F255:F264"/>
    <mergeCell ref="F265:F274"/>
    <mergeCell ref="F275:F284"/>
    <mergeCell ref="F285:F294"/>
    <mergeCell ref="F295:F304"/>
    <mergeCell ref="F305:F314"/>
    <mergeCell ref="F315:F324"/>
    <mergeCell ref="F325:F334"/>
    <mergeCell ref="I303:N303"/>
    <mergeCell ref="F335:F344"/>
    <mergeCell ref="W3:W4"/>
    <mergeCell ref="F15:F24"/>
    <mergeCell ref="F25:F34"/>
    <mergeCell ref="F35:F44"/>
    <mergeCell ref="F45:F54"/>
    <mergeCell ref="F55:F64"/>
    <mergeCell ref="F65:F74"/>
    <mergeCell ref="F75:F84"/>
    <mergeCell ref="F85:F94"/>
    <mergeCell ref="F95:F104"/>
    <mergeCell ref="F105:F114"/>
    <mergeCell ref="F115:F124"/>
    <mergeCell ref="F125:F134"/>
    <mergeCell ref="F135:F144"/>
    <mergeCell ref="F145:F154"/>
    <mergeCell ref="F155:F164"/>
    <mergeCell ref="F165:F174"/>
    <mergeCell ref="I304:N304"/>
    <mergeCell ref="I271:N271"/>
    <mergeCell ref="I272:N272"/>
    <mergeCell ref="I273:N273"/>
    <mergeCell ref="I274:N274"/>
    <mergeCell ref="I285:N285"/>
    <mergeCell ref="I286:N286"/>
    <mergeCell ref="I287:N287"/>
    <mergeCell ref="I288:N288"/>
    <mergeCell ref="I275:N275"/>
    <mergeCell ref="I276:N276"/>
    <mergeCell ref="I277:N277"/>
    <mergeCell ref="I278:N278"/>
    <mergeCell ref="I270:N270"/>
    <mergeCell ref="D3:D4"/>
    <mergeCell ref="O3:O4"/>
    <mergeCell ref="I442:N442"/>
    <mergeCell ref="I443:N443"/>
    <mergeCell ref="I444:N444"/>
    <mergeCell ref="I455:N455"/>
    <mergeCell ref="I456:N456"/>
    <mergeCell ref="I457:N457"/>
    <mergeCell ref="I458:N458"/>
    <mergeCell ref="I459:N459"/>
    <mergeCell ref="I460:N460"/>
    <mergeCell ref="I400:N400"/>
    <mergeCell ref="I401:N401"/>
    <mergeCell ref="I402:N402"/>
    <mergeCell ref="I403:N403"/>
    <mergeCell ref="I404:N404"/>
    <mergeCell ref="I415:N415"/>
    <mergeCell ref="I416:N416"/>
    <mergeCell ref="I417:N417"/>
    <mergeCell ref="I418:N418"/>
    <mergeCell ref="I356:N356"/>
    <mergeCell ref="I357:N357"/>
    <mergeCell ref="I358:N358"/>
    <mergeCell ref="I359:N359"/>
    <mergeCell ref="I297:N297"/>
    <mergeCell ref="I298:N298"/>
    <mergeCell ref="I299:N299"/>
    <mergeCell ref="I300:N300"/>
    <mergeCell ref="I301:N301"/>
    <mergeCell ref="I302:N302"/>
    <mergeCell ref="E3:E4"/>
    <mergeCell ref="E15:E24"/>
    <mergeCell ref="E25:E34"/>
    <mergeCell ref="E35:E44"/>
    <mergeCell ref="I211:N211"/>
    <mergeCell ref="AB3:AB4"/>
    <mergeCell ref="I216:N216"/>
    <mergeCell ref="I217:N217"/>
    <mergeCell ref="I100:N100"/>
    <mergeCell ref="I63:N63"/>
    <mergeCell ref="I64:N64"/>
    <mergeCell ref="I75:N75"/>
    <mergeCell ref="I76:N76"/>
    <mergeCell ref="I77:N77"/>
    <mergeCell ref="I78:N78"/>
    <mergeCell ref="I79:N79"/>
    <mergeCell ref="I80:N80"/>
    <mergeCell ref="I81:N81"/>
    <mergeCell ref="I194:N194"/>
    <mergeCell ref="I205:N205"/>
    <mergeCell ref="I206:N206"/>
    <mergeCell ref="I207:N207"/>
    <mergeCell ref="I208:N208"/>
    <mergeCell ref="I209:N209"/>
    <mergeCell ref="I210:N210"/>
    <mergeCell ref="I196:N196"/>
    <mergeCell ref="I197:N197"/>
    <mergeCell ref="I198:N198"/>
    <mergeCell ref="I199:N199"/>
    <mergeCell ref="I200:N200"/>
    <mergeCell ref="E45:E54"/>
    <mergeCell ref="E55:E64"/>
    <mergeCell ref="I166:N166"/>
    <mergeCell ref="I484:N484"/>
    <mergeCell ref="I219:N219"/>
    <mergeCell ref="I220:N220"/>
    <mergeCell ref="I221:N221"/>
    <mergeCell ref="I222:N222"/>
    <mergeCell ref="I223:N223"/>
    <mergeCell ref="I224:N224"/>
    <mergeCell ref="I471:N471"/>
    <mergeCell ref="I472:N472"/>
    <mergeCell ref="I461:N461"/>
    <mergeCell ref="I462:N462"/>
    <mergeCell ref="I463:N463"/>
    <mergeCell ref="I464:N464"/>
    <mergeCell ref="I445:N445"/>
    <mergeCell ref="I446:N446"/>
    <mergeCell ref="I447:N447"/>
    <mergeCell ref="I448:N448"/>
    <mergeCell ref="I449:N449"/>
    <mergeCell ref="I450:N450"/>
    <mergeCell ref="I451:N451"/>
    <mergeCell ref="I360:N360"/>
    <mergeCell ref="I361:N361"/>
    <mergeCell ref="I362:N362"/>
    <mergeCell ref="I474:N474"/>
    <mergeCell ref="I387:N387"/>
    <mergeCell ref="I388:N388"/>
    <mergeCell ref="I389:N389"/>
    <mergeCell ref="I475:N475"/>
    <mergeCell ref="I476:N476"/>
    <mergeCell ref="I477:N477"/>
    <mergeCell ref="I478:N478"/>
    <mergeCell ref="I391:N391"/>
    <mergeCell ref="I392:N392"/>
    <mergeCell ref="I375:N375"/>
    <mergeCell ref="I376:N376"/>
    <mergeCell ref="I377:N377"/>
    <mergeCell ref="I378:N378"/>
    <mergeCell ref="I379:N379"/>
    <mergeCell ref="I380:N380"/>
    <mergeCell ref="I381:N381"/>
    <mergeCell ref="I382:N382"/>
    <mergeCell ref="I383:N383"/>
    <mergeCell ref="I384:N384"/>
    <mergeCell ref="I470:N470"/>
    <mergeCell ref="I329:N329"/>
    <mergeCell ref="I330:N330"/>
    <mergeCell ref="I331:N331"/>
    <mergeCell ref="I332:N332"/>
    <mergeCell ref="I333:N333"/>
    <mergeCell ref="I334:N334"/>
    <mergeCell ref="I345:N345"/>
    <mergeCell ref="I346:N346"/>
    <mergeCell ref="I347:N347"/>
    <mergeCell ref="I335:N335"/>
    <mergeCell ref="I336:N336"/>
    <mergeCell ref="I337:N337"/>
    <mergeCell ref="I338:N338"/>
    <mergeCell ref="I339:N339"/>
    <mergeCell ref="I340:N340"/>
    <mergeCell ref="I342:N342"/>
    <mergeCell ref="I343:N343"/>
    <mergeCell ref="I344:N344"/>
    <mergeCell ref="I390:N390"/>
    <mergeCell ref="I251:N251"/>
    <mergeCell ref="I252:N252"/>
    <mergeCell ref="I253:N253"/>
    <mergeCell ref="I254:N254"/>
    <mergeCell ref="I265:N265"/>
    <mergeCell ref="I266:N266"/>
    <mergeCell ref="I267:N267"/>
    <mergeCell ref="I268:N268"/>
    <mergeCell ref="I269:N269"/>
    <mergeCell ref="I255:N255"/>
    <mergeCell ref="I256:N256"/>
    <mergeCell ref="I257:N257"/>
    <mergeCell ref="I258:N258"/>
    <mergeCell ref="I259:N259"/>
    <mergeCell ref="I260:N260"/>
    <mergeCell ref="I261:N261"/>
    <mergeCell ref="I262:N262"/>
    <mergeCell ref="I263:N263"/>
    <mergeCell ref="I264:N264"/>
    <mergeCell ref="I167:N167"/>
    <mergeCell ref="I168:N168"/>
    <mergeCell ref="I169:N169"/>
    <mergeCell ref="I170:N170"/>
    <mergeCell ref="I171:N171"/>
    <mergeCell ref="I172:N172"/>
    <mergeCell ref="I173:N173"/>
    <mergeCell ref="I174:N174"/>
    <mergeCell ref="I184:N184"/>
    <mergeCell ref="I247:N247"/>
    <mergeCell ref="I248:N248"/>
    <mergeCell ref="I249:N249"/>
    <mergeCell ref="I250:N250"/>
    <mergeCell ref="I235:N235"/>
    <mergeCell ref="I236:N236"/>
    <mergeCell ref="I237:N237"/>
    <mergeCell ref="I238:N238"/>
    <mergeCell ref="I239:N239"/>
    <mergeCell ref="I240:N240"/>
    <mergeCell ref="I241:N241"/>
    <mergeCell ref="I242:N242"/>
    <mergeCell ref="I243:N243"/>
    <mergeCell ref="I244:N244"/>
    <mergeCell ref="I218:N218"/>
    <mergeCell ref="I230:N230"/>
    <mergeCell ref="I231:N231"/>
    <mergeCell ref="I147:N147"/>
    <mergeCell ref="I148:N148"/>
    <mergeCell ref="I149:N149"/>
    <mergeCell ref="I150:N150"/>
    <mergeCell ref="I151:N151"/>
    <mergeCell ref="I152:N152"/>
    <mergeCell ref="I153:N153"/>
    <mergeCell ref="I154:N154"/>
    <mergeCell ref="I165:N165"/>
    <mergeCell ref="I155:N155"/>
    <mergeCell ref="I156:N156"/>
    <mergeCell ref="I157:N157"/>
    <mergeCell ref="I158:N158"/>
    <mergeCell ref="I159:N159"/>
    <mergeCell ref="I160:N160"/>
    <mergeCell ref="I161:N161"/>
    <mergeCell ref="I162:N162"/>
    <mergeCell ref="I163:N163"/>
    <mergeCell ref="I164:N164"/>
    <mergeCell ref="I113:N113"/>
    <mergeCell ref="I114:N114"/>
    <mergeCell ref="I125:N125"/>
    <mergeCell ref="I126:N126"/>
    <mergeCell ref="I127:N127"/>
    <mergeCell ref="I115:N115"/>
    <mergeCell ref="I116:N116"/>
    <mergeCell ref="I117:N117"/>
    <mergeCell ref="I118:N118"/>
    <mergeCell ref="I119:N119"/>
    <mergeCell ref="I120:N120"/>
    <mergeCell ref="I121:N121"/>
    <mergeCell ref="I122:N122"/>
    <mergeCell ref="I123:N123"/>
    <mergeCell ref="I124:N124"/>
    <mergeCell ref="I82:N82"/>
    <mergeCell ref="I83:N83"/>
    <mergeCell ref="I84:N84"/>
    <mergeCell ref="I95:N95"/>
    <mergeCell ref="I96:N96"/>
    <mergeCell ref="I97:N97"/>
    <mergeCell ref="I5:N5"/>
    <mergeCell ref="I25:N25"/>
    <mergeCell ref="I26:N26"/>
    <mergeCell ref="I27:N27"/>
    <mergeCell ref="I28:N28"/>
    <mergeCell ref="I29:N29"/>
    <mergeCell ref="I30:N30"/>
    <mergeCell ref="I49:N49"/>
    <mergeCell ref="I50:N50"/>
    <mergeCell ref="I51:N51"/>
    <mergeCell ref="I52:N52"/>
    <mergeCell ref="I53:N53"/>
    <mergeCell ref="I54:N54"/>
    <mergeCell ref="I44:N44"/>
    <mergeCell ref="I55:N55"/>
    <mergeCell ref="I56:N56"/>
    <mergeCell ref="I57:N57"/>
    <mergeCell ref="I35:N35"/>
    <mergeCell ref="I36:N36"/>
    <mergeCell ref="I37:N37"/>
    <mergeCell ref="C45:C54"/>
    <mergeCell ref="B45:B54"/>
    <mergeCell ref="C25:C34"/>
    <mergeCell ref="B25:B34"/>
    <mergeCell ref="B35:B44"/>
    <mergeCell ref="B255:B264"/>
    <mergeCell ref="C255:C264"/>
    <mergeCell ref="C5:C14"/>
    <mergeCell ref="G235:G244"/>
    <mergeCell ref="B225:B234"/>
    <mergeCell ref="C225:C234"/>
    <mergeCell ref="B385:B394"/>
    <mergeCell ref="C385:C394"/>
    <mergeCell ref="G45:G54"/>
    <mergeCell ref="G85:G94"/>
    <mergeCell ref="G75:G84"/>
    <mergeCell ref="G65:G74"/>
    <mergeCell ref="G55:G64"/>
    <mergeCell ref="B55:B64"/>
    <mergeCell ref="C55:C64"/>
    <mergeCell ref="B365:B374"/>
    <mergeCell ref="C365:C374"/>
    <mergeCell ref="B5:B14"/>
    <mergeCell ref="B15:B24"/>
    <mergeCell ref="G305:G314"/>
    <mergeCell ref="G315:G324"/>
    <mergeCell ref="G325:G334"/>
    <mergeCell ref="G385:G394"/>
    <mergeCell ref="B185:B194"/>
    <mergeCell ref="C185:C194"/>
    <mergeCell ref="E5:E14"/>
    <mergeCell ref="F5:F14"/>
    <mergeCell ref="P5:P14"/>
    <mergeCell ref="P15:P24"/>
    <mergeCell ref="S15:S24"/>
    <mergeCell ref="I13:N13"/>
    <mergeCell ref="I14:N14"/>
    <mergeCell ref="I15:N15"/>
    <mergeCell ref="I16:N16"/>
    <mergeCell ref="I17:N17"/>
    <mergeCell ref="I18:N18"/>
    <mergeCell ref="I19:N19"/>
    <mergeCell ref="I20:N20"/>
    <mergeCell ref="I21:N21"/>
    <mergeCell ref="G395:G404"/>
    <mergeCell ref="G405:G414"/>
    <mergeCell ref="G415:G424"/>
    <mergeCell ref="G425:G434"/>
    <mergeCell ref="G365:G374"/>
    <mergeCell ref="I6:N6"/>
    <mergeCell ref="I7:N7"/>
    <mergeCell ref="I8:N8"/>
    <mergeCell ref="I9:N9"/>
    <mergeCell ref="I10:N10"/>
    <mergeCell ref="I11:N11"/>
    <mergeCell ref="I12:N12"/>
    <mergeCell ref="I47:N47"/>
    <mergeCell ref="I48:N48"/>
    <mergeCell ref="I90:N90"/>
    <mergeCell ref="I91:N91"/>
    <mergeCell ref="I92:N92"/>
    <mergeCell ref="I93:N93"/>
    <mergeCell ref="I94:N94"/>
    <mergeCell ref="H5:H14"/>
    <mergeCell ref="AH35:AH44"/>
    <mergeCell ref="AF35:AF44"/>
    <mergeCell ref="AG35:AG44"/>
    <mergeCell ref="U35:U44"/>
    <mergeCell ref="G335:G344"/>
    <mergeCell ref="AH255:AH264"/>
    <mergeCell ref="AH245:AH254"/>
    <mergeCell ref="R245:R254"/>
    <mergeCell ref="S245:S254"/>
    <mergeCell ref="T245:T254"/>
    <mergeCell ref="U245:U254"/>
    <mergeCell ref="AF245:AF254"/>
    <mergeCell ref="AG245:AG254"/>
    <mergeCell ref="P255:P264"/>
    <mergeCell ref="Q255:Q264"/>
    <mergeCell ref="R255:R264"/>
    <mergeCell ref="AH45:AH54"/>
    <mergeCell ref="AG45:AG54"/>
    <mergeCell ref="AF45:AF54"/>
    <mergeCell ref="U45:U54"/>
    <mergeCell ref="T45:T54"/>
    <mergeCell ref="S45:S54"/>
    <mergeCell ref="R45:R54"/>
    <mergeCell ref="Q45:Q54"/>
    <mergeCell ref="P45:P54"/>
    <mergeCell ref="H45:H54"/>
    <mergeCell ref="S35:S44"/>
    <mergeCell ref="I45:N45"/>
    <mergeCell ref="I46:N46"/>
    <mergeCell ref="T35:T44"/>
    <mergeCell ref="I58:N58"/>
    <mergeCell ref="I59:N59"/>
    <mergeCell ref="AH25:AH34"/>
    <mergeCell ref="AF25:AF34"/>
    <mergeCell ref="AG25:AG34"/>
    <mergeCell ref="U25:U34"/>
    <mergeCell ref="AH3:AH4"/>
    <mergeCell ref="R3:R4"/>
    <mergeCell ref="T3:T4"/>
    <mergeCell ref="U3:U4"/>
    <mergeCell ref="P3:P4"/>
    <mergeCell ref="X3:X4"/>
    <mergeCell ref="V3:V4"/>
    <mergeCell ref="Z3:Z4"/>
    <mergeCell ref="Y3:Y4"/>
    <mergeCell ref="AG3:AG4"/>
    <mergeCell ref="AF3:AF4"/>
    <mergeCell ref="AH5:AH14"/>
    <mergeCell ref="AF5:AF14"/>
    <mergeCell ref="AG5:AG14"/>
    <mergeCell ref="U5:U14"/>
    <mergeCell ref="Q5:Q14"/>
    <mergeCell ref="T5:T14"/>
    <mergeCell ref="T25:T34"/>
    <mergeCell ref="S25:S34"/>
    <mergeCell ref="AA3:AA4"/>
    <mergeCell ref="AH15:AH24"/>
    <mergeCell ref="AG15:AG24"/>
    <mergeCell ref="AF15:AF24"/>
    <mergeCell ref="U15:U24"/>
    <mergeCell ref="T15:T24"/>
    <mergeCell ref="R15:R24"/>
    <mergeCell ref="Q15:Q24"/>
    <mergeCell ref="S5:S14"/>
    <mergeCell ref="H3:H4"/>
    <mergeCell ref="I3:N3"/>
    <mergeCell ref="R5:R14"/>
    <mergeCell ref="G5:G14"/>
    <mergeCell ref="C35:C44"/>
    <mergeCell ref="Q35:Q44"/>
    <mergeCell ref="P35:P44"/>
    <mergeCell ref="H35:H44"/>
    <mergeCell ref="R35:R44"/>
    <mergeCell ref="G25:G34"/>
    <mergeCell ref="Q25:Q34"/>
    <mergeCell ref="G35:G44"/>
    <mergeCell ref="R25:R34"/>
    <mergeCell ref="C15:C24"/>
    <mergeCell ref="H15:H24"/>
    <mergeCell ref="P25:P34"/>
    <mergeCell ref="H25:H34"/>
    <mergeCell ref="I31:N31"/>
    <mergeCell ref="I32:N32"/>
    <mergeCell ref="I33:N33"/>
    <mergeCell ref="I34:N34"/>
    <mergeCell ref="G15:G24"/>
    <mergeCell ref="I4:N4"/>
    <mergeCell ref="I38:N38"/>
    <mergeCell ref="I39:N39"/>
    <mergeCell ref="I40:N40"/>
    <mergeCell ref="I41:N41"/>
    <mergeCell ref="I42:N42"/>
    <mergeCell ref="I43:N43"/>
    <mergeCell ref="I22:N22"/>
    <mergeCell ref="I23:N23"/>
    <mergeCell ref="I24:N24"/>
    <mergeCell ref="I305:N305"/>
    <mergeCell ref="I306:N306"/>
    <mergeCell ref="I307:N307"/>
    <mergeCell ref="H55:H64"/>
    <mergeCell ref="B75:B84"/>
    <mergeCell ref="C75:C84"/>
    <mergeCell ref="H75:H84"/>
    <mergeCell ref="B95:B104"/>
    <mergeCell ref="C95:C104"/>
    <mergeCell ref="H95:H104"/>
    <mergeCell ref="G255:G264"/>
    <mergeCell ref="G245:G254"/>
    <mergeCell ref="B65:B74"/>
    <mergeCell ref="C65:C74"/>
    <mergeCell ref="B245:B254"/>
    <mergeCell ref="C245:C254"/>
    <mergeCell ref="B85:B94"/>
    <mergeCell ref="B105:B114"/>
    <mergeCell ref="B175:B184"/>
    <mergeCell ref="C175:C184"/>
    <mergeCell ref="B205:B214"/>
    <mergeCell ref="C205:C214"/>
    <mergeCell ref="B215:B224"/>
    <mergeCell ref="C215:C224"/>
    <mergeCell ref="G145:G154"/>
    <mergeCell ref="G135:G144"/>
    <mergeCell ref="G125:G134"/>
    <mergeCell ref="G115:G124"/>
    <mergeCell ref="H205:H214"/>
    <mergeCell ref="I60:N60"/>
    <mergeCell ref="I61:N61"/>
    <mergeCell ref="I62:N62"/>
    <mergeCell ref="S315:S324"/>
    <mergeCell ref="T315:T324"/>
    <mergeCell ref="U315:U324"/>
    <mergeCell ref="AF315:AF324"/>
    <mergeCell ref="AG315:AG324"/>
    <mergeCell ref="S335:S344"/>
    <mergeCell ref="R315:R324"/>
    <mergeCell ref="T335:T344"/>
    <mergeCell ref="U335:U344"/>
    <mergeCell ref="AF335:AF344"/>
    <mergeCell ref="AG335:AG344"/>
    <mergeCell ref="S355:S364"/>
    <mergeCell ref="T355:T364"/>
    <mergeCell ref="U355:U364"/>
    <mergeCell ref="AF355:AF364"/>
    <mergeCell ref="AG355:AG364"/>
    <mergeCell ref="R335:R344"/>
    <mergeCell ref="H225:H234"/>
    <mergeCell ref="P225:P234"/>
    <mergeCell ref="I225:N225"/>
    <mergeCell ref="I226:N226"/>
    <mergeCell ref="I227:N227"/>
    <mergeCell ref="I228:N228"/>
    <mergeCell ref="I229:N229"/>
    <mergeCell ref="I105:N105"/>
    <mergeCell ref="AH465:AH474"/>
    <mergeCell ref="B455:B464"/>
    <mergeCell ref="C455:C464"/>
    <mergeCell ref="H455:H464"/>
    <mergeCell ref="P455:P464"/>
    <mergeCell ref="Q455:Q464"/>
    <mergeCell ref="R455:R464"/>
    <mergeCell ref="S455:S464"/>
    <mergeCell ref="T455:T464"/>
    <mergeCell ref="U455:U464"/>
    <mergeCell ref="AF455:AF464"/>
    <mergeCell ref="AG455:AG464"/>
    <mergeCell ref="AH455:AH464"/>
    <mergeCell ref="B465:B474"/>
    <mergeCell ref="P465:P474"/>
    <mergeCell ref="Q465:Q474"/>
    <mergeCell ref="R465:R474"/>
    <mergeCell ref="S465:S474"/>
    <mergeCell ref="T465:T474"/>
    <mergeCell ref="U465:U474"/>
    <mergeCell ref="AF465:AF474"/>
    <mergeCell ref="C465:C474"/>
    <mergeCell ref="AG465:AG474"/>
    <mergeCell ref="AG295:AG304"/>
    <mergeCell ref="I71:N71"/>
    <mergeCell ref="I72:N72"/>
    <mergeCell ref="I73:N73"/>
    <mergeCell ref="I74:N74"/>
    <mergeCell ref="I85:N85"/>
    <mergeCell ref="I86:N86"/>
    <mergeCell ref="I87:N87"/>
    <mergeCell ref="I88:N88"/>
    <mergeCell ref="I89:N89"/>
    <mergeCell ref="H65:H74"/>
    <mergeCell ref="P65:P74"/>
    <mergeCell ref="H175:H184"/>
    <mergeCell ref="P175:P184"/>
    <mergeCell ref="I104:N104"/>
    <mergeCell ref="I128:N128"/>
    <mergeCell ref="I129:N129"/>
    <mergeCell ref="I130:N130"/>
    <mergeCell ref="I131:N131"/>
    <mergeCell ref="I132:N132"/>
    <mergeCell ref="I133:N133"/>
    <mergeCell ref="I134:N134"/>
    <mergeCell ref="I145:N145"/>
    <mergeCell ref="I146:N146"/>
    <mergeCell ref="I135:N135"/>
    <mergeCell ref="I136:N136"/>
    <mergeCell ref="I137:N137"/>
    <mergeCell ref="I138:N138"/>
    <mergeCell ref="I139:N139"/>
    <mergeCell ref="I109:N109"/>
    <mergeCell ref="I110:N110"/>
    <mergeCell ref="I111:N111"/>
    <mergeCell ref="I112:N112"/>
    <mergeCell ref="H245:H254"/>
    <mergeCell ref="Q75:Q84"/>
    <mergeCell ref="R75:R84"/>
    <mergeCell ref="S75:S84"/>
    <mergeCell ref="T75:T84"/>
    <mergeCell ref="U75:U84"/>
    <mergeCell ref="AF75:AF84"/>
    <mergeCell ref="AG55:AG64"/>
    <mergeCell ref="C85:C94"/>
    <mergeCell ref="H85:H94"/>
    <mergeCell ref="P85:P94"/>
    <mergeCell ref="C105:C114"/>
    <mergeCell ref="H105:H114"/>
    <mergeCell ref="P105:P114"/>
    <mergeCell ref="Q105:Q114"/>
    <mergeCell ref="R105:R114"/>
    <mergeCell ref="S105:S114"/>
    <mergeCell ref="T105:T114"/>
    <mergeCell ref="U105:U114"/>
    <mergeCell ref="AF105:AF114"/>
    <mergeCell ref="AG105:AG114"/>
    <mergeCell ref="P55:P64"/>
    <mergeCell ref="P75:P84"/>
    <mergeCell ref="P135:P144"/>
    <mergeCell ref="G225:G234"/>
    <mergeCell ref="I65:N65"/>
    <mergeCell ref="I66:N66"/>
    <mergeCell ref="Q135:Q144"/>
    <mergeCell ref="I67:N67"/>
    <mergeCell ref="I68:N68"/>
    <mergeCell ref="I69:N69"/>
    <mergeCell ref="I70:N70"/>
    <mergeCell ref="AH55:AH64"/>
    <mergeCell ref="R65:R74"/>
    <mergeCell ref="S65:S74"/>
    <mergeCell ref="T65:T74"/>
    <mergeCell ref="U65:U74"/>
    <mergeCell ref="AF65:AF74"/>
    <mergeCell ref="AG65:AG74"/>
    <mergeCell ref="AH65:AH74"/>
    <mergeCell ref="Q55:Q64"/>
    <mergeCell ref="R55:R64"/>
    <mergeCell ref="S55:S64"/>
    <mergeCell ref="T55:T64"/>
    <mergeCell ref="U55:U64"/>
    <mergeCell ref="AF55:AF64"/>
    <mergeCell ref="R95:R104"/>
    <mergeCell ref="S95:S104"/>
    <mergeCell ref="T95:T104"/>
    <mergeCell ref="U95:U104"/>
    <mergeCell ref="AG75:AG84"/>
    <mergeCell ref="AH75:AH84"/>
    <mergeCell ref="Q85:Q94"/>
    <mergeCell ref="R85:R94"/>
    <mergeCell ref="S85:S94"/>
    <mergeCell ref="T85:T94"/>
    <mergeCell ref="U85:U94"/>
    <mergeCell ref="AF85:AF94"/>
    <mergeCell ref="AG85:AG94"/>
    <mergeCell ref="AH85:AH94"/>
    <mergeCell ref="AF95:AF104"/>
    <mergeCell ref="AG95:AG104"/>
    <mergeCell ref="AH95:AH104"/>
    <mergeCell ref="Q65:Q74"/>
    <mergeCell ref="AH105:AH114"/>
    <mergeCell ref="P95:P104"/>
    <mergeCell ref="Q95:Q104"/>
    <mergeCell ref="U115:U124"/>
    <mergeCell ref="AF115:AF124"/>
    <mergeCell ref="AG115:AG124"/>
    <mergeCell ref="AH115:AH124"/>
    <mergeCell ref="B125:B134"/>
    <mergeCell ref="C125:C134"/>
    <mergeCell ref="H125:H134"/>
    <mergeCell ref="P125:P134"/>
    <mergeCell ref="Q125:Q134"/>
    <mergeCell ref="R125:R134"/>
    <mergeCell ref="S125:S134"/>
    <mergeCell ref="T125:T134"/>
    <mergeCell ref="U125:U134"/>
    <mergeCell ref="AF125:AF134"/>
    <mergeCell ref="AG125:AG134"/>
    <mergeCell ref="AH125:AH134"/>
    <mergeCell ref="B115:B124"/>
    <mergeCell ref="C115:C124"/>
    <mergeCell ref="H115:H124"/>
    <mergeCell ref="G105:G114"/>
    <mergeCell ref="G95:G104"/>
    <mergeCell ref="I106:N106"/>
    <mergeCell ref="I107:N107"/>
    <mergeCell ref="I108:N108"/>
    <mergeCell ref="I101:N101"/>
    <mergeCell ref="I102:N102"/>
    <mergeCell ref="I103:N103"/>
    <mergeCell ref="I98:N98"/>
    <mergeCell ref="I99:N99"/>
    <mergeCell ref="R115:R124"/>
    <mergeCell ref="S115:S124"/>
    <mergeCell ref="T115:T124"/>
    <mergeCell ref="P115:P124"/>
    <mergeCell ref="Q115:Q124"/>
    <mergeCell ref="T135:T144"/>
    <mergeCell ref="U135:U144"/>
    <mergeCell ref="AF135:AF144"/>
    <mergeCell ref="AG135:AG144"/>
    <mergeCell ref="AH135:AH144"/>
    <mergeCell ref="B145:B154"/>
    <mergeCell ref="C145:C154"/>
    <mergeCell ref="H145:H154"/>
    <mergeCell ref="P145:P154"/>
    <mergeCell ref="Q145:Q154"/>
    <mergeCell ref="R145:R154"/>
    <mergeCell ref="S145:S154"/>
    <mergeCell ref="T145:T154"/>
    <mergeCell ref="U145:U154"/>
    <mergeCell ref="AF145:AF154"/>
    <mergeCell ref="AG145:AG154"/>
    <mergeCell ref="AH145:AH154"/>
    <mergeCell ref="B135:B144"/>
    <mergeCell ref="C135:C144"/>
    <mergeCell ref="H135:H144"/>
    <mergeCell ref="I140:N140"/>
    <mergeCell ref="I141:N141"/>
    <mergeCell ref="I142:N142"/>
    <mergeCell ref="I143:N143"/>
    <mergeCell ref="I144:N144"/>
    <mergeCell ref="R135:R144"/>
    <mergeCell ref="S135:S144"/>
    <mergeCell ref="S175:S184"/>
    <mergeCell ref="T175:T184"/>
    <mergeCell ref="U175:U184"/>
    <mergeCell ref="AF175:AF184"/>
    <mergeCell ref="AF155:AF164"/>
    <mergeCell ref="AG155:AG164"/>
    <mergeCell ref="AH155:AH164"/>
    <mergeCell ref="B165:B174"/>
    <mergeCell ref="C165:C174"/>
    <mergeCell ref="H165:H174"/>
    <mergeCell ref="P165:P174"/>
    <mergeCell ref="Q165:Q174"/>
    <mergeCell ref="R165:R174"/>
    <mergeCell ref="S165:S174"/>
    <mergeCell ref="T165:T174"/>
    <mergeCell ref="U165:U174"/>
    <mergeCell ref="AF165:AF174"/>
    <mergeCell ref="AG165:AG174"/>
    <mergeCell ref="AH165:AH174"/>
    <mergeCell ref="B155:B164"/>
    <mergeCell ref="C155:C164"/>
    <mergeCell ref="H155:H164"/>
    <mergeCell ref="G165:G174"/>
    <mergeCell ref="G155:G164"/>
    <mergeCell ref="R155:R164"/>
    <mergeCell ref="S155:S164"/>
    <mergeCell ref="T155:T164"/>
    <mergeCell ref="U155:U164"/>
    <mergeCell ref="P155:P164"/>
    <mergeCell ref="Q155:Q164"/>
    <mergeCell ref="AG175:AG184"/>
    <mergeCell ref="AH175:AH184"/>
    <mergeCell ref="S185:S194"/>
    <mergeCell ref="T185:T194"/>
    <mergeCell ref="U185:U194"/>
    <mergeCell ref="AF185:AF194"/>
    <mergeCell ref="AG185:AG194"/>
    <mergeCell ref="AH185:AH194"/>
    <mergeCell ref="G185:G194"/>
    <mergeCell ref="B195:B204"/>
    <mergeCell ref="C195:C204"/>
    <mergeCell ref="H195:H204"/>
    <mergeCell ref="P195:P204"/>
    <mergeCell ref="Q195:Q204"/>
    <mergeCell ref="G195:G204"/>
    <mergeCell ref="S195:S204"/>
    <mergeCell ref="T195:T204"/>
    <mergeCell ref="U195:U204"/>
    <mergeCell ref="AF195:AF204"/>
    <mergeCell ref="AG195:AG204"/>
    <mergeCell ref="AH195:AH204"/>
    <mergeCell ref="I201:N201"/>
    <mergeCell ref="I202:N202"/>
    <mergeCell ref="I203:N203"/>
    <mergeCell ref="I204:N204"/>
    <mergeCell ref="I185:N185"/>
    <mergeCell ref="I186:N186"/>
    <mergeCell ref="I187:N187"/>
    <mergeCell ref="I188:N188"/>
    <mergeCell ref="I189:N189"/>
    <mergeCell ref="I190:N190"/>
    <mergeCell ref="I191:N191"/>
    <mergeCell ref="I192:N192"/>
    <mergeCell ref="I193:N193"/>
    <mergeCell ref="Q175:Q184"/>
    <mergeCell ref="G175:G184"/>
    <mergeCell ref="I175:N175"/>
    <mergeCell ref="I176:N176"/>
    <mergeCell ref="I177:N177"/>
    <mergeCell ref="I178:N178"/>
    <mergeCell ref="I179:N179"/>
    <mergeCell ref="I180:N180"/>
    <mergeCell ref="I181:N181"/>
    <mergeCell ref="I182:N182"/>
    <mergeCell ref="I183:N183"/>
    <mergeCell ref="R175:R184"/>
    <mergeCell ref="Q205:Q214"/>
    <mergeCell ref="G205:G214"/>
    <mergeCell ref="I213:N213"/>
    <mergeCell ref="I214:N214"/>
    <mergeCell ref="Q215:Q224"/>
    <mergeCell ref="G215:G224"/>
    <mergeCell ref="R195:R204"/>
    <mergeCell ref="R205:R214"/>
    <mergeCell ref="I195:N195"/>
    <mergeCell ref="H185:H194"/>
    <mergeCell ref="P185:P194"/>
    <mergeCell ref="Q185:Q194"/>
    <mergeCell ref="R185:R194"/>
    <mergeCell ref="P205:P214"/>
    <mergeCell ref="S205:S214"/>
    <mergeCell ref="T205:T214"/>
    <mergeCell ref="U205:U214"/>
    <mergeCell ref="AF205:AF214"/>
    <mergeCell ref="AG205:AG214"/>
    <mergeCell ref="AH205:AH214"/>
    <mergeCell ref="R215:R224"/>
    <mergeCell ref="S215:S224"/>
    <mergeCell ref="T215:T224"/>
    <mergeCell ref="U215:U224"/>
    <mergeCell ref="AF215:AF224"/>
    <mergeCell ref="AG215:AG224"/>
    <mergeCell ref="AH215:AH224"/>
    <mergeCell ref="I215:N215"/>
    <mergeCell ref="H215:H224"/>
    <mergeCell ref="P215:P224"/>
    <mergeCell ref="I212:N212"/>
    <mergeCell ref="Q225:Q234"/>
    <mergeCell ref="R225:R234"/>
    <mergeCell ref="S225:S234"/>
    <mergeCell ref="T225:T234"/>
    <mergeCell ref="U225:U234"/>
    <mergeCell ref="AF225:AF234"/>
    <mergeCell ref="AG225:AG234"/>
    <mergeCell ref="AH225:AH234"/>
    <mergeCell ref="AH235:AH244"/>
    <mergeCell ref="AH265:AH274"/>
    <mergeCell ref="G265:G274"/>
    <mergeCell ref="B235:B244"/>
    <mergeCell ref="C235:C244"/>
    <mergeCell ref="H235:H244"/>
    <mergeCell ref="B265:B274"/>
    <mergeCell ref="C265:C274"/>
    <mergeCell ref="H265:H274"/>
    <mergeCell ref="P265:P274"/>
    <mergeCell ref="Q265:Q274"/>
    <mergeCell ref="S255:S264"/>
    <mergeCell ref="T255:T264"/>
    <mergeCell ref="U255:U264"/>
    <mergeCell ref="AF255:AF264"/>
    <mergeCell ref="P245:P254"/>
    <mergeCell ref="H255:H264"/>
    <mergeCell ref="I232:N232"/>
    <mergeCell ref="I233:N233"/>
    <mergeCell ref="I234:N234"/>
    <mergeCell ref="I245:N245"/>
    <mergeCell ref="I246:N246"/>
    <mergeCell ref="R235:R244"/>
    <mergeCell ref="S235:S244"/>
    <mergeCell ref="T235:T244"/>
    <mergeCell ref="U235:U244"/>
    <mergeCell ref="AF235:AF244"/>
    <mergeCell ref="AG235:AG244"/>
    <mergeCell ref="P235:P244"/>
    <mergeCell ref="Q235:Q244"/>
    <mergeCell ref="R265:R274"/>
    <mergeCell ref="S265:S274"/>
    <mergeCell ref="T265:T274"/>
    <mergeCell ref="U265:U274"/>
    <mergeCell ref="AF265:AF274"/>
    <mergeCell ref="AG265:AG274"/>
    <mergeCell ref="Q245:Q254"/>
    <mergeCell ref="AG255:AG264"/>
    <mergeCell ref="R275:R284"/>
    <mergeCell ref="S275:S284"/>
    <mergeCell ref="T275:T284"/>
    <mergeCell ref="U275:U284"/>
    <mergeCell ref="AF275:AF284"/>
    <mergeCell ref="AG275:AG284"/>
    <mergeCell ref="P275:P284"/>
    <mergeCell ref="AH275:AH284"/>
    <mergeCell ref="B285:B294"/>
    <mergeCell ref="C285:C294"/>
    <mergeCell ref="H285:H294"/>
    <mergeCell ref="P285:P294"/>
    <mergeCell ref="Q285:Q294"/>
    <mergeCell ref="R285:R294"/>
    <mergeCell ref="S285:S294"/>
    <mergeCell ref="T285:T294"/>
    <mergeCell ref="U285:U294"/>
    <mergeCell ref="AF285:AF294"/>
    <mergeCell ref="AG285:AG294"/>
    <mergeCell ref="AH285:AH294"/>
    <mergeCell ref="G275:G284"/>
    <mergeCell ref="B275:B284"/>
    <mergeCell ref="C275:C284"/>
    <mergeCell ref="H275:H284"/>
    <mergeCell ref="Q275:Q284"/>
    <mergeCell ref="I289:N289"/>
    <mergeCell ref="I290:N290"/>
    <mergeCell ref="I291:N291"/>
    <mergeCell ref="I292:N292"/>
    <mergeCell ref="I293:N293"/>
    <mergeCell ref="I294:N294"/>
    <mergeCell ref="I280:N280"/>
    <mergeCell ref="I281:N281"/>
    <mergeCell ref="I282:N282"/>
    <mergeCell ref="I283:N283"/>
    <mergeCell ref="I284:N284"/>
    <mergeCell ref="I279:N279"/>
    <mergeCell ref="AH295:AH304"/>
    <mergeCell ref="B305:B314"/>
    <mergeCell ref="C305:C314"/>
    <mergeCell ref="H305:H314"/>
    <mergeCell ref="P305:P314"/>
    <mergeCell ref="Q305:Q314"/>
    <mergeCell ref="R305:R314"/>
    <mergeCell ref="S305:S314"/>
    <mergeCell ref="T305:T314"/>
    <mergeCell ref="U305:U314"/>
    <mergeCell ref="AF305:AF314"/>
    <mergeCell ref="AG305:AG314"/>
    <mergeCell ref="AH305:AH314"/>
    <mergeCell ref="B295:B304"/>
    <mergeCell ref="C295:C304"/>
    <mergeCell ref="I308:N308"/>
    <mergeCell ref="I309:N309"/>
    <mergeCell ref="I310:N310"/>
    <mergeCell ref="R295:R304"/>
    <mergeCell ref="H295:H304"/>
    <mergeCell ref="P295:P304"/>
    <mergeCell ref="Q295:Q304"/>
    <mergeCell ref="I311:N311"/>
    <mergeCell ref="I312:N312"/>
    <mergeCell ref="I313:N313"/>
    <mergeCell ref="I314:N314"/>
    <mergeCell ref="S295:S304"/>
    <mergeCell ref="T295:T304"/>
    <mergeCell ref="I295:N295"/>
    <mergeCell ref="I296:N296"/>
    <mergeCell ref="U295:U304"/>
    <mergeCell ref="AF295:AF304"/>
    <mergeCell ref="I315:N315"/>
    <mergeCell ref="I316:N316"/>
    <mergeCell ref="I317:N317"/>
    <mergeCell ref="I318:N318"/>
    <mergeCell ref="I319:N319"/>
    <mergeCell ref="I320:N320"/>
    <mergeCell ref="I321:N321"/>
    <mergeCell ref="I322:N322"/>
    <mergeCell ref="I323:N323"/>
    <mergeCell ref="I324:N324"/>
    <mergeCell ref="AH315:AH324"/>
    <mergeCell ref="B325:B334"/>
    <mergeCell ref="C325:C334"/>
    <mergeCell ref="H325:H334"/>
    <mergeCell ref="P325:P334"/>
    <mergeCell ref="Q325:Q334"/>
    <mergeCell ref="R325:R334"/>
    <mergeCell ref="S325:S334"/>
    <mergeCell ref="T325:T334"/>
    <mergeCell ref="U325:U334"/>
    <mergeCell ref="AF325:AF334"/>
    <mergeCell ref="AG325:AG334"/>
    <mergeCell ref="AH325:AH334"/>
    <mergeCell ref="B315:B324"/>
    <mergeCell ref="C315:C324"/>
    <mergeCell ref="Q315:Q324"/>
    <mergeCell ref="I325:N325"/>
    <mergeCell ref="I326:N326"/>
    <mergeCell ref="I327:N327"/>
    <mergeCell ref="I328:N328"/>
    <mergeCell ref="H315:H324"/>
    <mergeCell ref="P315:P324"/>
    <mergeCell ref="H335:H344"/>
    <mergeCell ref="P335:P344"/>
    <mergeCell ref="Q335:Q344"/>
    <mergeCell ref="R355:R364"/>
    <mergeCell ref="G345:G354"/>
    <mergeCell ref="G355:G364"/>
    <mergeCell ref="I349:N349"/>
    <mergeCell ref="I350:N350"/>
    <mergeCell ref="I351:N351"/>
    <mergeCell ref="I352:N352"/>
    <mergeCell ref="I353:N353"/>
    <mergeCell ref="I354:N354"/>
    <mergeCell ref="I355:N355"/>
    <mergeCell ref="AH335:AH344"/>
    <mergeCell ref="B345:B354"/>
    <mergeCell ref="C345:C354"/>
    <mergeCell ref="H345:H354"/>
    <mergeCell ref="P345:P354"/>
    <mergeCell ref="Q345:Q354"/>
    <mergeCell ref="R345:R354"/>
    <mergeCell ref="S345:S354"/>
    <mergeCell ref="T345:T354"/>
    <mergeCell ref="U345:U354"/>
    <mergeCell ref="AF345:AF354"/>
    <mergeCell ref="AG345:AG354"/>
    <mergeCell ref="AH345:AH354"/>
    <mergeCell ref="B335:B344"/>
    <mergeCell ref="C335:C344"/>
    <mergeCell ref="I348:N348"/>
    <mergeCell ref="AH355:AH364"/>
    <mergeCell ref="I341:N341"/>
    <mergeCell ref="I363:N363"/>
    <mergeCell ref="H365:H374"/>
    <mergeCell ref="P365:P374"/>
    <mergeCell ref="Q365:Q374"/>
    <mergeCell ref="R365:R374"/>
    <mergeCell ref="S365:S374"/>
    <mergeCell ref="T365:T374"/>
    <mergeCell ref="U365:U374"/>
    <mergeCell ref="AF365:AF374"/>
    <mergeCell ref="AG365:AG374"/>
    <mergeCell ref="AH365:AH374"/>
    <mergeCell ref="B355:B364"/>
    <mergeCell ref="C355:C364"/>
    <mergeCell ref="S375:S384"/>
    <mergeCell ref="T375:T384"/>
    <mergeCell ref="U375:U384"/>
    <mergeCell ref="AF375:AF384"/>
    <mergeCell ref="AG375:AG384"/>
    <mergeCell ref="AH375:AH384"/>
    <mergeCell ref="H355:H364"/>
    <mergeCell ref="P355:P364"/>
    <mergeCell ref="Q355:Q364"/>
    <mergeCell ref="I369:N369"/>
    <mergeCell ref="I370:N370"/>
    <mergeCell ref="I371:N371"/>
    <mergeCell ref="I372:N372"/>
    <mergeCell ref="I373:N373"/>
    <mergeCell ref="I374:N374"/>
    <mergeCell ref="I365:N365"/>
    <mergeCell ref="I366:N366"/>
    <mergeCell ref="I367:N367"/>
    <mergeCell ref="I368:N368"/>
    <mergeCell ref="I364:N364"/>
    <mergeCell ref="H385:H394"/>
    <mergeCell ref="P385:P394"/>
    <mergeCell ref="Q385:Q394"/>
    <mergeCell ref="R385:R394"/>
    <mergeCell ref="S385:S394"/>
    <mergeCell ref="T385:T394"/>
    <mergeCell ref="U385:U394"/>
    <mergeCell ref="AF385:AF394"/>
    <mergeCell ref="AG385:AG394"/>
    <mergeCell ref="AH385:AH394"/>
    <mergeCell ref="B375:B384"/>
    <mergeCell ref="C375:C384"/>
    <mergeCell ref="H395:H404"/>
    <mergeCell ref="P395:P404"/>
    <mergeCell ref="Q395:Q404"/>
    <mergeCell ref="R375:R384"/>
    <mergeCell ref="H375:H384"/>
    <mergeCell ref="P375:P384"/>
    <mergeCell ref="Q375:Q384"/>
    <mergeCell ref="R395:R404"/>
    <mergeCell ref="G375:G384"/>
    <mergeCell ref="I393:N393"/>
    <mergeCell ref="I394:N394"/>
    <mergeCell ref="I395:N395"/>
    <mergeCell ref="I396:N396"/>
    <mergeCell ref="I397:N397"/>
    <mergeCell ref="I398:N398"/>
    <mergeCell ref="I399:N399"/>
    <mergeCell ref="S395:S404"/>
    <mergeCell ref="T395:T404"/>
    <mergeCell ref="I385:N385"/>
    <mergeCell ref="I386:N386"/>
    <mergeCell ref="U395:U404"/>
    <mergeCell ref="AF395:AF404"/>
    <mergeCell ref="AG395:AG404"/>
    <mergeCell ref="AH395:AH404"/>
    <mergeCell ref="B405:B414"/>
    <mergeCell ref="C405:C414"/>
    <mergeCell ref="H405:H414"/>
    <mergeCell ref="P405:P414"/>
    <mergeCell ref="Q405:Q414"/>
    <mergeCell ref="R405:R414"/>
    <mergeCell ref="S405:S414"/>
    <mergeCell ref="T405:T414"/>
    <mergeCell ref="U405:U414"/>
    <mergeCell ref="AF405:AF414"/>
    <mergeCell ref="AG405:AG414"/>
    <mergeCell ref="AH405:AH414"/>
    <mergeCell ref="B395:B404"/>
    <mergeCell ref="C395:C404"/>
    <mergeCell ref="I414:N414"/>
    <mergeCell ref="I405:N405"/>
    <mergeCell ref="I406:N406"/>
    <mergeCell ref="I407:N407"/>
    <mergeCell ref="I408:N408"/>
    <mergeCell ref="I409:N409"/>
    <mergeCell ref="I410:N410"/>
    <mergeCell ref="I411:N411"/>
    <mergeCell ref="I412:N412"/>
    <mergeCell ref="I413:N413"/>
    <mergeCell ref="E405:E414"/>
    <mergeCell ref="F405:F414"/>
    <mergeCell ref="AG415:AG424"/>
    <mergeCell ref="AH415:AH424"/>
    <mergeCell ref="B425:B434"/>
    <mergeCell ref="C425:C434"/>
    <mergeCell ref="H425:H434"/>
    <mergeCell ref="P425:P434"/>
    <mergeCell ref="Q425:Q434"/>
    <mergeCell ref="R425:R434"/>
    <mergeCell ref="S425:S434"/>
    <mergeCell ref="T425:T434"/>
    <mergeCell ref="U425:U434"/>
    <mergeCell ref="AF425:AF434"/>
    <mergeCell ref="AG425:AG434"/>
    <mergeCell ref="AH425:AH434"/>
    <mergeCell ref="B415:B424"/>
    <mergeCell ref="C415:C424"/>
    <mergeCell ref="I425:N425"/>
    <mergeCell ref="I426:N426"/>
    <mergeCell ref="I427:N427"/>
    <mergeCell ref="I428:N428"/>
    <mergeCell ref="I429:N429"/>
    <mergeCell ref="I430:N430"/>
    <mergeCell ref="I431:N431"/>
    <mergeCell ref="I432:N432"/>
    <mergeCell ref="I419:N419"/>
    <mergeCell ref="I420:N420"/>
    <mergeCell ref="I421:N421"/>
    <mergeCell ref="I422:N422"/>
    <mergeCell ref="I423:N423"/>
    <mergeCell ref="I424:N424"/>
    <mergeCell ref="S415:S424"/>
    <mergeCell ref="H415:H424"/>
    <mergeCell ref="P415:P424"/>
    <mergeCell ref="Q415:Q424"/>
    <mergeCell ref="S435:S444"/>
    <mergeCell ref="I433:N433"/>
    <mergeCell ref="I434:N434"/>
    <mergeCell ref="I435:N435"/>
    <mergeCell ref="I436:N436"/>
    <mergeCell ref="I437:N437"/>
    <mergeCell ref="I438:N438"/>
    <mergeCell ref="I439:N439"/>
    <mergeCell ref="I440:N440"/>
    <mergeCell ref="I441:N441"/>
    <mergeCell ref="T415:T424"/>
    <mergeCell ref="U415:U424"/>
    <mergeCell ref="AF415:AF424"/>
    <mergeCell ref="B445:B454"/>
    <mergeCell ref="C445:C454"/>
    <mergeCell ref="H445:H454"/>
    <mergeCell ref="P445:P454"/>
    <mergeCell ref="Q445:Q454"/>
    <mergeCell ref="R445:R454"/>
    <mergeCell ref="S445:S454"/>
    <mergeCell ref="T445:T454"/>
    <mergeCell ref="U445:U454"/>
    <mergeCell ref="AF445:AF454"/>
    <mergeCell ref="I452:N452"/>
    <mergeCell ref="I453:N453"/>
    <mergeCell ref="B435:B444"/>
    <mergeCell ref="C435:C444"/>
    <mergeCell ref="H435:H444"/>
    <mergeCell ref="P435:P444"/>
    <mergeCell ref="Q435:Q444"/>
    <mergeCell ref="G445:G454"/>
    <mergeCell ref="G435:G444"/>
    <mergeCell ref="I454:N454"/>
    <mergeCell ref="B475:B484"/>
    <mergeCell ref="C475:C484"/>
    <mergeCell ref="H475:H484"/>
    <mergeCell ref="P475:P484"/>
    <mergeCell ref="Q475:Q484"/>
    <mergeCell ref="B485:B494"/>
    <mergeCell ref="C485:C494"/>
    <mergeCell ref="H485:H494"/>
    <mergeCell ref="P485:P494"/>
    <mergeCell ref="Q485:Q494"/>
    <mergeCell ref="I492:N492"/>
    <mergeCell ref="I493:N493"/>
    <mergeCell ref="I494:N494"/>
    <mergeCell ref="H465:H474"/>
    <mergeCell ref="G465:G474"/>
    <mergeCell ref="G455:G464"/>
    <mergeCell ref="I465:N465"/>
    <mergeCell ref="I466:N466"/>
    <mergeCell ref="I467:N467"/>
    <mergeCell ref="I468:N468"/>
    <mergeCell ref="I469:N469"/>
    <mergeCell ref="G485:G494"/>
    <mergeCell ref="G475:G484"/>
    <mergeCell ref="I473:N473"/>
    <mergeCell ref="I479:N479"/>
    <mergeCell ref="I480:N480"/>
    <mergeCell ref="I481:N481"/>
    <mergeCell ref="I482:N482"/>
    <mergeCell ref="I483:N483"/>
    <mergeCell ref="B495:B504"/>
    <mergeCell ref="C495:C504"/>
    <mergeCell ref="H495:H504"/>
    <mergeCell ref="P495:P504"/>
    <mergeCell ref="Q495:Q504"/>
    <mergeCell ref="I495:N495"/>
    <mergeCell ref="I496:N496"/>
    <mergeCell ref="I497:N497"/>
    <mergeCell ref="I498:N498"/>
    <mergeCell ref="I499:N499"/>
    <mergeCell ref="I500:N500"/>
    <mergeCell ref="I501:N501"/>
    <mergeCell ref="I502:N502"/>
    <mergeCell ref="I503:N503"/>
    <mergeCell ref="I504:N504"/>
    <mergeCell ref="I485:N485"/>
    <mergeCell ref="I486:N486"/>
    <mergeCell ref="I487:N487"/>
    <mergeCell ref="I488:N488"/>
    <mergeCell ref="G495:G504"/>
    <mergeCell ref="I489:N489"/>
    <mergeCell ref="I490:N490"/>
    <mergeCell ref="I491:N491"/>
    <mergeCell ref="E495:E504"/>
    <mergeCell ref="R495:R504"/>
    <mergeCell ref="S495:S504"/>
    <mergeCell ref="T495:T504"/>
    <mergeCell ref="U495:U504"/>
    <mergeCell ref="AF495:AF504"/>
    <mergeCell ref="AG495:AG504"/>
    <mergeCell ref="AH495:AH504"/>
    <mergeCell ref="G295:G304"/>
    <mergeCell ref="G285:G294"/>
    <mergeCell ref="R475:R484"/>
    <mergeCell ref="S475:S484"/>
    <mergeCell ref="T475:T484"/>
    <mergeCell ref="U475:U484"/>
    <mergeCell ref="AF475:AF484"/>
    <mergeCell ref="AG475:AG484"/>
    <mergeCell ref="AH475:AH484"/>
    <mergeCell ref="R485:R494"/>
    <mergeCell ref="S485:S494"/>
    <mergeCell ref="T485:T494"/>
    <mergeCell ref="U485:U494"/>
    <mergeCell ref="AF485:AF494"/>
    <mergeCell ref="AG485:AG494"/>
    <mergeCell ref="AH485:AH494"/>
    <mergeCell ref="R435:R444"/>
    <mergeCell ref="T435:T444"/>
    <mergeCell ref="U435:U444"/>
    <mergeCell ref="AF435:AF444"/>
    <mergeCell ref="AG435:AG444"/>
    <mergeCell ref="AH435:AH444"/>
    <mergeCell ref="R415:R424"/>
    <mergeCell ref="AG445:AG454"/>
    <mergeCell ref="AH445:AH454"/>
  </mergeCells>
  <conditionalFormatting sqref="AH5 U5 U15 U65 AH15 U25 U35 U45 U55 U75 U85 U95 U105 U115 U125 U135 U145 U155 U165 U175 U185 U195 U205 U215 U225 U235 U245 U255 U265 U275 U285 U295 U305 U315 U325 U335 U345 U355 U365 U375 U385 U395 U405 U415 U425 U435 U445 U455 U465 U475 U485 U495 AH25 AH45 AH65 AH85 AH105 AH125 AH145 AH165 AH185 AH205 AH225 AH245 AH265 AH285 AH305 AH325 AH345 AH365 AH385 AH405 AH425 AH445 AH465 AH485 AH35 AH55 AH75 AH95 AH115 AH135 AH155 AH175 AH195 AH215 AH235 AH255 AH275 AH295 AH315 AH335 AH355 AH375 AH395 AH415 AH435 AH455 AH475 AH495">
    <cfRule type="cellIs" dxfId="175" priority="752" operator="between">
      <formula>3</formula>
      <formula>6</formula>
    </cfRule>
    <cfRule type="cellIs" dxfId="174" priority="753" operator="between">
      <formula>12</formula>
      <formula>16</formula>
    </cfRule>
    <cfRule type="cellIs" dxfId="173" priority="754" operator="between">
      <formula>7</formula>
      <formula>9</formula>
    </cfRule>
    <cfRule type="cellIs" dxfId="172" priority="755" operator="between">
      <formula>0</formula>
      <formula>2</formula>
    </cfRule>
    <cfRule type="cellIs" dxfId="171" priority="756" operator="lessThan">
      <formula>3</formula>
    </cfRule>
  </conditionalFormatting>
  <conditionalFormatting sqref="G5:G14">
    <cfRule type="expression" dxfId="170" priority="27">
      <formula>H5="5 - Svært høyt"</formula>
    </cfRule>
  </conditionalFormatting>
  <conditionalFormatting sqref="H5 H15 H25 H35 H65 H95 H125 H155 H185 H215 H245 H275 H305 H335 H365 H395 H425 H455 H485 H45 H75 H105 H135 H165 H195 H225 H255 H285 H315 H345 H375 H405 H435 H465 H495 H55 H85 H115 H145 H175 H205 H235 H265 H295 H325 H355 H385 H415 H445 H475">
    <cfRule type="cellIs" dxfId="169" priority="12" operator="equal">
      <formula>"Svært høy"</formula>
    </cfRule>
    <cfRule type="cellIs" dxfId="168" priority="13" operator="equal">
      <formula>"Høy"</formula>
    </cfRule>
  </conditionalFormatting>
  <conditionalFormatting sqref="AC5:AD504">
    <cfRule type="cellIs" dxfId="167" priority="1" operator="equal">
      <formula>"Open"</formula>
    </cfRule>
  </conditionalFormatting>
  <dataValidations count="4">
    <dataValidation type="list" allowBlank="1" showInputMessage="1" showErrorMessage="1" sqref="G505:G1048576" xr:uid="{00000000-0002-0000-0700-000000000000}">
      <formula1>$B$3:$B$41</formula1>
    </dataValidation>
    <dataValidation type="list" allowBlank="1" showInputMessage="1" showErrorMessage="1" sqref="G5:G504" xr:uid="{00000000-0002-0000-0700-000001000000}">
      <formula1>Trusselliste</formula1>
    </dataValidation>
    <dataValidation type="list" allowBlank="1" showInputMessage="1" sqref="Z5:Z504" xr:uid="{00000000-0002-0000-0700-000005000000}">
      <formula1>IF(W5="",INDEX(Prioritetsliste_alt,1),Prioritetsliste)</formula1>
    </dataValidation>
    <dataValidation type="list" allowBlank="1" showInputMessage="1" showErrorMessage="1" sqref="D5:D504" xr:uid="{65FB8D33-CB6E-437C-A3E7-51A846E6D706}">
      <formula1>Verdiliste</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624" operator="equal" id="{B4321157-9A0A-4FB4-A700-F1AEB7F0521E}">
            <xm:f>Akseptkriterier!$H$5</xm:f>
            <x14:dxf>
              <fill>
                <patternFill>
                  <bgColor rgb="FF92D050"/>
                </patternFill>
              </fill>
            </x14:dxf>
          </x14:cfRule>
          <x14:cfRule type="cellIs" priority="1625" operator="equal" id="{75731ED0-1D52-444B-B330-CDB023E3D5E3}">
            <xm:f>Akseptkriterier!$H$6</xm:f>
            <x14:dxf>
              <fill>
                <patternFill>
                  <bgColor rgb="FFFFFF00"/>
                </patternFill>
              </fill>
            </x14:dxf>
          </x14:cfRule>
          <x14:cfRule type="cellIs" priority="1626" operator="equal" id="{2885BD44-9D05-486C-BCE5-9067175D1591}">
            <xm:f>Akseptkriterier!$H$7</xm:f>
            <x14:dxf>
              <fill>
                <patternFill>
                  <bgColor rgb="FFFFC000"/>
                </patternFill>
              </fill>
            </x14:dxf>
          </x14:cfRule>
          <x14:cfRule type="cellIs" priority="1627" operator="equal" id="{F9FC60D3-B185-40DC-8FF4-D83AE67A5EE7}">
            <xm:f>Akseptkriterier!$H$8</xm:f>
            <x14:dxf>
              <fill>
                <patternFill>
                  <bgColor rgb="FFFF0000"/>
                </patternFill>
              </fill>
            </x14:dxf>
          </x14:cfRule>
          <xm:sqref>AH5 U5 U15 U65 AH15 U25 U35 U45 U55 U75 U85 U95 U105 U115 U125 U135 U145 U155 U165 U175 U185 U195 U205 U215 U225 U235 U245 U255 U265 U275 U285 U295 U305 U315 U325 U335 U345 U355 U365 U375 U385 U395 U405 U415 U425 U435 U445 U455 U465 U475 U485 U495 AH25 AH45 AH65 AH85 AH105 AH125 AH145 AH165 AH185 AH205 AH225 AH245 AH265 AH285 AH305 AH325 AH345 AH365 AH385 AH405 AH425 AH445 AH465 AH485 AH35 AH55 AH75 AH95 AH115 AH135 AH155 AH175 AH195 AH215 AH235 AH255 AH275 AH295 AH315 AH335 AH355 AH375 AH395 AH415 AH435 AH455 AH475 AH495</xm:sqref>
        </x14:conditionalFormatting>
        <x14:conditionalFormatting xmlns:xm="http://schemas.microsoft.com/office/excel/2006/main">
          <x14:cfRule type="cellIs" priority="38" operator="equal" id="{FC15C3EF-C3D1-4FC1-8BDE-E0E8E2E6BC90}">
            <xm:f>Akseptkriterier!$H$4</xm:f>
            <x14:dxf>
              <fill>
                <patternFill>
                  <bgColor rgb="FF00B050"/>
                </patternFill>
              </fill>
            </x14:dxf>
          </x14:cfRule>
          <xm:sqref>U3:U5 AH505:AH1048576 U505:U1048576 U15 U65 AH5 AH3 AH15 U25 U35 U45 U55 U75 U85 U95 U105 U115 U125 U135 U145 U155 U165 U175 U185 U195 U205 U215 U225 U235 U245 U255 U265 U275 U285 U295 U305 U315 U325 U335 U345 U355 U365 U375 U385 U395 U405 U415 U425 U435 U445 U455 U465 U475 U485 U495 AH25 AH45 AH65 AH85 AH105 AH125 AH145 AH165 AH185 AH205 AH225 AH245 AH265 AH285 AH305 AH325 AH345 AH365 AH385 AH405 AH425 AH445 AH465 AH485 AH35 AH55 AH75 AH95 AH115 AH135 AH155 AH175 AH195 AH215 AH235 AH255 AH275 AH295 AH315 AH335 AH355 AH375 AH395 AH415 AH435 AH455 AH475 AH495</xm:sqref>
        </x14:conditionalFormatting>
        <x14:conditionalFormatting xmlns:xm="http://schemas.microsoft.com/office/excel/2006/main">
          <x14:cfRule type="cellIs" priority="14" operator="equal" id="{5B373C3C-2B8F-4974-84AB-DD7489F2F28B}">
            <xm:f>'Datasource 2'!$D$21</xm:f>
            <x14:dxf>
              <font>
                <b/>
                <i val="0"/>
                <color auto="1"/>
              </font>
            </x14:dxf>
          </x14:cfRule>
          <xm:sqref>AB5:AE504</xm:sqref>
        </x14:conditionalFormatting>
        <x14:conditionalFormatting xmlns:xm="http://schemas.microsoft.com/office/excel/2006/main">
          <x14:cfRule type="cellIs" priority="3197" operator="equal" id="{B80D5B2D-D961-4F03-BBCA-48BCDA4E5E54}">
            <xm:f>'Datasource 2'!$B$13</xm:f>
            <x14:dxf>
              <fill>
                <patternFill>
                  <bgColor rgb="FF00B050"/>
                </patternFill>
              </fill>
            </x14:dxf>
          </x14:cfRule>
          <x14:cfRule type="cellIs" priority="3198" operator="equal" id="{CB41991D-B6FB-4F67-B036-C6BB62234DBA}">
            <xm:f>'Datasource 2'!$B$9</xm:f>
            <x14:dxf>
              <fill>
                <patternFill>
                  <bgColor rgb="FFFF0000"/>
                </patternFill>
              </fill>
            </x14:dxf>
          </x14:cfRule>
          <x14:cfRule type="cellIs" priority="3199" operator="equal" id="{4384DFEA-FB31-487A-84DA-ECBAB00F6692}">
            <xm:f>'Datasource 2'!$B$10</xm:f>
            <x14:dxf>
              <fill>
                <patternFill>
                  <bgColor rgb="FFFFC000"/>
                </patternFill>
              </fill>
            </x14:dxf>
          </x14:cfRule>
          <x14:cfRule type="cellIs" priority="3200" operator="equal" id="{E91BD2EE-51D5-4A3D-9049-64860D04B3A6}">
            <xm:f>'Datasource 2'!$B$11</xm:f>
            <x14:dxf>
              <fill>
                <patternFill>
                  <bgColor rgb="FFFFFF00"/>
                </patternFill>
              </fill>
            </x14:dxf>
          </x14:cfRule>
          <x14:cfRule type="cellIs" priority="3201" operator="equal" id="{42966DC7-749F-4C81-AB2B-6E67833AA371}">
            <xm:f>'Datasource 2'!$B$12</xm:f>
            <x14:dxf>
              <fill>
                <patternFill>
                  <bgColor rgb="FF92D050"/>
                </patternFill>
              </fill>
            </x14:dxf>
          </x14:cfRule>
          <xm:sqref>P1:P1048576</xm:sqref>
        </x14:conditionalFormatting>
        <x14:conditionalFormatting xmlns:xm="http://schemas.microsoft.com/office/excel/2006/main">
          <x14:cfRule type="cellIs" priority="3202" operator="equal" id="{274AEA78-C29C-40CD-8795-BA4A750A64E9}">
            <xm:f>'Datasource 2'!$B$13</xm:f>
            <x14:dxf>
              <fill>
                <patternFill>
                  <bgColor rgb="FF00B050"/>
                </patternFill>
              </fill>
            </x14:dxf>
          </x14:cfRule>
          <x14:cfRule type="cellIs" priority="3203" operator="equal" id="{AA21FEC3-2D3C-48FF-AA53-0CCE0BA279D3}">
            <xm:f>'Datasource 2'!$B$12</xm:f>
            <x14:dxf>
              <fill>
                <patternFill>
                  <bgColor rgb="FF92D050"/>
                </patternFill>
              </fill>
            </x14:dxf>
          </x14:cfRule>
          <x14:cfRule type="cellIs" priority="3204" operator="equal" id="{FB624710-7498-48EE-B5A0-98B433295AFC}">
            <xm:f>'Datasource 2'!$B$11</xm:f>
            <x14:dxf>
              <fill>
                <patternFill>
                  <bgColor rgb="FFFFFF00"/>
                </patternFill>
              </fill>
            </x14:dxf>
          </x14:cfRule>
          <x14:cfRule type="cellIs" priority="3205" operator="equal" id="{2A7568AE-FFEA-497F-8712-7AE65794FA30}">
            <xm:f>'Datasource 2'!$B$10</xm:f>
            <x14:dxf>
              <fill>
                <patternFill>
                  <bgColor rgb="FFFFC000"/>
                </patternFill>
              </fill>
            </x14:dxf>
          </x14:cfRule>
          <x14:cfRule type="cellIs" priority="3206" operator="equal" id="{9FDFB5E4-9D91-485C-B4A2-051513ECFACB}">
            <xm:f>'Datasource 2'!$B$9</xm:f>
            <x14:dxf>
              <fill>
                <patternFill>
                  <bgColor rgb="FFFF0000"/>
                </patternFill>
              </fill>
            </x14:dxf>
          </x14:cfRule>
          <xm:sqref>H5 H15 H25 H35 H65 H95 H125 H155 H185 H215 H245 H275 H305 H335 H365 H395 H425 H455 H485 H45 H75 H105 H135 H165 H195 H225 H255 H285 H315 H345 H375 H405 H435 H465 H495 H55 H85 H115 H145 H175 H205 H235 H265 H295 H325 H355 H385 H415 H445 H475</xm:sqref>
        </x14:conditionalFormatting>
        <x14:conditionalFormatting xmlns:xm="http://schemas.microsoft.com/office/excel/2006/main">
          <x14:cfRule type="expression" priority="2" id="{6FA6B959-88F3-43CF-8021-293368C1552D}">
            <xm:f>Risikovurdering_data!M3=1</xm:f>
            <x14:dxf>
              <fill>
                <patternFill>
                  <bgColor rgb="FF00B050"/>
                </patternFill>
              </fill>
            </x14:dxf>
          </x14:cfRule>
          <x14:cfRule type="expression" priority="3" id="{414DA8F0-594E-4A44-9D1A-3D22860017C3}">
            <xm:f>Risikovurdering_data!M3=2</xm:f>
            <x14:dxf>
              <fill>
                <patternFill>
                  <bgColor rgb="FF92D050"/>
                </patternFill>
              </fill>
            </x14:dxf>
          </x14:cfRule>
          <x14:cfRule type="expression" priority="4" id="{7C2391FC-B4E3-4CBA-9272-FD48D679FEE8}">
            <xm:f>Risikovurdering_data!M3=3</xm:f>
            <x14:dxf>
              <fill>
                <patternFill>
                  <bgColor rgb="FFFFFF00"/>
                </patternFill>
              </fill>
            </x14:dxf>
          </x14:cfRule>
          <x14:cfRule type="expression" priority="5" id="{CD6B90C7-2172-4BC2-B12C-E3656E134555}">
            <xm:f>Risikovurdering_data!M3=4</xm:f>
            <x14:dxf>
              <fill>
                <patternFill>
                  <bgColor rgb="FFFFC000"/>
                </patternFill>
              </fill>
            </x14:dxf>
          </x14:cfRule>
          <x14:cfRule type="expression" priority="6" id="{C4566248-DE1C-47D5-B567-B08D4AB3E770}">
            <xm:f>Risikovurdering_data!M3=5</xm:f>
            <x14:dxf>
              <fill>
                <patternFill>
                  <bgColor rgb="FFFF0000"/>
                </patternFill>
              </fill>
            </x14:dxf>
          </x14:cfRule>
          <xm:sqref>D5:D1101</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error="Velg en verdi fra nedtrekkslisten" xr:uid="{00000000-0002-0000-0700-000006000000}">
          <x14:formula1>
            <xm:f>Akseptkriterier!$F$4:$F$8</xm:f>
          </x14:formula1>
          <xm:sqref>R5 R35 R45 R25 R55 R65 R505:R1048576 R85 R105 R125 R145 R165 R185 R205 R225 R245 R265 R285 R305 R325 R345 R365 R385 R405 R425 R445 R465 R485 R75 R95 R115 R135 R155 R175 R195 R215 R235 R255 R275 R295 R315 R335 R355 R375 R395 R415 R435 R455 R475 R495 R15</xm:sqref>
        </x14:dataValidation>
        <x14:dataValidation type="list" allowBlank="1" showInputMessage="1" showErrorMessage="1" errorTitle="Feil" error="Velg en verdi fra nedtrekksmenyen" xr:uid="{00000000-0002-0000-0700-000007000000}">
          <x14:formula1>
            <xm:f>Akseptkriterier!$D$4:$D$8</xm:f>
          </x14:formula1>
          <xm:sqref>T25 T5 T35 T45 T55 T65 T505:T1048576 T85 T105 T125 T145 T165 T185 T205 T225 T245 T265 T285 T305 T325 T345 T365 T385 T405 T425 T445 T465 T485 T75 T95 T115 T135 T155 T175 T195 T215 T235 T255 T275 T295 T315 T335 T355 T375 T395 T415 T435 T455 T475 T495 T15</xm:sqref>
        </x14:dataValidation>
        <x14:dataValidation type="list" allowBlank="1" showInputMessage="1" showErrorMessage="1" xr:uid="{00000000-0002-0000-0700-000008000000}">
          <x14:formula1>
            <xm:f>Akseptkriterier!$F$4:$F$8</xm:f>
          </x14:formula1>
          <xm:sqref>AF25 AF5 AF35 AF45 AF55 AF65 AF505:AF1048576 AF85 AF105 AF125 AF145 AF165 AF185 AF205 AF225 AF245 AF265 AF285 AF305 AF325 AF345 AF365 AF385 AF405 AF425 AF445 AF465 AF485 AF75 AF95 AF115 AF135 AF155 AF175 AF195 AF215 AF235 AF255 AF275 AF295 AF315 AF335 AF355 AF375 AF395 AF415 AF435 AF455 AF475 AF495 AF15</xm:sqref>
        </x14:dataValidation>
        <x14:dataValidation type="list" allowBlank="1" showInputMessage="1" showErrorMessage="1" xr:uid="{00000000-0002-0000-0700-000009000000}">
          <x14:formula1>
            <xm:f>Akseptkriterier!$D$4:$D$8</xm:f>
          </x14:formula1>
          <xm:sqref>AG25 AG5 AG35 AG45 AG55 AG65 AG505:AG1048576 AG85 AG105 AG125 AG145 AG165 AG185 AG205 AG225 AG245 AG265 AG285 AG305 AG325 AG345 AG365 AG385 AG405 AG425 AG445 AG465 AG485 AG75 AG95 AG115 AG135 AG155 AG175 AG195 AG215 AG235 AG255 AG275 AG295 AG315 AG335 AG355 AG375 AG395 AG415 AG435 AG455 AG475 AG495 AG15</xm:sqref>
        </x14:dataValidation>
        <x14:dataValidation type="list" allowBlank="1" showInputMessage="1" showErrorMessage="1" xr:uid="{00000000-0002-0000-0700-00000C000000}">
          <x14:formula1>
            <xm:f>'Datasource 2'!$B$9:$B$13</xm:f>
          </x14:formula1>
          <xm:sqref>P5:P504</xm:sqref>
        </x14:dataValidation>
        <x14:dataValidation type="list" allowBlank="1" showInputMessage="1" showErrorMessage="1" xr:uid="{1C480FF7-EEB1-43FE-A191-CA38F2633E7C}">
          <x14:formula1>
            <xm:f>'Datasource 2'!$Q$17:$R$17</xm:f>
          </x14:formula1>
          <xm:sqref>F5:F504</xm:sqref>
        </x14:dataValidation>
        <x14:dataValidation type="list" allowBlank="1" showInputMessage="1" showErrorMessage="1" xr:uid="{00000000-0002-0000-0700-00000D000000}">
          <x14:formula1>
            <xm:f>'Datasource 2'!$M$14:$M$16</xm:f>
          </x14:formula1>
          <xm:sqref>Z1:AE1 Z505:AE1048576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35DEC-F5B9-4744-9BEF-BE4010C2179C}">
  <sheetPr codeName="Sheet2"/>
  <dimension ref="A1:F501"/>
  <sheetViews>
    <sheetView workbookViewId="0">
      <selection activeCell="E1" sqref="E1:E1048576"/>
    </sheetView>
  </sheetViews>
  <sheetFormatPr baseColWidth="10" defaultColWidth="8.85546875" defaultRowHeight="15" x14ac:dyDescent="0.25"/>
  <cols>
    <col min="1" max="1" width="13.85546875" bestFit="1" customWidth="1"/>
    <col min="3" max="3" width="16.140625" bestFit="1" customWidth="1"/>
    <col min="4" max="4" width="27" bestFit="1" customWidth="1"/>
    <col min="5" max="5" width="11.28515625" style="64" customWidth="1"/>
    <col min="6" max="6" width="80.28515625" bestFit="1" customWidth="1"/>
  </cols>
  <sheetData>
    <row r="1" spans="1:6" x14ac:dyDescent="0.25">
      <c r="A1" t="s">
        <v>310</v>
      </c>
      <c r="B1" t="s">
        <v>230</v>
      </c>
      <c r="C1" t="s">
        <v>236</v>
      </c>
      <c r="D1" t="s">
        <v>237</v>
      </c>
      <c r="E1" s="64" t="s">
        <v>238</v>
      </c>
      <c r="F1" t="s">
        <v>309</v>
      </c>
    </row>
    <row r="2" spans="1:6" x14ac:dyDescent="0.25">
      <c r="A2" t="str" cm="1">
        <f t="array" ref="A2:A501">Risikovurdering!Y5:Y504</f>
        <v/>
      </c>
      <c r="B2" t="str" cm="1">
        <f t="array" ref="B2:B501">Risikovurdering!X5:X504</f>
        <v/>
      </c>
      <c r="C2" t="str" cm="1">
        <f t="array" ref="C2:C501">Risikovurdering!AA5:AA504</f>
        <v/>
      </c>
      <c r="D2" t="str" cm="1">
        <f t="array" ref="D2:D501">IF(Risikovurdering!AC5:AC504=""," ",Risikovurdering!AC5:AC504)</f>
        <v xml:space="preserve"> </v>
      </c>
      <c r="E2" s="64" t="str" cm="1">
        <f t="array" ref="E2:E501">IF(Risikovurdering!AD5:AD504=""," ",Risikovurdering!AD5:AD504)</f>
        <v xml:space="preserve"> </v>
      </c>
      <c r="F2" t="str" cm="1">
        <f t="array" ref="F2:F501">IF(Risikovurdering!W5:W504="","",Risikovurdering!W5:W504)</f>
        <v/>
      </c>
    </row>
    <row r="3" spans="1:6" x14ac:dyDescent="0.25">
      <c r="A3" t="str">
        <v/>
      </c>
      <c r="B3" t="str">
        <v/>
      </c>
      <c r="C3" t="str">
        <v/>
      </c>
      <c r="D3" t="str">
        <v xml:space="preserve"> </v>
      </c>
      <c r="E3" s="64" t="str">
        <v xml:space="preserve"> </v>
      </c>
      <c r="F3" t="str">
        <v/>
      </c>
    </row>
    <row r="4" spans="1:6" x14ac:dyDescent="0.25">
      <c r="A4" t="str">
        <v/>
      </c>
      <c r="B4" t="str">
        <v/>
      </c>
      <c r="C4" t="str">
        <v/>
      </c>
      <c r="D4" t="str">
        <v xml:space="preserve"> </v>
      </c>
      <c r="E4" s="64" t="str">
        <v xml:space="preserve"> </v>
      </c>
      <c r="F4" t="str">
        <v/>
      </c>
    </row>
    <row r="5" spans="1:6" x14ac:dyDescent="0.25">
      <c r="A5" t="str">
        <v/>
      </c>
      <c r="B5" t="str">
        <v/>
      </c>
      <c r="C5" t="str">
        <v/>
      </c>
      <c r="D5" t="str">
        <v xml:space="preserve"> </v>
      </c>
      <c r="E5" s="64" t="str">
        <v xml:space="preserve"> </v>
      </c>
      <c r="F5" t="str">
        <v/>
      </c>
    </row>
    <row r="6" spans="1:6" x14ac:dyDescent="0.25">
      <c r="A6" t="str">
        <v/>
      </c>
      <c r="B6" t="str">
        <v/>
      </c>
      <c r="C6" t="str">
        <v/>
      </c>
      <c r="D6" t="str">
        <v xml:space="preserve"> </v>
      </c>
      <c r="E6" s="64" t="str">
        <v xml:space="preserve"> </v>
      </c>
      <c r="F6" t="str">
        <v/>
      </c>
    </row>
    <row r="7" spans="1:6" x14ac:dyDescent="0.25">
      <c r="A7" t="str">
        <v/>
      </c>
      <c r="B7" t="str">
        <v/>
      </c>
      <c r="C7" t="str">
        <v/>
      </c>
      <c r="D7" t="str">
        <v xml:space="preserve"> </v>
      </c>
      <c r="E7" s="64" t="str">
        <v xml:space="preserve"> </v>
      </c>
      <c r="F7" t="str">
        <v/>
      </c>
    </row>
    <row r="8" spans="1:6" x14ac:dyDescent="0.25">
      <c r="A8" t="str">
        <v/>
      </c>
      <c r="B8" t="str">
        <v/>
      </c>
      <c r="C8" t="str">
        <v/>
      </c>
      <c r="D8" t="str">
        <v xml:space="preserve"> </v>
      </c>
      <c r="E8" s="64" t="str">
        <v xml:space="preserve"> </v>
      </c>
      <c r="F8" t="str">
        <v/>
      </c>
    </row>
    <row r="9" spans="1:6" x14ac:dyDescent="0.25">
      <c r="A9" t="str">
        <v/>
      </c>
      <c r="B9" t="str">
        <v/>
      </c>
      <c r="C9" t="str">
        <v/>
      </c>
      <c r="D9" t="str">
        <v xml:space="preserve"> </v>
      </c>
      <c r="E9" s="64" t="str">
        <v xml:space="preserve"> </v>
      </c>
      <c r="F9" t="str">
        <v/>
      </c>
    </row>
    <row r="10" spans="1:6" x14ac:dyDescent="0.25">
      <c r="A10" t="str">
        <v/>
      </c>
      <c r="B10" t="str">
        <v/>
      </c>
      <c r="C10" t="str">
        <v/>
      </c>
      <c r="D10" t="str">
        <v xml:space="preserve"> </v>
      </c>
      <c r="E10" s="64" t="str">
        <v xml:space="preserve"> </v>
      </c>
      <c r="F10" t="str">
        <v/>
      </c>
    </row>
    <row r="11" spans="1:6" x14ac:dyDescent="0.25">
      <c r="A11" t="str">
        <v/>
      </c>
      <c r="B11" t="str">
        <v/>
      </c>
      <c r="C11" t="str">
        <v/>
      </c>
      <c r="D11" t="str">
        <v xml:space="preserve"> </v>
      </c>
      <c r="E11" s="64" t="str">
        <v xml:space="preserve"> </v>
      </c>
      <c r="F11" t="str">
        <v/>
      </c>
    </row>
    <row r="12" spans="1:6" x14ac:dyDescent="0.25">
      <c r="A12" t="str">
        <v/>
      </c>
      <c r="B12" t="str">
        <v/>
      </c>
      <c r="C12" t="str">
        <v/>
      </c>
      <c r="D12" t="str">
        <v xml:space="preserve"> </v>
      </c>
      <c r="E12" s="64" t="str">
        <v xml:space="preserve"> </v>
      </c>
      <c r="F12" t="str">
        <v/>
      </c>
    </row>
    <row r="13" spans="1:6" x14ac:dyDescent="0.25">
      <c r="A13" t="str">
        <v/>
      </c>
      <c r="B13" t="str">
        <v/>
      </c>
      <c r="C13" t="str">
        <v/>
      </c>
      <c r="D13" t="str">
        <v xml:space="preserve"> </v>
      </c>
      <c r="E13" s="64" t="str">
        <v xml:space="preserve"> </v>
      </c>
      <c r="F13" t="str">
        <v/>
      </c>
    </row>
    <row r="14" spans="1:6" x14ac:dyDescent="0.25">
      <c r="A14" t="str">
        <v/>
      </c>
      <c r="B14" t="str">
        <v/>
      </c>
      <c r="C14" t="str">
        <v/>
      </c>
      <c r="D14" t="str">
        <v xml:space="preserve"> </v>
      </c>
      <c r="E14" s="64" t="str">
        <v xml:space="preserve"> </v>
      </c>
      <c r="F14" t="str">
        <v/>
      </c>
    </row>
    <row r="15" spans="1:6" x14ac:dyDescent="0.25">
      <c r="A15" t="str">
        <v/>
      </c>
      <c r="B15" t="str">
        <v/>
      </c>
      <c r="C15" t="str">
        <v/>
      </c>
      <c r="D15" t="str">
        <v xml:space="preserve"> </v>
      </c>
      <c r="E15" s="64" t="str">
        <v xml:space="preserve"> </v>
      </c>
      <c r="F15" t="str">
        <v/>
      </c>
    </row>
    <row r="16" spans="1:6" x14ac:dyDescent="0.25">
      <c r="A16" t="str">
        <v/>
      </c>
      <c r="B16" t="str">
        <v/>
      </c>
      <c r="C16" t="str">
        <v/>
      </c>
      <c r="D16" t="str">
        <v xml:space="preserve"> </v>
      </c>
      <c r="E16" s="64" t="str">
        <v xml:space="preserve"> </v>
      </c>
      <c r="F16" t="str">
        <v/>
      </c>
    </row>
    <row r="17" spans="1:6" x14ac:dyDescent="0.25">
      <c r="A17" t="str">
        <v/>
      </c>
      <c r="B17" t="str">
        <v/>
      </c>
      <c r="C17" t="str">
        <v/>
      </c>
      <c r="D17" t="str">
        <v xml:space="preserve"> </v>
      </c>
      <c r="E17" s="64" t="str">
        <v xml:space="preserve"> </v>
      </c>
      <c r="F17" t="str">
        <v/>
      </c>
    </row>
    <row r="18" spans="1:6" x14ac:dyDescent="0.25">
      <c r="A18" t="str">
        <v/>
      </c>
      <c r="B18" t="str">
        <v/>
      </c>
      <c r="C18" t="str">
        <v/>
      </c>
      <c r="D18" t="str">
        <v xml:space="preserve"> </v>
      </c>
      <c r="E18" s="64" t="str">
        <v xml:space="preserve"> </v>
      </c>
      <c r="F18" t="str">
        <v/>
      </c>
    </row>
    <row r="19" spans="1:6" x14ac:dyDescent="0.25">
      <c r="A19" t="str">
        <v/>
      </c>
      <c r="B19" t="str">
        <v/>
      </c>
      <c r="C19" t="str">
        <v/>
      </c>
      <c r="D19" t="str">
        <v xml:space="preserve"> </v>
      </c>
      <c r="E19" s="64" t="str">
        <v xml:space="preserve"> </v>
      </c>
      <c r="F19" t="str">
        <v/>
      </c>
    </row>
    <row r="20" spans="1:6" x14ac:dyDescent="0.25">
      <c r="A20" t="str">
        <v/>
      </c>
      <c r="B20" t="str">
        <v/>
      </c>
      <c r="C20" t="str">
        <v/>
      </c>
      <c r="D20" t="str">
        <v xml:space="preserve"> </v>
      </c>
      <c r="E20" s="64" t="str">
        <v xml:space="preserve"> </v>
      </c>
      <c r="F20" t="str">
        <v/>
      </c>
    </row>
    <row r="21" spans="1:6" x14ac:dyDescent="0.25">
      <c r="A21" t="str">
        <v/>
      </c>
      <c r="B21" t="str">
        <v/>
      </c>
      <c r="C21" t="str">
        <v/>
      </c>
      <c r="D21" t="str">
        <v xml:space="preserve"> </v>
      </c>
      <c r="E21" s="64" t="str">
        <v xml:space="preserve"> </v>
      </c>
      <c r="F21" t="str">
        <v/>
      </c>
    </row>
    <row r="22" spans="1:6" x14ac:dyDescent="0.25">
      <c r="A22" t="str">
        <v/>
      </c>
      <c r="B22" t="str">
        <v/>
      </c>
      <c r="C22" t="str">
        <v/>
      </c>
      <c r="D22" t="str">
        <v xml:space="preserve"> </v>
      </c>
      <c r="E22" s="64" t="str">
        <v xml:space="preserve"> </v>
      </c>
      <c r="F22" t="str">
        <v/>
      </c>
    </row>
    <row r="23" spans="1:6" x14ac:dyDescent="0.25">
      <c r="A23" t="str">
        <v/>
      </c>
      <c r="B23" t="str">
        <v/>
      </c>
      <c r="C23" t="str">
        <v/>
      </c>
      <c r="D23" t="str">
        <v xml:space="preserve"> </v>
      </c>
      <c r="E23" s="64" t="str">
        <v xml:space="preserve"> </v>
      </c>
      <c r="F23" t="str">
        <v/>
      </c>
    </row>
    <row r="24" spans="1:6" x14ac:dyDescent="0.25">
      <c r="A24" t="str">
        <v/>
      </c>
      <c r="B24" t="str">
        <v/>
      </c>
      <c r="C24" t="str">
        <v/>
      </c>
      <c r="D24" t="str">
        <v xml:space="preserve"> </v>
      </c>
      <c r="E24" s="64" t="str">
        <v xml:space="preserve"> </v>
      </c>
      <c r="F24" t="str">
        <v/>
      </c>
    </row>
    <row r="25" spans="1:6" x14ac:dyDescent="0.25">
      <c r="A25" t="str">
        <v/>
      </c>
      <c r="B25" t="str">
        <v/>
      </c>
      <c r="C25" t="str">
        <v/>
      </c>
      <c r="D25" t="str">
        <v xml:space="preserve"> </v>
      </c>
      <c r="E25" s="64" t="str">
        <v xml:space="preserve"> </v>
      </c>
      <c r="F25" t="str">
        <v/>
      </c>
    </row>
    <row r="26" spans="1:6" x14ac:dyDescent="0.25">
      <c r="A26" t="str">
        <v/>
      </c>
      <c r="B26" t="str">
        <v/>
      </c>
      <c r="C26" t="str">
        <v/>
      </c>
      <c r="D26" t="str">
        <v xml:space="preserve"> </v>
      </c>
      <c r="E26" s="64" t="str">
        <v xml:space="preserve"> </v>
      </c>
      <c r="F26" t="str">
        <v/>
      </c>
    </row>
    <row r="27" spans="1:6" x14ac:dyDescent="0.25">
      <c r="A27" t="str">
        <v/>
      </c>
      <c r="B27" t="str">
        <v/>
      </c>
      <c r="C27" t="str">
        <v/>
      </c>
      <c r="D27" t="str">
        <v xml:space="preserve"> </v>
      </c>
      <c r="E27" s="64" t="str">
        <v xml:space="preserve"> </v>
      </c>
      <c r="F27" t="str">
        <v/>
      </c>
    </row>
    <row r="28" spans="1:6" x14ac:dyDescent="0.25">
      <c r="A28" t="str">
        <v/>
      </c>
      <c r="B28" t="str">
        <v/>
      </c>
      <c r="C28" t="str">
        <v/>
      </c>
      <c r="D28" t="str">
        <v xml:space="preserve"> </v>
      </c>
      <c r="E28" s="64" t="str">
        <v xml:space="preserve"> </v>
      </c>
      <c r="F28" t="str">
        <v/>
      </c>
    </row>
    <row r="29" spans="1:6" x14ac:dyDescent="0.25">
      <c r="A29" t="str">
        <v/>
      </c>
      <c r="B29" t="str">
        <v/>
      </c>
      <c r="C29" t="str">
        <v/>
      </c>
      <c r="D29" t="str">
        <v xml:space="preserve"> </v>
      </c>
      <c r="E29" s="64" t="str">
        <v xml:space="preserve"> </v>
      </c>
      <c r="F29" t="str">
        <v/>
      </c>
    </row>
    <row r="30" spans="1:6" x14ac:dyDescent="0.25">
      <c r="A30" t="str">
        <v/>
      </c>
      <c r="B30" t="str">
        <v/>
      </c>
      <c r="C30" t="str">
        <v/>
      </c>
      <c r="D30" t="str">
        <v xml:space="preserve"> </v>
      </c>
      <c r="E30" s="64" t="str">
        <v xml:space="preserve"> </v>
      </c>
      <c r="F30" t="str">
        <v/>
      </c>
    </row>
    <row r="31" spans="1:6" x14ac:dyDescent="0.25">
      <c r="A31" t="str">
        <v/>
      </c>
      <c r="B31" t="str">
        <v/>
      </c>
      <c r="C31" t="str">
        <v/>
      </c>
      <c r="D31" t="str">
        <v xml:space="preserve"> </v>
      </c>
      <c r="E31" s="64" t="str">
        <v xml:space="preserve"> </v>
      </c>
      <c r="F31" t="str">
        <v/>
      </c>
    </row>
    <row r="32" spans="1:6" x14ac:dyDescent="0.25">
      <c r="A32" t="str">
        <v/>
      </c>
      <c r="B32" t="str">
        <v/>
      </c>
      <c r="C32" t="str">
        <v/>
      </c>
      <c r="D32" t="str">
        <v xml:space="preserve"> </v>
      </c>
      <c r="E32" s="64" t="str">
        <v xml:space="preserve"> </v>
      </c>
      <c r="F32" t="str">
        <v/>
      </c>
    </row>
    <row r="33" spans="1:6" x14ac:dyDescent="0.25">
      <c r="A33" t="str">
        <v/>
      </c>
      <c r="B33" t="str">
        <v/>
      </c>
      <c r="C33" t="str">
        <v/>
      </c>
      <c r="D33" t="str">
        <v xml:space="preserve"> </v>
      </c>
      <c r="E33" s="64" t="str">
        <v xml:space="preserve"> </v>
      </c>
      <c r="F33" t="str">
        <v/>
      </c>
    </row>
    <row r="34" spans="1:6" x14ac:dyDescent="0.25">
      <c r="A34" t="str">
        <v/>
      </c>
      <c r="B34" t="str">
        <v/>
      </c>
      <c r="C34" t="str">
        <v/>
      </c>
      <c r="D34" t="str">
        <v xml:space="preserve"> </v>
      </c>
      <c r="E34" s="64" t="str">
        <v xml:space="preserve"> </v>
      </c>
      <c r="F34" t="str">
        <v/>
      </c>
    </row>
    <row r="35" spans="1:6" x14ac:dyDescent="0.25">
      <c r="A35" t="str">
        <v/>
      </c>
      <c r="B35" t="str">
        <v/>
      </c>
      <c r="C35" t="str">
        <v/>
      </c>
      <c r="D35" t="str">
        <v xml:space="preserve"> </v>
      </c>
      <c r="E35" s="64" t="str">
        <v xml:space="preserve"> </v>
      </c>
      <c r="F35" t="str">
        <v/>
      </c>
    </row>
    <row r="36" spans="1:6" x14ac:dyDescent="0.25">
      <c r="A36" t="str">
        <v/>
      </c>
      <c r="B36" t="str">
        <v/>
      </c>
      <c r="C36" t="str">
        <v/>
      </c>
      <c r="D36" t="str">
        <v xml:space="preserve"> </v>
      </c>
      <c r="E36" s="64" t="str">
        <v xml:space="preserve"> </v>
      </c>
      <c r="F36" t="str">
        <v/>
      </c>
    </row>
    <row r="37" spans="1:6" x14ac:dyDescent="0.25">
      <c r="A37" t="str">
        <v/>
      </c>
      <c r="B37" t="str">
        <v/>
      </c>
      <c r="C37" t="str">
        <v/>
      </c>
      <c r="D37" t="str">
        <v xml:space="preserve"> </v>
      </c>
      <c r="E37" s="64" t="str">
        <v xml:space="preserve"> </v>
      </c>
      <c r="F37" t="str">
        <v/>
      </c>
    </row>
    <row r="38" spans="1:6" x14ac:dyDescent="0.25">
      <c r="A38" t="str">
        <v/>
      </c>
      <c r="B38" t="str">
        <v/>
      </c>
      <c r="C38" t="str">
        <v/>
      </c>
      <c r="D38" t="str">
        <v xml:space="preserve"> </v>
      </c>
      <c r="E38" s="64" t="str">
        <v xml:space="preserve"> </v>
      </c>
      <c r="F38" t="str">
        <v/>
      </c>
    </row>
    <row r="39" spans="1:6" x14ac:dyDescent="0.25">
      <c r="A39" t="str">
        <v/>
      </c>
      <c r="B39" t="str">
        <v/>
      </c>
      <c r="C39" t="str">
        <v/>
      </c>
      <c r="D39" t="str">
        <v xml:space="preserve"> </v>
      </c>
      <c r="E39" s="64" t="str">
        <v xml:space="preserve"> </v>
      </c>
      <c r="F39" t="str">
        <v/>
      </c>
    </row>
    <row r="40" spans="1:6" x14ac:dyDescent="0.25">
      <c r="A40" t="str">
        <v/>
      </c>
      <c r="B40" t="str">
        <v/>
      </c>
      <c r="C40" t="str">
        <v/>
      </c>
      <c r="D40" t="str">
        <v xml:space="preserve"> </v>
      </c>
      <c r="E40" s="64" t="str">
        <v xml:space="preserve"> </v>
      </c>
      <c r="F40" t="str">
        <v/>
      </c>
    </row>
    <row r="41" spans="1:6" x14ac:dyDescent="0.25">
      <c r="A41" t="str">
        <v/>
      </c>
      <c r="B41" t="str">
        <v/>
      </c>
      <c r="C41" t="str">
        <v/>
      </c>
      <c r="D41" t="str">
        <v xml:space="preserve"> </v>
      </c>
      <c r="E41" s="64" t="str">
        <v xml:space="preserve"> </v>
      </c>
      <c r="F41" t="str">
        <v/>
      </c>
    </row>
    <row r="42" spans="1:6" x14ac:dyDescent="0.25">
      <c r="A42" t="str">
        <v/>
      </c>
      <c r="B42" t="str">
        <v/>
      </c>
      <c r="C42" t="str">
        <v/>
      </c>
      <c r="D42" t="str">
        <v xml:space="preserve"> </v>
      </c>
      <c r="E42" s="64" t="str">
        <v xml:space="preserve"> </v>
      </c>
      <c r="F42" t="str">
        <v/>
      </c>
    </row>
    <row r="43" spans="1:6" x14ac:dyDescent="0.25">
      <c r="A43" t="str">
        <v/>
      </c>
      <c r="B43" t="str">
        <v/>
      </c>
      <c r="C43" t="str">
        <v/>
      </c>
      <c r="D43" t="str">
        <v xml:space="preserve"> </v>
      </c>
      <c r="E43" s="64" t="str">
        <v xml:space="preserve"> </v>
      </c>
      <c r="F43" t="str">
        <v/>
      </c>
    </row>
    <row r="44" spans="1:6" x14ac:dyDescent="0.25">
      <c r="A44" t="str">
        <v/>
      </c>
      <c r="B44" t="str">
        <v/>
      </c>
      <c r="C44" t="str">
        <v/>
      </c>
      <c r="D44" t="str">
        <v xml:space="preserve"> </v>
      </c>
      <c r="E44" s="64" t="str">
        <v xml:space="preserve"> </v>
      </c>
      <c r="F44" t="str">
        <v/>
      </c>
    </row>
    <row r="45" spans="1:6" x14ac:dyDescent="0.25">
      <c r="A45" t="str">
        <v/>
      </c>
      <c r="B45" t="str">
        <v/>
      </c>
      <c r="C45" t="str">
        <v/>
      </c>
      <c r="D45" t="str">
        <v xml:space="preserve"> </v>
      </c>
      <c r="E45" s="64" t="str">
        <v xml:space="preserve"> </v>
      </c>
      <c r="F45" t="str">
        <v/>
      </c>
    </row>
    <row r="46" spans="1:6" x14ac:dyDescent="0.25">
      <c r="A46" t="str">
        <v/>
      </c>
      <c r="B46" t="str">
        <v/>
      </c>
      <c r="C46" t="str">
        <v/>
      </c>
      <c r="D46" t="str">
        <v xml:space="preserve"> </v>
      </c>
      <c r="E46" s="64" t="str">
        <v xml:space="preserve"> </v>
      </c>
      <c r="F46" t="str">
        <v/>
      </c>
    </row>
    <row r="47" spans="1:6" x14ac:dyDescent="0.25">
      <c r="A47" t="str">
        <v/>
      </c>
      <c r="B47" t="str">
        <v/>
      </c>
      <c r="C47" t="str">
        <v/>
      </c>
      <c r="D47" t="str">
        <v xml:space="preserve"> </v>
      </c>
      <c r="E47" s="64" t="str">
        <v xml:space="preserve"> </v>
      </c>
      <c r="F47" t="str">
        <v/>
      </c>
    </row>
    <row r="48" spans="1:6" x14ac:dyDescent="0.25">
      <c r="A48" t="str">
        <v/>
      </c>
      <c r="B48" t="str">
        <v/>
      </c>
      <c r="C48" t="str">
        <v/>
      </c>
      <c r="D48" t="str">
        <v xml:space="preserve"> </v>
      </c>
      <c r="E48" s="64" t="str">
        <v xml:space="preserve"> </v>
      </c>
      <c r="F48" t="str">
        <v/>
      </c>
    </row>
    <row r="49" spans="1:6" x14ac:dyDescent="0.25">
      <c r="A49" t="str">
        <v/>
      </c>
      <c r="B49" t="str">
        <v/>
      </c>
      <c r="C49" t="str">
        <v/>
      </c>
      <c r="D49" t="str">
        <v xml:space="preserve"> </v>
      </c>
      <c r="E49" s="64" t="str">
        <v xml:space="preserve"> </v>
      </c>
      <c r="F49" t="str">
        <v/>
      </c>
    </row>
    <row r="50" spans="1:6" x14ac:dyDescent="0.25">
      <c r="A50" t="str">
        <v/>
      </c>
      <c r="B50" t="str">
        <v/>
      </c>
      <c r="C50" t="str">
        <v/>
      </c>
      <c r="D50" t="str">
        <v xml:space="preserve"> </v>
      </c>
      <c r="E50" s="64" t="str">
        <v xml:space="preserve"> </v>
      </c>
      <c r="F50" t="str">
        <v/>
      </c>
    </row>
    <row r="51" spans="1:6" x14ac:dyDescent="0.25">
      <c r="A51" t="str">
        <v/>
      </c>
      <c r="B51" t="str">
        <v/>
      </c>
      <c r="C51" t="str">
        <v/>
      </c>
      <c r="D51" t="str">
        <v xml:space="preserve"> </v>
      </c>
      <c r="E51" s="64" t="str">
        <v xml:space="preserve"> </v>
      </c>
      <c r="F51" t="str">
        <v/>
      </c>
    </row>
    <row r="52" spans="1:6" x14ac:dyDescent="0.25">
      <c r="A52" t="str">
        <v/>
      </c>
      <c r="B52" t="str">
        <v/>
      </c>
      <c r="C52" t="str">
        <v/>
      </c>
      <c r="D52" t="str">
        <v xml:space="preserve"> </v>
      </c>
      <c r="E52" s="64" t="str">
        <v xml:space="preserve"> </v>
      </c>
      <c r="F52" t="str">
        <v/>
      </c>
    </row>
    <row r="53" spans="1:6" x14ac:dyDescent="0.25">
      <c r="A53" t="str">
        <v/>
      </c>
      <c r="B53" t="str">
        <v/>
      </c>
      <c r="C53" t="str">
        <v/>
      </c>
      <c r="D53" t="str">
        <v xml:space="preserve"> </v>
      </c>
      <c r="E53" s="64" t="str">
        <v xml:space="preserve"> </v>
      </c>
      <c r="F53" t="str">
        <v/>
      </c>
    </row>
    <row r="54" spans="1:6" x14ac:dyDescent="0.25">
      <c r="A54" t="str">
        <v/>
      </c>
      <c r="B54" t="str">
        <v/>
      </c>
      <c r="C54" t="str">
        <v/>
      </c>
      <c r="D54" t="str">
        <v xml:space="preserve"> </v>
      </c>
      <c r="E54" s="64" t="str">
        <v xml:space="preserve"> </v>
      </c>
      <c r="F54" t="str">
        <v/>
      </c>
    </row>
    <row r="55" spans="1:6" x14ac:dyDescent="0.25">
      <c r="A55" t="str">
        <v/>
      </c>
      <c r="B55" t="str">
        <v/>
      </c>
      <c r="C55" t="str">
        <v/>
      </c>
      <c r="D55" t="str">
        <v xml:space="preserve"> </v>
      </c>
      <c r="E55" s="64" t="str">
        <v xml:space="preserve"> </v>
      </c>
      <c r="F55" t="str">
        <v/>
      </c>
    </row>
    <row r="56" spans="1:6" x14ac:dyDescent="0.25">
      <c r="A56" t="str">
        <v/>
      </c>
      <c r="B56" t="str">
        <v/>
      </c>
      <c r="C56" t="str">
        <v/>
      </c>
      <c r="D56" t="str">
        <v xml:space="preserve"> </v>
      </c>
      <c r="E56" s="64" t="str">
        <v xml:space="preserve"> </v>
      </c>
      <c r="F56" t="str">
        <v/>
      </c>
    </row>
    <row r="57" spans="1:6" x14ac:dyDescent="0.25">
      <c r="A57" t="str">
        <v/>
      </c>
      <c r="B57" t="str">
        <v/>
      </c>
      <c r="C57" t="str">
        <v/>
      </c>
      <c r="D57" t="str">
        <v xml:space="preserve"> </v>
      </c>
      <c r="E57" s="64" t="str">
        <v xml:space="preserve"> </v>
      </c>
      <c r="F57" t="str">
        <v/>
      </c>
    </row>
    <row r="58" spans="1:6" x14ac:dyDescent="0.25">
      <c r="A58" t="str">
        <v/>
      </c>
      <c r="B58" t="str">
        <v/>
      </c>
      <c r="C58" t="str">
        <v/>
      </c>
      <c r="D58" t="str">
        <v xml:space="preserve"> </v>
      </c>
      <c r="E58" s="64" t="str">
        <v xml:space="preserve"> </v>
      </c>
      <c r="F58" t="str">
        <v/>
      </c>
    </row>
    <row r="59" spans="1:6" x14ac:dyDescent="0.25">
      <c r="A59" t="str">
        <v/>
      </c>
      <c r="B59" t="str">
        <v/>
      </c>
      <c r="C59" t="str">
        <v/>
      </c>
      <c r="D59" t="str">
        <v xml:space="preserve"> </v>
      </c>
      <c r="E59" s="64" t="str">
        <v xml:space="preserve"> </v>
      </c>
      <c r="F59" t="str">
        <v/>
      </c>
    </row>
    <row r="60" spans="1:6" x14ac:dyDescent="0.25">
      <c r="A60" t="str">
        <v/>
      </c>
      <c r="B60" t="str">
        <v/>
      </c>
      <c r="C60" t="str">
        <v/>
      </c>
      <c r="D60" t="str">
        <v xml:space="preserve"> </v>
      </c>
      <c r="E60" s="64" t="str">
        <v xml:space="preserve"> </v>
      </c>
      <c r="F60" t="str">
        <v/>
      </c>
    </row>
    <row r="61" spans="1:6" x14ac:dyDescent="0.25">
      <c r="A61" t="str">
        <v/>
      </c>
      <c r="B61" t="str">
        <v/>
      </c>
      <c r="C61" t="str">
        <v/>
      </c>
      <c r="D61" t="str">
        <v xml:space="preserve"> </v>
      </c>
      <c r="E61" s="64" t="str">
        <v xml:space="preserve"> </v>
      </c>
      <c r="F61" t="str">
        <v/>
      </c>
    </row>
    <row r="62" spans="1:6" x14ac:dyDescent="0.25">
      <c r="A62" t="str">
        <v/>
      </c>
      <c r="B62" t="str">
        <v/>
      </c>
      <c r="C62" t="str">
        <v/>
      </c>
      <c r="D62" t="str">
        <v xml:space="preserve"> </v>
      </c>
      <c r="E62" s="64" t="str">
        <v xml:space="preserve"> </v>
      </c>
      <c r="F62" t="str">
        <v/>
      </c>
    </row>
    <row r="63" spans="1:6" x14ac:dyDescent="0.25">
      <c r="A63" t="str">
        <v/>
      </c>
      <c r="B63" t="str">
        <v/>
      </c>
      <c r="C63" t="str">
        <v/>
      </c>
      <c r="D63" t="str">
        <v xml:space="preserve"> </v>
      </c>
      <c r="E63" s="64" t="str">
        <v xml:space="preserve"> </v>
      </c>
      <c r="F63" t="str">
        <v/>
      </c>
    </row>
    <row r="64" spans="1:6" x14ac:dyDescent="0.25">
      <c r="A64" t="str">
        <v/>
      </c>
      <c r="B64" t="str">
        <v/>
      </c>
      <c r="C64" t="str">
        <v/>
      </c>
      <c r="D64" t="str">
        <v xml:space="preserve"> </v>
      </c>
      <c r="E64" s="64" t="str">
        <v xml:space="preserve"> </v>
      </c>
      <c r="F64" t="str">
        <v/>
      </c>
    </row>
    <row r="65" spans="1:6" x14ac:dyDescent="0.25">
      <c r="A65" t="str">
        <v/>
      </c>
      <c r="B65" t="str">
        <v/>
      </c>
      <c r="C65" t="str">
        <v/>
      </c>
      <c r="D65" t="str">
        <v xml:space="preserve"> </v>
      </c>
      <c r="E65" s="64" t="str">
        <v xml:space="preserve"> </v>
      </c>
      <c r="F65" t="str">
        <v/>
      </c>
    </row>
    <row r="66" spans="1:6" x14ac:dyDescent="0.25">
      <c r="A66" t="str">
        <v/>
      </c>
      <c r="B66" t="str">
        <v/>
      </c>
      <c r="C66" t="str">
        <v/>
      </c>
      <c r="D66" t="str">
        <v xml:space="preserve"> </v>
      </c>
      <c r="E66" s="64" t="str">
        <v xml:space="preserve"> </v>
      </c>
      <c r="F66" t="str">
        <v/>
      </c>
    </row>
    <row r="67" spans="1:6" x14ac:dyDescent="0.25">
      <c r="A67" t="str">
        <v/>
      </c>
      <c r="B67" t="str">
        <v/>
      </c>
      <c r="C67" t="str">
        <v/>
      </c>
      <c r="D67" t="str">
        <v xml:space="preserve"> </v>
      </c>
      <c r="E67" s="64" t="str">
        <v xml:space="preserve"> </v>
      </c>
      <c r="F67" t="str">
        <v/>
      </c>
    </row>
    <row r="68" spans="1:6" x14ac:dyDescent="0.25">
      <c r="A68" t="str">
        <v/>
      </c>
      <c r="B68" t="str">
        <v/>
      </c>
      <c r="C68" t="str">
        <v/>
      </c>
      <c r="D68" t="str">
        <v xml:space="preserve"> </v>
      </c>
      <c r="E68" s="64" t="str">
        <v xml:space="preserve"> </v>
      </c>
      <c r="F68" t="str">
        <v/>
      </c>
    </row>
    <row r="69" spans="1:6" x14ac:dyDescent="0.25">
      <c r="A69" t="str">
        <v/>
      </c>
      <c r="B69" t="str">
        <v/>
      </c>
      <c r="C69" t="str">
        <v/>
      </c>
      <c r="D69" t="str">
        <v xml:space="preserve"> </v>
      </c>
      <c r="E69" s="64" t="str">
        <v xml:space="preserve"> </v>
      </c>
      <c r="F69" t="str">
        <v/>
      </c>
    </row>
    <row r="70" spans="1:6" x14ac:dyDescent="0.25">
      <c r="A70" t="str">
        <v/>
      </c>
      <c r="B70" t="str">
        <v/>
      </c>
      <c r="C70" t="str">
        <v/>
      </c>
      <c r="D70" t="str">
        <v xml:space="preserve"> </v>
      </c>
      <c r="E70" s="64" t="str">
        <v xml:space="preserve"> </v>
      </c>
      <c r="F70" t="str">
        <v/>
      </c>
    </row>
    <row r="71" spans="1:6" x14ac:dyDescent="0.25">
      <c r="A71" t="str">
        <v/>
      </c>
      <c r="B71" t="str">
        <v/>
      </c>
      <c r="C71" t="str">
        <v/>
      </c>
      <c r="D71" t="str">
        <v xml:space="preserve"> </v>
      </c>
      <c r="E71" s="64" t="str">
        <v xml:space="preserve"> </v>
      </c>
      <c r="F71" t="str">
        <v/>
      </c>
    </row>
    <row r="72" spans="1:6" x14ac:dyDescent="0.25">
      <c r="A72" t="str">
        <v/>
      </c>
      <c r="B72" t="str">
        <v/>
      </c>
      <c r="C72" t="str">
        <v/>
      </c>
      <c r="D72" t="str">
        <v xml:space="preserve"> </v>
      </c>
      <c r="E72" s="64" t="str">
        <v xml:space="preserve"> </v>
      </c>
      <c r="F72" t="str">
        <v/>
      </c>
    </row>
    <row r="73" spans="1:6" x14ac:dyDescent="0.25">
      <c r="A73" t="str">
        <v/>
      </c>
      <c r="B73" t="str">
        <v/>
      </c>
      <c r="C73" t="str">
        <v/>
      </c>
      <c r="D73" t="str">
        <v xml:space="preserve"> </v>
      </c>
      <c r="E73" s="64" t="str">
        <v xml:space="preserve"> </v>
      </c>
      <c r="F73" t="str">
        <v/>
      </c>
    </row>
    <row r="74" spans="1:6" x14ac:dyDescent="0.25">
      <c r="A74" t="str">
        <v/>
      </c>
      <c r="B74" t="str">
        <v/>
      </c>
      <c r="C74" t="str">
        <v/>
      </c>
      <c r="D74" t="str">
        <v xml:space="preserve"> </v>
      </c>
      <c r="E74" s="64" t="str">
        <v xml:space="preserve"> </v>
      </c>
      <c r="F74" t="str">
        <v/>
      </c>
    </row>
    <row r="75" spans="1:6" x14ac:dyDescent="0.25">
      <c r="A75" t="str">
        <v/>
      </c>
      <c r="B75" t="str">
        <v/>
      </c>
      <c r="C75" t="str">
        <v/>
      </c>
      <c r="D75" t="str">
        <v xml:space="preserve"> </v>
      </c>
      <c r="E75" s="64" t="str">
        <v xml:space="preserve"> </v>
      </c>
      <c r="F75" t="str">
        <v/>
      </c>
    </row>
    <row r="76" spans="1:6" x14ac:dyDescent="0.25">
      <c r="A76" t="str">
        <v/>
      </c>
      <c r="B76" t="str">
        <v/>
      </c>
      <c r="C76" t="str">
        <v/>
      </c>
      <c r="D76" t="str">
        <v xml:space="preserve"> </v>
      </c>
      <c r="E76" s="64" t="str">
        <v xml:space="preserve"> </v>
      </c>
      <c r="F76" t="str">
        <v/>
      </c>
    </row>
    <row r="77" spans="1:6" x14ac:dyDescent="0.25">
      <c r="A77" t="str">
        <v/>
      </c>
      <c r="B77" t="str">
        <v/>
      </c>
      <c r="C77" t="str">
        <v/>
      </c>
      <c r="D77" t="str">
        <v xml:space="preserve"> </v>
      </c>
      <c r="E77" s="64" t="str">
        <v xml:space="preserve"> </v>
      </c>
      <c r="F77" t="str">
        <v/>
      </c>
    </row>
    <row r="78" spans="1:6" x14ac:dyDescent="0.25">
      <c r="A78" t="str">
        <v/>
      </c>
      <c r="B78" t="str">
        <v/>
      </c>
      <c r="C78" t="str">
        <v/>
      </c>
      <c r="D78" t="str">
        <v xml:space="preserve"> </v>
      </c>
      <c r="E78" s="64" t="str">
        <v xml:space="preserve"> </v>
      </c>
      <c r="F78" t="str">
        <v/>
      </c>
    </row>
    <row r="79" spans="1:6" x14ac:dyDescent="0.25">
      <c r="A79" t="str">
        <v/>
      </c>
      <c r="B79" t="str">
        <v/>
      </c>
      <c r="C79" t="str">
        <v/>
      </c>
      <c r="D79" t="str">
        <v xml:space="preserve"> </v>
      </c>
      <c r="E79" s="64" t="str">
        <v xml:space="preserve"> </v>
      </c>
      <c r="F79" t="str">
        <v/>
      </c>
    </row>
    <row r="80" spans="1:6" x14ac:dyDescent="0.25">
      <c r="A80" t="str">
        <v/>
      </c>
      <c r="B80" t="str">
        <v/>
      </c>
      <c r="C80" t="str">
        <v/>
      </c>
      <c r="D80" t="str">
        <v xml:space="preserve"> </v>
      </c>
      <c r="E80" s="64" t="str">
        <v xml:space="preserve"> </v>
      </c>
      <c r="F80" t="str">
        <v/>
      </c>
    </row>
    <row r="81" spans="1:6" x14ac:dyDescent="0.25">
      <c r="A81" t="str">
        <v/>
      </c>
      <c r="B81" t="str">
        <v/>
      </c>
      <c r="C81" t="str">
        <v/>
      </c>
      <c r="D81" t="str">
        <v xml:space="preserve"> </v>
      </c>
      <c r="E81" s="64" t="str">
        <v xml:space="preserve"> </v>
      </c>
      <c r="F81" t="str">
        <v/>
      </c>
    </row>
    <row r="82" spans="1:6" x14ac:dyDescent="0.25">
      <c r="A82" t="str">
        <v/>
      </c>
      <c r="B82" t="str">
        <v/>
      </c>
      <c r="C82" t="str">
        <v/>
      </c>
      <c r="D82" t="str">
        <v xml:space="preserve"> </v>
      </c>
      <c r="E82" s="64" t="str">
        <v xml:space="preserve"> </v>
      </c>
      <c r="F82" t="str">
        <v/>
      </c>
    </row>
    <row r="83" spans="1:6" x14ac:dyDescent="0.25">
      <c r="A83" t="str">
        <v/>
      </c>
      <c r="B83" t="str">
        <v/>
      </c>
      <c r="C83" t="str">
        <v/>
      </c>
      <c r="D83" t="str">
        <v xml:space="preserve"> </v>
      </c>
      <c r="E83" s="64" t="str">
        <v xml:space="preserve"> </v>
      </c>
      <c r="F83" t="str">
        <v/>
      </c>
    </row>
    <row r="84" spans="1:6" x14ac:dyDescent="0.25">
      <c r="A84" t="str">
        <v/>
      </c>
      <c r="B84" t="str">
        <v/>
      </c>
      <c r="C84" t="str">
        <v/>
      </c>
      <c r="D84" t="str">
        <v xml:space="preserve"> </v>
      </c>
      <c r="E84" s="64" t="str">
        <v xml:space="preserve"> </v>
      </c>
      <c r="F84" t="str">
        <v/>
      </c>
    </row>
    <row r="85" spans="1:6" x14ac:dyDescent="0.25">
      <c r="A85" t="str">
        <v/>
      </c>
      <c r="B85" t="str">
        <v/>
      </c>
      <c r="C85" t="str">
        <v/>
      </c>
      <c r="D85" t="str">
        <v xml:space="preserve"> </v>
      </c>
      <c r="E85" s="64" t="str">
        <v xml:space="preserve"> </v>
      </c>
      <c r="F85" t="str">
        <v/>
      </c>
    </row>
    <row r="86" spans="1:6" x14ac:dyDescent="0.25">
      <c r="A86" t="str">
        <v/>
      </c>
      <c r="B86" t="str">
        <v/>
      </c>
      <c r="C86" t="str">
        <v/>
      </c>
      <c r="D86" t="str">
        <v xml:space="preserve"> </v>
      </c>
      <c r="E86" s="64" t="str">
        <v xml:space="preserve"> </v>
      </c>
      <c r="F86" t="str">
        <v/>
      </c>
    </row>
    <row r="87" spans="1:6" x14ac:dyDescent="0.25">
      <c r="A87" t="str">
        <v/>
      </c>
      <c r="B87" t="str">
        <v/>
      </c>
      <c r="C87" t="str">
        <v/>
      </c>
      <c r="D87" t="str">
        <v xml:space="preserve"> </v>
      </c>
      <c r="E87" s="64" t="str">
        <v xml:space="preserve"> </v>
      </c>
      <c r="F87" t="str">
        <v/>
      </c>
    </row>
    <row r="88" spans="1:6" x14ac:dyDescent="0.25">
      <c r="A88" t="str">
        <v/>
      </c>
      <c r="B88" t="str">
        <v/>
      </c>
      <c r="C88" t="str">
        <v/>
      </c>
      <c r="D88" t="str">
        <v xml:space="preserve"> </v>
      </c>
      <c r="E88" s="64" t="str">
        <v xml:space="preserve"> </v>
      </c>
      <c r="F88" t="str">
        <v/>
      </c>
    </row>
    <row r="89" spans="1:6" x14ac:dyDescent="0.25">
      <c r="A89" t="str">
        <v/>
      </c>
      <c r="B89" t="str">
        <v/>
      </c>
      <c r="C89" t="str">
        <v/>
      </c>
      <c r="D89" t="str">
        <v xml:space="preserve"> </v>
      </c>
      <c r="E89" s="64" t="str">
        <v xml:space="preserve"> </v>
      </c>
      <c r="F89" t="str">
        <v/>
      </c>
    </row>
    <row r="90" spans="1:6" x14ac:dyDescent="0.25">
      <c r="A90" t="str">
        <v/>
      </c>
      <c r="B90" t="str">
        <v/>
      </c>
      <c r="C90" t="str">
        <v/>
      </c>
      <c r="D90" t="str">
        <v xml:space="preserve"> </v>
      </c>
      <c r="E90" s="64" t="str">
        <v xml:space="preserve"> </v>
      </c>
      <c r="F90" t="str">
        <v/>
      </c>
    </row>
    <row r="91" spans="1:6" x14ac:dyDescent="0.25">
      <c r="A91" t="str">
        <v/>
      </c>
      <c r="B91" t="str">
        <v/>
      </c>
      <c r="C91" t="str">
        <v/>
      </c>
      <c r="D91" t="str">
        <v xml:space="preserve"> </v>
      </c>
      <c r="E91" s="64" t="str">
        <v xml:space="preserve"> </v>
      </c>
      <c r="F91" t="str">
        <v/>
      </c>
    </row>
    <row r="92" spans="1:6" x14ac:dyDescent="0.25">
      <c r="A92" t="str">
        <v/>
      </c>
      <c r="B92" t="str">
        <v/>
      </c>
      <c r="C92" t="str">
        <v/>
      </c>
      <c r="D92" t="str">
        <v xml:space="preserve"> </v>
      </c>
      <c r="E92" s="64" t="str">
        <v xml:space="preserve"> </v>
      </c>
      <c r="F92" t="str">
        <v/>
      </c>
    </row>
    <row r="93" spans="1:6" x14ac:dyDescent="0.25">
      <c r="A93" t="str">
        <v/>
      </c>
      <c r="B93" t="str">
        <v/>
      </c>
      <c r="C93" t="str">
        <v/>
      </c>
      <c r="D93" t="str">
        <v xml:space="preserve"> </v>
      </c>
      <c r="E93" s="64" t="str">
        <v xml:space="preserve"> </v>
      </c>
      <c r="F93" t="str">
        <v/>
      </c>
    </row>
    <row r="94" spans="1:6" x14ac:dyDescent="0.25">
      <c r="A94" t="str">
        <v/>
      </c>
      <c r="B94" t="str">
        <v/>
      </c>
      <c r="C94" t="str">
        <v/>
      </c>
      <c r="D94" t="str">
        <v xml:space="preserve"> </v>
      </c>
      <c r="E94" s="64" t="str">
        <v xml:space="preserve"> </v>
      </c>
      <c r="F94" t="str">
        <v/>
      </c>
    </row>
    <row r="95" spans="1:6" x14ac:dyDescent="0.25">
      <c r="A95" t="str">
        <v/>
      </c>
      <c r="B95" t="str">
        <v/>
      </c>
      <c r="C95" t="str">
        <v/>
      </c>
      <c r="D95" t="str">
        <v xml:space="preserve"> </v>
      </c>
      <c r="E95" s="64" t="str">
        <v xml:space="preserve"> </v>
      </c>
      <c r="F95" t="str">
        <v/>
      </c>
    </row>
    <row r="96" spans="1:6" x14ac:dyDescent="0.25">
      <c r="A96" t="str">
        <v/>
      </c>
      <c r="B96" t="str">
        <v/>
      </c>
      <c r="C96" t="str">
        <v/>
      </c>
      <c r="D96" t="str">
        <v xml:space="preserve"> </v>
      </c>
      <c r="E96" s="64" t="str">
        <v xml:space="preserve"> </v>
      </c>
      <c r="F96" t="str">
        <v/>
      </c>
    </row>
    <row r="97" spans="1:6" x14ac:dyDescent="0.25">
      <c r="A97" t="str">
        <v/>
      </c>
      <c r="B97" t="str">
        <v/>
      </c>
      <c r="C97" t="str">
        <v/>
      </c>
      <c r="D97" t="str">
        <v xml:space="preserve"> </v>
      </c>
      <c r="E97" s="64" t="str">
        <v xml:space="preserve"> </v>
      </c>
      <c r="F97" t="str">
        <v/>
      </c>
    </row>
    <row r="98" spans="1:6" x14ac:dyDescent="0.25">
      <c r="A98" t="str">
        <v/>
      </c>
      <c r="B98" t="str">
        <v/>
      </c>
      <c r="C98" t="str">
        <v/>
      </c>
      <c r="D98" t="str">
        <v xml:space="preserve"> </v>
      </c>
      <c r="E98" s="64" t="str">
        <v xml:space="preserve"> </v>
      </c>
      <c r="F98" t="str">
        <v/>
      </c>
    </row>
    <row r="99" spans="1:6" x14ac:dyDescent="0.25">
      <c r="A99" t="str">
        <v/>
      </c>
      <c r="B99" t="str">
        <v/>
      </c>
      <c r="C99" t="str">
        <v/>
      </c>
      <c r="D99" t="str">
        <v xml:space="preserve"> </v>
      </c>
      <c r="E99" s="64" t="str">
        <v xml:space="preserve"> </v>
      </c>
      <c r="F99" t="str">
        <v/>
      </c>
    </row>
    <row r="100" spans="1:6" x14ac:dyDescent="0.25">
      <c r="A100" t="str">
        <v/>
      </c>
      <c r="B100" t="str">
        <v/>
      </c>
      <c r="C100" t="str">
        <v/>
      </c>
      <c r="D100" t="str">
        <v xml:space="preserve"> </v>
      </c>
      <c r="E100" s="64" t="str">
        <v xml:space="preserve"> </v>
      </c>
      <c r="F100" t="str">
        <v/>
      </c>
    </row>
    <row r="101" spans="1:6" x14ac:dyDescent="0.25">
      <c r="A101" t="str">
        <v/>
      </c>
      <c r="B101" t="str">
        <v/>
      </c>
      <c r="C101" t="str">
        <v/>
      </c>
      <c r="D101" t="str">
        <v xml:space="preserve"> </v>
      </c>
      <c r="E101" s="64" t="str">
        <v xml:space="preserve"> </v>
      </c>
      <c r="F101" t="str">
        <v/>
      </c>
    </row>
    <row r="102" spans="1:6" x14ac:dyDescent="0.25">
      <c r="A102" t="str">
        <v/>
      </c>
      <c r="B102" t="str">
        <v/>
      </c>
      <c r="C102" t="str">
        <v/>
      </c>
      <c r="D102" t="str">
        <v xml:space="preserve"> </v>
      </c>
      <c r="E102" s="64" t="str">
        <v xml:space="preserve"> </v>
      </c>
      <c r="F102" t="str">
        <v/>
      </c>
    </row>
    <row r="103" spans="1:6" x14ac:dyDescent="0.25">
      <c r="A103" t="str">
        <v/>
      </c>
      <c r="B103" t="str">
        <v/>
      </c>
      <c r="C103" t="str">
        <v/>
      </c>
      <c r="D103" t="str">
        <v xml:space="preserve"> </v>
      </c>
      <c r="E103" s="64" t="str">
        <v xml:space="preserve"> </v>
      </c>
      <c r="F103" t="str">
        <v/>
      </c>
    </row>
    <row r="104" spans="1:6" x14ac:dyDescent="0.25">
      <c r="A104" t="str">
        <v/>
      </c>
      <c r="B104" t="str">
        <v/>
      </c>
      <c r="C104" t="str">
        <v/>
      </c>
      <c r="D104" t="str">
        <v xml:space="preserve"> </v>
      </c>
      <c r="E104" s="64" t="str">
        <v xml:space="preserve"> </v>
      </c>
      <c r="F104" t="str">
        <v/>
      </c>
    </row>
    <row r="105" spans="1:6" x14ac:dyDescent="0.25">
      <c r="A105" t="str">
        <v/>
      </c>
      <c r="B105" t="str">
        <v/>
      </c>
      <c r="C105" t="str">
        <v/>
      </c>
      <c r="D105" t="str">
        <v xml:space="preserve"> </v>
      </c>
      <c r="E105" s="64" t="str">
        <v xml:space="preserve"> </v>
      </c>
      <c r="F105" t="str">
        <v/>
      </c>
    </row>
    <row r="106" spans="1:6" x14ac:dyDescent="0.25">
      <c r="A106" t="str">
        <v/>
      </c>
      <c r="B106" t="str">
        <v/>
      </c>
      <c r="C106" t="str">
        <v/>
      </c>
      <c r="D106" t="str">
        <v xml:space="preserve"> </v>
      </c>
      <c r="E106" s="64" t="str">
        <v xml:space="preserve"> </v>
      </c>
      <c r="F106" t="str">
        <v/>
      </c>
    </row>
    <row r="107" spans="1:6" x14ac:dyDescent="0.25">
      <c r="A107" t="str">
        <v/>
      </c>
      <c r="B107" t="str">
        <v/>
      </c>
      <c r="C107" t="str">
        <v/>
      </c>
      <c r="D107" t="str">
        <v xml:space="preserve"> </v>
      </c>
      <c r="E107" s="64" t="str">
        <v xml:space="preserve"> </v>
      </c>
      <c r="F107" t="str">
        <v/>
      </c>
    </row>
    <row r="108" spans="1:6" x14ac:dyDescent="0.25">
      <c r="A108" t="str">
        <v/>
      </c>
      <c r="B108" t="str">
        <v/>
      </c>
      <c r="C108" t="str">
        <v/>
      </c>
      <c r="D108" t="str">
        <v xml:space="preserve"> </v>
      </c>
      <c r="E108" s="64" t="str">
        <v xml:space="preserve"> </v>
      </c>
      <c r="F108" t="str">
        <v/>
      </c>
    </row>
    <row r="109" spans="1:6" x14ac:dyDescent="0.25">
      <c r="A109" t="str">
        <v/>
      </c>
      <c r="B109" t="str">
        <v/>
      </c>
      <c r="C109" t="str">
        <v/>
      </c>
      <c r="D109" t="str">
        <v xml:space="preserve"> </v>
      </c>
      <c r="E109" s="64" t="str">
        <v xml:space="preserve"> </v>
      </c>
      <c r="F109" t="str">
        <v/>
      </c>
    </row>
    <row r="110" spans="1:6" x14ac:dyDescent="0.25">
      <c r="A110" t="str">
        <v/>
      </c>
      <c r="B110" t="str">
        <v/>
      </c>
      <c r="C110" t="str">
        <v/>
      </c>
      <c r="D110" t="str">
        <v xml:space="preserve"> </v>
      </c>
      <c r="E110" s="64" t="str">
        <v xml:space="preserve"> </v>
      </c>
      <c r="F110" t="str">
        <v/>
      </c>
    </row>
    <row r="111" spans="1:6" x14ac:dyDescent="0.25">
      <c r="A111" t="str">
        <v/>
      </c>
      <c r="B111" t="str">
        <v/>
      </c>
      <c r="C111" t="str">
        <v/>
      </c>
      <c r="D111" t="str">
        <v xml:space="preserve"> </v>
      </c>
      <c r="E111" s="64" t="str">
        <v xml:space="preserve"> </v>
      </c>
      <c r="F111" t="str">
        <v/>
      </c>
    </row>
    <row r="112" spans="1:6" x14ac:dyDescent="0.25">
      <c r="A112" t="str">
        <v/>
      </c>
      <c r="B112" t="str">
        <v/>
      </c>
      <c r="C112" t="str">
        <v/>
      </c>
      <c r="D112" t="str">
        <v xml:space="preserve"> </v>
      </c>
      <c r="E112" s="64" t="str">
        <v xml:space="preserve"> </v>
      </c>
      <c r="F112" t="str">
        <v/>
      </c>
    </row>
    <row r="113" spans="1:6" x14ac:dyDescent="0.25">
      <c r="A113" t="str">
        <v/>
      </c>
      <c r="B113" t="str">
        <v/>
      </c>
      <c r="C113" t="str">
        <v/>
      </c>
      <c r="D113" t="str">
        <v xml:space="preserve"> </v>
      </c>
      <c r="E113" s="64" t="str">
        <v xml:space="preserve"> </v>
      </c>
      <c r="F113" t="str">
        <v/>
      </c>
    </row>
    <row r="114" spans="1:6" x14ac:dyDescent="0.25">
      <c r="A114" t="str">
        <v/>
      </c>
      <c r="B114" t="str">
        <v/>
      </c>
      <c r="C114" t="str">
        <v/>
      </c>
      <c r="D114" t="str">
        <v xml:space="preserve"> </v>
      </c>
      <c r="E114" s="64" t="str">
        <v xml:space="preserve"> </v>
      </c>
      <c r="F114" t="str">
        <v/>
      </c>
    </row>
    <row r="115" spans="1:6" x14ac:dyDescent="0.25">
      <c r="A115" t="str">
        <v/>
      </c>
      <c r="B115" t="str">
        <v/>
      </c>
      <c r="C115" t="str">
        <v/>
      </c>
      <c r="D115" t="str">
        <v xml:space="preserve"> </v>
      </c>
      <c r="E115" s="64" t="str">
        <v xml:space="preserve"> </v>
      </c>
      <c r="F115" t="str">
        <v/>
      </c>
    </row>
    <row r="116" spans="1:6" x14ac:dyDescent="0.25">
      <c r="A116" t="str">
        <v/>
      </c>
      <c r="B116" t="str">
        <v/>
      </c>
      <c r="C116" t="str">
        <v/>
      </c>
      <c r="D116" t="str">
        <v xml:space="preserve"> </v>
      </c>
      <c r="E116" s="64" t="str">
        <v xml:space="preserve"> </v>
      </c>
      <c r="F116" t="str">
        <v/>
      </c>
    </row>
    <row r="117" spans="1:6" x14ac:dyDescent="0.25">
      <c r="A117" t="str">
        <v/>
      </c>
      <c r="B117" t="str">
        <v/>
      </c>
      <c r="C117" t="str">
        <v/>
      </c>
      <c r="D117" t="str">
        <v xml:space="preserve"> </v>
      </c>
      <c r="E117" s="64" t="str">
        <v xml:space="preserve"> </v>
      </c>
      <c r="F117" t="str">
        <v/>
      </c>
    </row>
    <row r="118" spans="1:6" x14ac:dyDescent="0.25">
      <c r="A118" t="str">
        <v/>
      </c>
      <c r="B118" t="str">
        <v/>
      </c>
      <c r="C118" t="str">
        <v/>
      </c>
      <c r="D118" t="str">
        <v xml:space="preserve"> </v>
      </c>
      <c r="E118" s="64" t="str">
        <v xml:space="preserve"> </v>
      </c>
      <c r="F118" t="str">
        <v/>
      </c>
    </row>
    <row r="119" spans="1:6" x14ac:dyDescent="0.25">
      <c r="A119" t="str">
        <v/>
      </c>
      <c r="B119" t="str">
        <v/>
      </c>
      <c r="C119" t="str">
        <v/>
      </c>
      <c r="D119" t="str">
        <v xml:space="preserve"> </v>
      </c>
      <c r="E119" s="64" t="str">
        <v xml:space="preserve"> </v>
      </c>
      <c r="F119" t="str">
        <v/>
      </c>
    </row>
    <row r="120" spans="1:6" x14ac:dyDescent="0.25">
      <c r="A120" t="str">
        <v/>
      </c>
      <c r="B120" t="str">
        <v/>
      </c>
      <c r="C120" t="str">
        <v/>
      </c>
      <c r="D120" t="str">
        <v xml:space="preserve"> </v>
      </c>
      <c r="E120" s="64" t="str">
        <v xml:space="preserve"> </v>
      </c>
      <c r="F120" t="str">
        <v/>
      </c>
    </row>
    <row r="121" spans="1:6" x14ac:dyDescent="0.25">
      <c r="A121" t="str">
        <v/>
      </c>
      <c r="B121" t="str">
        <v/>
      </c>
      <c r="C121" t="str">
        <v/>
      </c>
      <c r="D121" t="str">
        <v xml:space="preserve"> </v>
      </c>
      <c r="E121" s="64" t="str">
        <v xml:space="preserve"> </v>
      </c>
      <c r="F121" t="str">
        <v/>
      </c>
    </row>
    <row r="122" spans="1:6" x14ac:dyDescent="0.25">
      <c r="A122" t="str">
        <v/>
      </c>
      <c r="B122" t="str">
        <v/>
      </c>
      <c r="C122" t="str">
        <v/>
      </c>
      <c r="D122" t="str">
        <v xml:space="preserve"> </v>
      </c>
      <c r="E122" s="64" t="str">
        <v xml:space="preserve"> </v>
      </c>
      <c r="F122" t="str">
        <v/>
      </c>
    </row>
    <row r="123" spans="1:6" x14ac:dyDescent="0.25">
      <c r="A123" t="str">
        <v/>
      </c>
      <c r="B123" t="str">
        <v/>
      </c>
      <c r="C123" t="str">
        <v/>
      </c>
      <c r="D123" t="str">
        <v xml:space="preserve"> </v>
      </c>
      <c r="E123" s="64" t="str">
        <v xml:space="preserve"> </v>
      </c>
      <c r="F123" t="str">
        <v/>
      </c>
    </row>
    <row r="124" spans="1:6" x14ac:dyDescent="0.25">
      <c r="A124" t="str">
        <v/>
      </c>
      <c r="B124" t="str">
        <v/>
      </c>
      <c r="C124" t="str">
        <v/>
      </c>
      <c r="D124" t="str">
        <v xml:space="preserve"> </v>
      </c>
      <c r="E124" s="64" t="str">
        <v xml:space="preserve"> </v>
      </c>
      <c r="F124" t="str">
        <v/>
      </c>
    </row>
    <row r="125" spans="1:6" x14ac:dyDescent="0.25">
      <c r="A125" t="str">
        <v/>
      </c>
      <c r="B125" t="str">
        <v/>
      </c>
      <c r="C125" t="str">
        <v/>
      </c>
      <c r="D125" t="str">
        <v xml:space="preserve"> </v>
      </c>
      <c r="E125" s="64" t="str">
        <v xml:space="preserve"> </v>
      </c>
      <c r="F125" t="str">
        <v/>
      </c>
    </row>
    <row r="126" spans="1:6" x14ac:dyDescent="0.25">
      <c r="A126" t="str">
        <v/>
      </c>
      <c r="B126" t="str">
        <v/>
      </c>
      <c r="C126" t="str">
        <v/>
      </c>
      <c r="D126" t="str">
        <v xml:space="preserve"> </v>
      </c>
      <c r="E126" s="64" t="str">
        <v xml:space="preserve"> </v>
      </c>
      <c r="F126" t="str">
        <v/>
      </c>
    </row>
    <row r="127" spans="1:6" x14ac:dyDescent="0.25">
      <c r="A127" t="str">
        <v/>
      </c>
      <c r="B127" t="str">
        <v/>
      </c>
      <c r="C127" t="str">
        <v/>
      </c>
      <c r="D127" t="str">
        <v xml:space="preserve"> </v>
      </c>
      <c r="E127" s="64" t="str">
        <v xml:space="preserve"> </v>
      </c>
      <c r="F127" t="str">
        <v/>
      </c>
    </row>
    <row r="128" spans="1:6" x14ac:dyDescent="0.25">
      <c r="A128" t="str">
        <v/>
      </c>
      <c r="B128" t="str">
        <v/>
      </c>
      <c r="C128" t="str">
        <v/>
      </c>
      <c r="D128" t="str">
        <v xml:space="preserve"> </v>
      </c>
      <c r="E128" s="64" t="str">
        <v xml:space="preserve"> </v>
      </c>
      <c r="F128" t="str">
        <v/>
      </c>
    </row>
    <row r="129" spans="1:6" x14ac:dyDescent="0.25">
      <c r="A129" t="str">
        <v/>
      </c>
      <c r="B129" t="str">
        <v/>
      </c>
      <c r="C129" t="str">
        <v/>
      </c>
      <c r="D129" t="str">
        <v xml:space="preserve"> </v>
      </c>
      <c r="E129" s="64" t="str">
        <v xml:space="preserve"> </v>
      </c>
      <c r="F129" t="str">
        <v/>
      </c>
    </row>
    <row r="130" spans="1:6" x14ac:dyDescent="0.25">
      <c r="A130" t="str">
        <v/>
      </c>
      <c r="B130" t="str">
        <v/>
      </c>
      <c r="C130" t="str">
        <v/>
      </c>
      <c r="D130" t="str">
        <v xml:space="preserve"> </v>
      </c>
      <c r="E130" s="64" t="str">
        <v xml:space="preserve"> </v>
      </c>
      <c r="F130" t="str">
        <v/>
      </c>
    </row>
    <row r="131" spans="1:6" x14ac:dyDescent="0.25">
      <c r="A131" t="str">
        <v/>
      </c>
      <c r="B131" t="str">
        <v/>
      </c>
      <c r="C131" t="str">
        <v/>
      </c>
      <c r="D131" t="str">
        <v xml:space="preserve"> </v>
      </c>
      <c r="E131" s="64" t="str">
        <v xml:space="preserve"> </v>
      </c>
      <c r="F131" t="str">
        <v/>
      </c>
    </row>
    <row r="132" spans="1:6" x14ac:dyDescent="0.25">
      <c r="A132" t="str">
        <v/>
      </c>
      <c r="B132" t="str">
        <v/>
      </c>
      <c r="C132" t="str">
        <v/>
      </c>
      <c r="D132" t="str">
        <v xml:space="preserve"> </v>
      </c>
      <c r="E132" s="64" t="str">
        <v xml:space="preserve"> </v>
      </c>
      <c r="F132" t="str">
        <v/>
      </c>
    </row>
    <row r="133" spans="1:6" x14ac:dyDescent="0.25">
      <c r="A133" t="str">
        <v/>
      </c>
      <c r="B133" t="str">
        <v/>
      </c>
      <c r="C133" t="str">
        <v/>
      </c>
      <c r="D133" t="str">
        <v xml:space="preserve"> </v>
      </c>
      <c r="E133" s="64" t="str">
        <v xml:space="preserve"> </v>
      </c>
      <c r="F133" t="str">
        <v/>
      </c>
    </row>
    <row r="134" spans="1:6" x14ac:dyDescent="0.25">
      <c r="A134" t="str">
        <v/>
      </c>
      <c r="B134" t="str">
        <v/>
      </c>
      <c r="C134" t="str">
        <v/>
      </c>
      <c r="D134" t="str">
        <v xml:space="preserve"> </v>
      </c>
      <c r="E134" s="64" t="str">
        <v xml:space="preserve"> </v>
      </c>
      <c r="F134" t="str">
        <v/>
      </c>
    </row>
    <row r="135" spans="1:6" x14ac:dyDescent="0.25">
      <c r="A135" t="str">
        <v/>
      </c>
      <c r="B135" t="str">
        <v/>
      </c>
      <c r="C135" t="str">
        <v/>
      </c>
      <c r="D135" t="str">
        <v xml:space="preserve"> </v>
      </c>
      <c r="E135" s="64" t="str">
        <v xml:space="preserve"> </v>
      </c>
      <c r="F135" t="str">
        <v/>
      </c>
    </row>
    <row r="136" spans="1:6" x14ac:dyDescent="0.25">
      <c r="A136" t="str">
        <v/>
      </c>
      <c r="B136" t="str">
        <v/>
      </c>
      <c r="C136" t="str">
        <v/>
      </c>
      <c r="D136" t="str">
        <v xml:space="preserve"> </v>
      </c>
      <c r="E136" s="64" t="str">
        <v xml:space="preserve"> </v>
      </c>
      <c r="F136" t="str">
        <v/>
      </c>
    </row>
    <row r="137" spans="1:6" x14ac:dyDescent="0.25">
      <c r="A137" t="str">
        <v/>
      </c>
      <c r="B137" t="str">
        <v/>
      </c>
      <c r="C137" t="str">
        <v/>
      </c>
      <c r="D137" t="str">
        <v xml:space="preserve"> </v>
      </c>
      <c r="E137" s="64" t="str">
        <v xml:space="preserve"> </v>
      </c>
      <c r="F137" t="str">
        <v/>
      </c>
    </row>
    <row r="138" spans="1:6" x14ac:dyDescent="0.25">
      <c r="A138" t="str">
        <v/>
      </c>
      <c r="B138" t="str">
        <v/>
      </c>
      <c r="C138" t="str">
        <v/>
      </c>
      <c r="D138" t="str">
        <v xml:space="preserve"> </v>
      </c>
      <c r="E138" s="64" t="str">
        <v xml:space="preserve"> </v>
      </c>
      <c r="F138" t="str">
        <v/>
      </c>
    </row>
    <row r="139" spans="1:6" x14ac:dyDescent="0.25">
      <c r="A139" t="str">
        <v/>
      </c>
      <c r="B139" t="str">
        <v/>
      </c>
      <c r="C139" t="str">
        <v/>
      </c>
      <c r="D139" t="str">
        <v xml:space="preserve"> </v>
      </c>
      <c r="E139" s="64" t="str">
        <v xml:space="preserve"> </v>
      </c>
      <c r="F139" t="str">
        <v/>
      </c>
    </row>
    <row r="140" spans="1:6" x14ac:dyDescent="0.25">
      <c r="A140" t="str">
        <v/>
      </c>
      <c r="B140" t="str">
        <v/>
      </c>
      <c r="C140" t="str">
        <v/>
      </c>
      <c r="D140" t="str">
        <v xml:space="preserve"> </v>
      </c>
      <c r="E140" s="64" t="str">
        <v xml:space="preserve"> </v>
      </c>
      <c r="F140" t="str">
        <v/>
      </c>
    </row>
    <row r="141" spans="1:6" x14ac:dyDescent="0.25">
      <c r="A141" t="str">
        <v/>
      </c>
      <c r="B141" t="str">
        <v/>
      </c>
      <c r="C141" t="str">
        <v/>
      </c>
      <c r="D141" t="str">
        <v xml:space="preserve"> </v>
      </c>
      <c r="E141" s="64" t="str">
        <v xml:space="preserve"> </v>
      </c>
      <c r="F141" t="str">
        <v/>
      </c>
    </row>
    <row r="142" spans="1:6" x14ac:dyDescent="0.25">
      <c r="A142" t="str">
        <v/>
      </c>
      <c r="B142" t="str">
        <v/>
      </c>
      <c r="C142" t="str">
        <v/>
      </c>
      <c r="D142" t="str">
        <v xml:space="preserve"> </v>
      </c>
      <c r="E142" s="64" t="str">
        <v xml:space="preserve"> </v>
      </c>
      <c r="F142" t="str">
        <v/>
      </c>
    </row>
    <row r="143" spans="1:6" x14ac:dyDescent="0.25">
      <c r="A143" t="str">
        <v/>
      </c>
      <c r="B143" t="str">
        <v/>
      </c>
      <c r="C143" t="str">
        <v/>
      </c>
      <c r="D143" t="str">
        <v xml:space="preserve"> </v>
      </c>
      <c r="E143" s="64" t="str">
        <v xml:space="preserve"> </v>
      </c>
      <c r="F143" t="str">
        <v/>
      </c>
    </row>
    <row r="144" spans="1:6" x14ac:dyDescent="0.25">
      <c r="A144" t="str">
        <v/>
      </c>
      <c r="B144" t="str">
        <v/>
      </c>
      <c r="C144" t="str">
        <v/>
      </c>
      <c r="D144" t="str">
        <v xml:space="preserve"> </v>
      </c>
      <c r="E144" s="64" t="str">
        <v xml:space="preserve"> </v>
      </c>
      <c r="F144" t="str">
        <v/>
      </c>
    </row>
    <row r="145" spans="1:6" x14ac:dyDescent="0.25">
      <c r="A145" t="str">
        <v/>
      </c>
      <c r="B145" t="str">
        <v/>
      </c>
      <c r="C145" t="str">
        <v/>
      </c>
      <c r="D145" t="str">
        <v xml:space="preserve"> </v>
      </c>
      <c r="E145" s="64" t="str">
        <v xml:space="preserve"> </v>
      </c>
      <c r="F145" t="str">
        <v/>
      </c>
    </row>
    <row r="146" spans="1:6" x14ac:dyDescent="0.25">
      <c r="A146" t="str">
        <v/>
      </c>
      <c r="B146" t="str">
        <v/>
      </c>
      <c r="C146" t="str">
        <v/>
      </c>
      <c r="D146" t="str">
        <v xml:space="preserve"> </v>
      </c>
      <c r="E146" s="64" t="str">
        <v xml:space="preserve"> </v>
      </c>
      <c r="F146" t="str">
        <v/>
      </c>
    </row>
    <row r="147" spans="1:6" x14ac:dyDescent="0.25">
      <c r="A147" t="str">
        <v/>
      </c>
      <c r="B147" t="str">
        <v/>
      </c>
      <c r="C147" t="str">
        <v/>
      </c>
      <c r="D147" t="str">
        <v xml:space="preserve"> </v>
      </c>
      <c r="E147" s="64" t="str">
        <v xml:space="preserve"> </v>
      </c>
      <c r="F147" t="str">
        <v/>
      </c>
    </row>
    <row r="148" spans="1:6" x14ac:dyDescent="0.25">
      <c r="A148" t="str">
        <v/>
      </c>
      <c r="B148" t="str">
        <v/>
      </c>
      <c r="C148" t="str">
        <v/>
      </c>
      <c r="D148" t="str">
        <v xml:space="preserve"> </v>
      </c>
      <c r="E148" s="64" t="str">
        <v xml:space="preserve"> </v>
      </c>
      <c r="F148" t="str">
        <v/>
      </c>
    </row>
    <row r="149" spans="1:6" x14ac:dyDescent="0.25">
      <c r="A149" t="str">
        <v/>
      </c>
      <c r="B149" t="str">
        <v/>
      </c>
      <c r="C149" t="str">
        <v/>
      </c>
      <c r="D149" t="str">
        <v xml:space="preserve"> </v>
      </c>
      <c r="E149" s="64" t="str">
        <v xml:space="preserve"> </v>
      </c>
      <c r="F149" t="str">
        <v/>
      </c>
    </row>
    <row r="150" spans="1:6" x14ac:dyDescent="0.25">
      <c r="A150" t="str">
        <v/>
      </c>
      <c r="B150" t="str">
        <v/>
      </c>
      <c r="C150" t="str">
        <v/>
      </c>
      <c r="D150" t="str">
        <v xml:space="preserve"> </v>
      </c>
      <c r="E150" s="64" t="str">
        <v xml:space="preserve"> </v>
      </c>
      <c r="F150" t="str">
        <v/>
      </c>
    </row>
    <row r="151" spans="1:6" x14ac:dyDescent="0.25">
      <c r="A151" t="str">
        <v/>
      </c>
      <c r="B151" t="str">
        <v/>
      </c>
      <c r="C151" t="str">
        <v/>
      </c>
      <c r="D151" t="str">
        <v xml:space="preserve"> </v>
      </c>
      <c r="E151" s="64" t="str">
        <v xml:space="preserve"> </v>
      </c>
      <c r="F151" t="str">
        <v/>
      </c>
    </row>
    <row r="152" spans="1:6" x14ac:dyDescent="0.25">
      <c r="A152" t="str">
        <v/>
      </c>
      <c r="B152" t="str">
        <v/>
      </c>
      <c r="C152" t="str">
        <v/>
      </c>
      <c r="D152" t="str">
        <v xml:space="preserve"> </v>
      </c>
      <c r="E152" s="64" t="str">
        <v xml:space="preserve"> </v>
      </c>
      <c r="F152" t="str">
        <v/>
      </c>
    </row>
    <row r="153" spans="1:6" x14ac:dyDescent="0.25">
      <c r="A153" t="str">
        <v/>
      </c>
      <c r="B153" t="str">
        <v/>
      </c>
      <c r="C153" t="str">
        <v/>
      </c>
      <c r="D153" t="str">
        <v xml:space="preserve"> </v>
      </c>
      <c r="E153" s="64" t="str">
        <v xml:space="preserve"> </v>
      </c>
      <c r="F153" t="str">
        <v/>
      </c>
    </row>
    <row r="154" spans="1:6" x14ac:dyDescent="0.25">
      <c r="A154" t="str">
        <v/>
      </c>
      <c r="B154" t="str">
        <v/>
      </c>
      <c r="C154" t="str">
        <v/>
      </c>
      <c r="D154" t="str">
        <v xml:space="preserve"> </v>
      </c>
      <c r="E154" s="64" t="str">
        <v xml:space="preserve"> </v>
      </c>
      <c r="F154" t="str">
        <v/>
      </c>
    </row>
    <row r="155" spans="1:6" x14ac:dyDescent="0.25">
      <c r="A155" t="str">
        <v/>
      </c>
      <c r="B155" t="str">
        <v/>
      </c>
      <c r="C155" t="str">
        <v/>
      </c>
      <c r="D155" t="str">
        <v xml:space="preserve"> </v>
      </c>
      <c r="E155" s="64" t="str">
        <v xml:space="preserve"> </v>
      </c>
      <c r="F155" t="str">
        <v/>
      </c>
    </row>
    <row r="156" spans="1:6" x14ac:dyDescent="0.25">
      <c r="A156" t="str">
        <v/>
      </c>
      <c r="B156" t="str">
        <v/>
      </c>
      <c r="C156" t="str">
        <v/>
      </c>
      <c r="D156" t="str">
        <v xml:space="preserve"> </v>
      </c>
      <c r="E156" s="64" t="str">
        <v xml:space="preserve"> </v>
      </c>
      <c r="F156" t="str">
        <v/>
      </c>
    </row>
    <row r="157" spans="1:6" x14ac:dyDescent="0.25">
      <c r="A157" t="str">
        <v/>
      </c>
      <c r="B157" t="str">
        <v/>
      </c>
      <c r="C157" t="str">
        <v/>
      </c>
      <c r="D157" t="str">
        <v xml:space="preserve"> </v>
      </c>
      <c r="E157" s="64" t="str">
        <v xml:space="preserve"> </v>
      </c>
      <c r="F157" t="str">
        <v/>
      </c>
    </row>
    <row r="158" spans="1:6" x14ac:dyDescent="0.25">
      <c r="A158" t="str">
        <v/>
      </c>
      <c r="B158" t="str">
        <v/>
      </c>
      <c r="C158" t="str">
        <v/>
      </c>
      <c r="D158" t="str">
        <v xml:space="preserve"> </v>
      </c>
      <c r="E158" s="64" t="str">
        <v xml:space="preserve"> </v>
      </c>
      <c r="F158" t="str">
        <v/>
      </c>
    </row>
    <row r="159" spans="1:6" x14ac:dyDescent="0.25">
      <c r="A159" t="str">
        <v/>
      </c>
      <c r="B159" t="str">
        <v/>
      </c>
      <c r="C159" t="str">
        <v/>
      </c>
      <c r="D159" t="str">
        <v xml:space="preserve"> </v>
      </c>
      <c r="E159" s="64" t="str">
        <v xml:space="preserve"> </v>
      </c>
      <c r="F159" t="str">
        <v/>
      </c>
    </row>
    <row r="160" spans="1:6" x14ac:dyDescent="0.25">
      <c r="A160" t="str">
        <v/>
      </c>
      <c r="B160" t="str">
        <v/>
      </c>
      <c r="C160" t="str">
        <v/>
      </c>
      <c r="D160" t="str">
        <v xml:space="preserve"> </v>
      </c>
      <c r="E160" s="64" t="str">
        <v xml:space="preserve"> </v>
      </c>
      <c r="F160" t="str">
        <v/>
      </c>
    </row>
    <row r="161" spans="1:6" x14ac:dyDescent="0.25">
      <c r="A161" t="str">
        <v/>
      </c>
      <c r="B161" t="str">
        <v/>
      </c>
      <c r="C161" t="str">
        <v/>
      </c>
      <c r="D161" t="str">
        <v xml:space="preserve"> </v>
      </c>
      <c r="E161" s="64" t="str">
        <v xml:space="preserve"> </v>
      </c>
      <c r="F161" t="str">
        <v/>
      </c>
    </row>
    <row r="162" spans="1:6" x14ac:dyDescent="0.25">
      <c r="A162" t="str">
        <v/>
      </c>
      <c r="B162" t="str">
        <v/>
      </c>
      <c r="C162" t="str">
        <v/>
      </c>
      <c r="D162" t="str">
        <v xml:space="preserve"> </v>
      </c>
      <c r="E162" s="64" t="str">
        <v xml:space="preserve"> </v>
      </c>
      <c r="F162" t="str">
        <v/>
      </c>
    </row>
    <row r="163" spans="1:6" x14ac:dyDescent="0.25">
      <c r="A163" t="str">
        <v/>
      </c>
      <c r="B163" t="str">
        <v/>
      </c>
      <c r="C163" t="str">
        <v/>
      </c>
      <c r="D163" t="str">
        <v xml:space="preserve"> </v>
      </c>
      <c r="E163" s="64" t="str">
        <v xml:space="preserve"> </v>
      </c>
      <c r="F163" t="str">
        <v/>
      </c>
    </row>
    <row r="164" spans="1:6" x14ac:dyDescent="0.25">
      <c r="A164" t="str">
        <v/>
      </c>
      <c r="B164" t="str">
        <v/>
      </c>
      <c r="C164" t="str">
        <v/>
      </c>
      <c r="D164" t="str">
        <v xml:space="preserve"> </v>
      </c>
      <c r="E164" s="64" t="str">
        <v xml:space="preserve"> </v>
      </c>
      <c r="F164" t="str">
        <v/>
      </c>
    </row>
    <row r="165" spans="1:6" x14ac:dyDescent="0.25">
      <c r="A165" t="str">
        <v/>
      </c>
      <c r="B165" t="str">
        <v/>
      </c>
      <c r="C165" t="str">
        <v/>
      </c>
      <c r="D165" t="str">
        <v xml:space="preserve"> </v>
      </c>
      <c r="E165" s="64" t="str">
        <v xml:space="preserve"> </v>
      </c>
      <c r="F165" t="str">
        <v/>
      </c>
    </row>
    <row r="166" spans="1:6" x14ac:dyDescent="0.25">
      <c r="A166" t="str">
        <v/>
      </c>
      <c r="B166" t="str">
        <v/>
      </c>
      <c r="C166" t="str">
        <v/>
      </c>
      <c r="D166" t="str">
        <v xml:space="preserve"> </v>
      </c>
      <c r="E166" s="64" t="str">
        <v xml:space="preserve"> </v>
      </c>
      <c r="F166" t="str">
        <v/>
      </c>
    </row>
    <row r="167" spans="1:6" x14ac:dyDescent="0.25">
      <c r="A167" t="str">
        <v/>
      </c>
      <c r="B167" t="str">
        <v/>
      </c>
      <c r="C167" t="str">
        <v/>
      </c>
      <c r="D167" t="str">
        <v xml:space="preserve"> </v>
      </c>
      <c r="E167" s="64" t="str">
        <v xml:space="preserve"> </v>
      </c>
      <c r="F167" t="str">
        <v/>
      </c>
    </row>
    <row r="168" spans="1:6" x14ac:dyDescent="0.25">
      <c r="A168" t="str">
        <v/>
      </c>
      <c r="B168" t="str">
        <v/>
      </c>
      <c r="C168" t="str">
        <v/>
      </c>
      <c r="D168" t="str">
        <v xml:space="preserve"> </v>
      </c>
      <c r="E168" s="64" t="str">
        <v xml:space="preserve"> </v>
      </c>
      <c r="F168" t="str">
        <v/>
      </c>
    </row>
    <row r="169" spans="1:6" x14ac:dyDescent="0.25">
      <c r="A169" t="str">
        <v/>
      </c>
      <c r="B169" t="str">
        <v/>
      </c>
      <c r="C169" t="str">
        <v/>
      </c>
      <c r="D169" t="str">
        <v xml:space="preserve"> </v>
      </c>
      <c r="E169" s="64" t="str">
        <v xml:space="preserve"> </v>
      </c>
      <c r="F169" t="str">
        <v/>
      </c>
    </row>
    <row r="170" spans="1:6" x14ac:dyDescent="0.25">
      <c r="A170" t="str">
        <v/>
      </c>
      <c r="B170" t="str">
        <v/>
      </c>
      <c r="C170" t="str">
        <v/>
      </c>
      <c r="D170" t="str">
        <v xml:space="preserve"> </v>
      </c>
      <c r="E170" s="64" t="str">
        <v xml:space="preserve"> </v>
      </c>
      <c r="F170" t="str">
        <v/>
      </c>
    </row>
    <row r="171" spans="1:6" x14ac:dyDescent="0.25">
      <c r="A171" t="str">
        <v/>
      </c>
      <c r="B171" t="str">
        <v/>
      </c>
      <c r="C171" t="str">
        <v/>
      </c>
      <c r="D171" t="str">
        <v xml:space="preserve"> </v>
      </c>
      <c r="E171" s="64" t="str">
        <v xml:space="preserve"> </v>
      </c>
      <c r="F171" t="str">
        <v/>
      </c>
    </row>
    <row r="172" spans="1:6" x14ac:dyDescent="0.25">
      <c r="A172" t="str">
        <v/>
      </c>
      <c r="B172" t="str">
        <v/>
      </c>
      <c r="C172" t="str">
        <v/>
      </c>
      <c r="D172" t="str">
        <v xml:space="preserve"> </v>
      </c>
      <c r="E172" s="64" t="str">
        <v xml:space="preserve"> </v>
      </c>
      <c r="F172" t="str">
        <v/>
      </c>
    </row>
    <row r="173" spans="1:6" x14ac:dyDescent="0.25">
      <c r="A173" t="str">
        <v/>
      </c>
      <c r="B173" t="str">
        <v/>
      </c>
      <c r="C173" t="str">
        <v/>
      </c>
      <c r="D173" t="str">
        <v xml:space="preserve"> </v>
      </c>
      <c r="E173" s="64" t="str">
        <v xml:space="preserve"> </v>
      </c>
      <c r="F173" t="str">
        <v/>
      </c>
    </row>
    <row r="174" spans="1:6" x14ac:dyDescent="0.25">
      <c r="A174" t="str">
        <v/>
      </c>
      <c r="B174" t="str">
        <v/>
      </c>
      <c r="C174" t="str">
        <v/>
      </c>
      <c r="D174" t="str">
        <v xml:space="preserve"> </v>
      </c>
      <c r="E174" s="64" t="str">
        <v xml:space="preserve"> </v>
      </c>
      <c r="F174" t="str">
        <v/>
      </c>
    </row>
    <row r="175" spans="1:6" x14ac:dyDescent="0.25">
      <c r="A175" t="str">
        <v/>
      </c>
      <c r="B175" t="str">
        <v/>
      </c>
      <c r="C175" t="str">
        <v/>
      </c>
      <c r="D175" t="str">
        <v xml:space="preserve"> </v>
      </c>
      <c r="E175" s="64" t="str">
        <v xml:space="preserve"> </v>
      </c>
      <c r="F175" t="str">
        <v/>
      </c>
    </row>
    <row r="176" spans="1:6" x14ac:dyDescent="0.25">
      <c r="A176" t="str">
        <v/>
      </c>
      <c r="B176" t="str">
        <v/>
      </c>
      <c r="C176" t="str">
        <v/>
      </c>
      <c r="D176" t="str">
        <v xml:space="preserve"> </v>
      </c>
      <c r="E176" s="64" t="str">
        <v xml:space="preserve"> </v>
      </c>
      <c r="F176" t="str">
        <v/>
      </c>
    </row>
    <row r="177" spans="1:6" x14ac:dyDescent="0.25">
      <c r="A177" t="str">
        <v/>
      </c>
      <c r="B177" t="str">
        <v/>
      </c>
      <c r="C177" t="str">
        <v/>
      </c>
      <c r="D177" t="str">
        <v xml:space="preserve"> </v>
      </c>
      <c r="E177" s="64" t="str">
        <v xml:space="preserve"> </v>
      </c>
      <c r="F177" t="str">
        <v/>
      </c>
    </row>
    <row r="178" spans="1:6" x14ac:dyDescent="0.25">
      <c r="A178" t="str">
        <v/>
      </c>
      <c r="B178" t="str">
        <v/>
      </c>
      <c r="C178" t="str">
        <v/>
      </c>
      <c r="D178" t="str">
        <v xml:space="preserve"> </v>
      </c>
      <c r="E178" s="64" t="str">
        <v xml:space="preserve"> </v>
      </c>
      <c r="F178" t="str">
        <v/>
      </c>
    </row>
    <row r="179" spans="1:6" x14ac:dyDescent="0.25">
      <c r="A179" t="str">
        <v/>
      </c>
      <c r="B179" t="str">
        <v/>
      </c>
      <c r="C179" t="str">
        <v/>
      </c>
      <c r="D179" t="str">
        <v xml:space="preserve"> </v>
      </c>
      <c r="E179" s="64" t="str">
        <v xml:space="preserve"> </v>
      </c>
      <c r="F179" t="str">
        <v/>
      </c>
    </row>
    <row r="180" spans="1:6" x14ac:dyDescent="0.25">
      <c r="A180" t="str">
        <v/>
      </c>
      <c r="B180" t="str">
        <v/>
      </c>
      <c r="C180" t="str">
        <v/>
      </c>
      <c r="D180" t="str">
        <v xml:space="preserve"> </v>
      </c>
      <c r="E180" s="64" t="str">
        <v xml:space="preserve"> </v>
      </c>
      <c r="F180" t="str">
        <v/>
      </c>
    </row>
    <row r="181" spans="1:6" x14ac:dyDescent="0.25">
      <c r="A181" t="str">
        <v/>
      </c>
      <c r="B181" t="str">
        <v/>
      </c>
      <c r="C181" t="str">
        <v/>
      </c>
      <c r="D181" t="str">
        <v xml:space="preserve"> </v>
      </c>
      <c r="E181" s="64" t="str">
        <v xml:space="preserve"> </v>
      </c>
      <c r="F181" t="str">
        <v/>
      </c>
    </row>
    <row r="182" spans="1:6" x14ac:dyDescent="0.25">
      <c r="A182" t="str">
        <v/>
      </c>
      <c r="B182" t="str">
        <v/>
      </c>
      <c r="C182" t="str">
        <v/>
      </c>
      <c r="D182" t="str">
        <v xml:space="preserve"> </v>
      </c>
      <c r="E182" s="64" t="str">
        <v xml:space="preserve"> </v>
      </c>
      <c r="F182" t="str">
        <v/>
      </c>
    </row>
    <row r="183" spans="1:6" x14ac:dyDescent="0.25">
      <c r="A183" t="str">
        <v/>
      </c>
      <c r="B183" t="str">
        <v/>
      </c>
      <c r="C183" t="str">
        <v/>
      </c>
      <c r="D183" t="str">
        <v xml:space="preserve"> </v>
      </c>
      <c r="E183" s="64" t="str">
        <v xml:space="preserve"> </v>
      </c>
      <c r="F183" t="str">
        <v/>
      </c>
    </row>
    <row r="184" spans="1:6" x14ac:dyDescent="0.25">
      <c r="A184" t="str">
        <v/>
      </c>
      <c r="B184" t="str">
        <v/>
      </c>
      <c r="C184" t="str">
        <v/>
      </c>
      <c r="D184" t="str">
        <v xml:space="preserve"> </v>
      </c>
      <c r="E184" s="64" t="str">
        <v xml:space="preserve"> </v>
      </c>
      <c r="F184" t="str">
        <v/>
      </c>
    </row>
    <row r="185" spans="1:6" x14ac:dyDescent="0.25">
      <c r="A185" t="str">
        <v/>
      </c>
      <c r="B185" t="str">
        <v/>
      </c>
      <c r="C185" t="str">
        <v/>
      </c>
      <c r="D185" t="str">
        <v xml:space="preserve"> </v>
      </c>
      <c r="E185" s="64" t="str">
        <v xml:space="preserve"> </v>
      </c>
      <c r="F185" t="str">
        <v/>
      </c>
    </row>
    <row r="186" spans="1:6" x14ac:dyDescent="0.25">
      <c r="A186" t="str">
        <v/>
      </c>
      <c r="B186" t="str">
        <v/>
      </c>
      <c r="C186" t="str">
        <v/>
      </c>
      <c r="D186" t="str">
        <v xml:space="preserve"> </v>
      </c>
      <c r="E186" s="64" t="str">
        <v xml:space="preserve"> </v>
      </c>
      <c r="F186" t="str">
        <v/>
      </c>
    </row>
    <row r="187" spans="1:6" x14ac:dyDescent="0.25">
      <c r="A187" t="str">
        <v/>
      </c>
      <c r="B187" t="str">
        <v/>
      </c>
      <c r="C187" t="str">
        <v/>
      </c>
      <c r="D187" t="str">
        <v xml:space="preserve"> </v>
      </c>
      <c r="E187" s="64" t="str">
        <v xml:space="preserve"> </v>
      </c>
      <c r="F187" t="str">
        <v/>
      </c>
    </row>
    <row r="188" spans="1:6" x14ac:dyDescent="0.25">
      <c r="A188" t="str">
        <v/>
      </c>
      <c r="B188" t="str">
        <v/>
      </c>
      <c r="C188" t="str">
        <v/>
      </c>
      <c r="D188" t="str">
        <v xml:space="preserve"> </v>
      </c>
      <c r="E188" s="64" t="str">
        <v xml:space="preserve"> </v>
      </c>
      <c r="F188" t="str">
        <v/>
      </c>
    </row>
    <row r="189" spans="1:6" x14ac:dyDescent="0.25">
      <c r="A189" t="str">
        <v/>
      </c>
      <c r="B189" t="str">
        <v/>
      </c>
      <c r="C189" t="str">
        <v/>
      </c>
      <c r="D189" t="str">
        <v xml:space="preserve"> </v>
      </c>
      <c r="E189" s="64" t="str">
        <v xml:space="preserve"> </v>
      </c>
      <c r="F189" t="str">
        <v/>
      </c>
    </row>
    <row r="190" spans="1:6" x14ac:dyDescent="0.25">
      <c r="A190" t="str">
        <v/>
      </c>
      <c r="B190" t="str">
        <v/>
      </c>
      <c r="C190" t="str">
        <v/>
      </c>
      <c r="D190" t="str">
        <v xml:space="preserve"> </v>
      </c>
      <c r="E190" s="64" t="str">
        <v xml:space="preserve"> </v>
      </c>
      <c r="F190" t="str">
        <v/>
      </c>
    </row>
    <row r="191" spans="1:6" x14ac:dyDescent="0.25">
      <c r="A191" t="str">
        <v/>
      </c>
      <c r="B191" t="str">
        <v/>
      </c>
      <c r="C191" t="str">
        <v/>
      </c>
      <c r="D191" t="str">
        <v xml:space="preserve"> </v>
      </c>
      <c r="E191" s="64" t="str">
        <v xml:space="preserve"> </v>
      </c>
      <c r="F191" t="str">
        <v/>
      </c>
    </row>
    <row r="192" spans="1:6" x14ac:dyDescent="0.25">
      <c r="A192" t="str">
        <v/>
      </c>
      <c r="B192" t="str">
        <v/>
      </c>
      <c r="C192" t="str">
        <v/>
      </c>
      <c r="D192" t="str">
        <v xml:space="preserve"> </v>
      </c>
      <c r="E192" s="64" t="str">
        <v xml:space="preserve"> </v>
      </c>
      <c r="F192" t="str">
        <v/>
      </c>
    </row>
    <row r="193" spans="1:6" x14ac:dyDescent="0.25">
      <c r="A193" t="str">
        <v/>
      </c>
      <c r="B193" t="str">
        <v/>
      </c>
      <c r="C193" t="str">
        <v/>
      </c>
      <c r="D193" t="str">
        <v xml:space="preserve"> </v>
      </c>
      <c r="E193" s="64" t="str">
        <v xml:space="preserve"> </v>
      </c>
      <c r="F193" t="str">
        <v/>
      </c>
    </row>
    <row r="194" spans="1:6" x14ac:dyDescent="0.25">
      <c r="A194" t="str">
        <v/>
      </c>
      <c r="B194" t="str">
        <v/>
      </c>
      <c r="C194" t="str">
        <v/>
      </c>
      <c r="D194" t="str">
        <v xml:space="preserve"> </v>
      </c>
      <c r="E194" s="64" t="str">
        <v xml:space="preserve"> </v>
      </c>
      <c r="F194" t="str">
        <v/>
      </c>
    </row>
    <row r="195" spans="1:6" x14ac:dyDescent="0.25">
      <c r="A195" t="str">
        <v/>
      </c>
      <c r="B195" t="str">
        <v/>
      </c>
      <c r="C195" t="str">
        <v/>
      </c>
      <c r="D195" t="str">
        <v xml:space="preserve"> </v>
      </c>
      <c r="E195" s="64" t="str">
        <v xml:space="preserve"> </v>
      </c>
      <c r="F195" t="str">
        <v/>
      </c>
    </row>
    <row r="196" spans="1:6" x14ac:dyDescent="0.25">
      <c r="A196" t="str">
        <v/>
      </c>
      <c r="B196" t="str">
        <v/>
      </c>
      <c r="C196" t="str">
        <v/>
      </c>
      <c r="D196" t="str">
        <v xml:space="preserve"> </v>
      </c>
      <c r="E196" s="64" t="str">
        <v xml:space="preserve"> </v>
      </c>
      <c r="F196" t="str">
        <v/>
      </c>
    </row>
    <row r="197" spans="1:6" x14ac:dyDescent="0.25">
      <c r="A197" t="str">
        <v/>
      </c>
      <c r="B197" t="str">
        <v/>
      </c>
      <c r="C197" t="str">
        <v/>
      </c>
      <c r="D197" t="str">
        <v xml:space="preserve"> </v>
      </c>
      <c r="E197" s="64" t="str">
        <v xml:space="preserve"> </v>
      </c>
      <c r="F197" t="str">
        <v/>
      </c>
    </row>
    <row r="198" spans="1:6" x14ac:dyDescent="0.25">
      <c r="A198" t="str">
        <v/>
      </c>
      <c r="B198" t="str">
        <v/>
      </c>
      <c r="C198" t="str">
        <v/>
      </c>
      <c r="D198" t="str">
        <v xml:space="preserve"> </v>
      </c>
      <c r="E198" s="64" t="str">
        <v xml:space="preserve"> </v>
      </c>
      <c r="F198" t="str">
        <v/>
      </c>
    </row>
    <row r="199" spans="1:6" x14ac:dyDescent="0.25">
      <c r="A199" t="str">
        <v/>
      </c>
      <c r="B199" t="str">
        <v/>
      </c>
      <c r="C199" t="str">
        <v/>
      </c>
      <c r="D199" t="str">
        <v xml:space="preserve"> </v>
      </c>
      <c r="E199" s="64" t="str">
        <v xml:space="preserve"> </v>
      </c>
      <c r="F199" t="str">
        <v/>
      </c>
    </row>
    <row r="200" spans="1:6" x14ac:dyDescent="0.25">
      <c r="A200" t="str">
        <v/>
      </c>
      <c r="B200" t="str">
        <v/>
      </c>
      <c r="C200" t="str">
        <v/>
      </c>
      <c r="D200" t="str">
        <v xml:space="preserve"> </v>
      </c>
      <c r="E200" s="64" t="str">
        <v xml:space="preserve"> </v>
      </c>
      <c r="F200" t="str">
        <v/>
      </c>
    </row>
    <row r="201" spans="1:6" x14ac:dyDescent="0.25">
      <c r="A201" t="str">
        <v/>
      </c>
      <c r="B201" t="str">
        <v/>
      </c>
      <c r="C201" t="str">
        <v/>
      </c>
      <c r="D201" t="str">
        <v xml:space="preserve"> </v>
      </c>
      <c r="E201" s="64" t="str">
        <v xml:space="preserve"> </v>
      </c>
      <c r="F201" t="str">
        <v/>
      </c>
    </row>
    <row r="202" spans="1:6" x14ac:dyDescent="0.25">
      <c r="A202" t="str">
        <v/>
      </c>
      <c r="B202" t="str">
        <v/>
      </c>
      <c r="C202" t="str">
        <v/>
      </c>
      <c r="D202" t="str">
        <v xml:space="preserve"> </v>
      </c>
      <c r="E202" s="64" t="str">
        <v xml:space="preserve"> </v>
      </c>
      <c r="F202" t="str">
        <v/>
      </c>
    </row>
    <row r="203" spans="1:6" x14ac:dyDescent="0.25">
      <c r="A203" t="str">
        <v/>
      </c>
      <c r="B203" t="str">
        <v/>
      </c>
      <c r="C203" t="str">
        <v/>
      </c>
      <c r="D203" t="str">
        <v xml:space="preserve"> </v>
      </c>
      <c r="E203" s="64" t="str">
        <v xml:space="preserve"> </v>
      </c>
      <c r="F203" t="str">
        <v/>
      </c>
    </row>
    <row r="204" spans="1:6" x14ac:dyDescent="0.25">
      <c r="A204" t="str">
        <v/>
      </c>
      <c r="B204" t="str">
        <v/>
      </c>
      <c r="C204" t="str">
        <v/>
      </c>
      <c r="D204" t="str">
        <v xml:space="preserve"> </v>
      </c>
      <c r="E204" s="64" t="str">
        <v xml:space="preserve"> </v>
      </c>
      <c r="F204" t="str">
        <v/>
      </c>
    </row>
    <row r="205" spans="1:6" x14ac:dyDescent="0.25">
      <c r="A205" t="str">
        <v/>
      </c>
      <c r="B205" t="str">
        <v/>
      </c>
      <c r="C205" t="str">
        <v/>
      </c>
      <c r="D205" t="str">
        <v xml:space="preserve"> </v>
      </c>
      <c r="E205" s="64" t="str">
        <v xml:space="preserve"> </v>
      </c>
      <c r="F205" t="str">
        <v/>
      </c>
    </row>
    <row r="206" spans="1:6" x14ac:dyDescent="0.25">
      <c r="A206" t="str">
        <v/>
      </c>
      <c r="B206" t="str">
        <v/>
      </c>
      <c r="C206" t="str">
        <v/>
      </c>
      <c r="D206" t="str">
        <v xml:space="preserve"> </v>
      </c>
      <c r="E206" s="64" t="str">
        <v xml:space="preserve"> </v>
      </c>
      <c r="F206" t="str">
        <v/>
      </c>
    </row>
    <row r="207" spans="1:6" x14ac:dyDescent="0.25">
      <c r="A207" t="str">
        <v/>
      </c>
      <c r="B207" t="str">
        <v/>
      </c>
      <c r="C207" t="str">
        <v/>
      </c>
      <c r="D207" t="str">
        <v xml:space="preserve"> </v>
      </c>
      <c r="E207" s="64" t="str">
        <v xml:space="preserve"> </v>
      </c>
      <c r="F207" t="str">
        <v/>
      </c>
    </row>
    <row r="208" spans="1:6" x14ac:dyDescent="0.25">
      <c r="A208" t="str">
        <v/>
      </c>
      <c r="B208" t="str">
        <v/>
      </c>
      <c r="C208" t="str">
        <v/>
      </c>
      <c r="D208" t="str">
        <v xml:space="preserve"> </v>
      </c>
      <c r="E208" s="64" t="str">
        <v xml:space="preserve"> </v>
      </c>
      <c r="F208" t="str">
        <v/>
      </c>
    </row>
    <row r="209" spans="1:6" x14ac:dyDescent="0.25">
      <c r="A209" t="str">
        <v/>
      </c>
      <c r="B209" t="str">
        <v/>
      </c>
      <c r="C209" t="str">
        <v/>
      </c>
      <c r="D209" t="str">
        <v xml:space="preserve"> </v>
      </c>
      <c r="E209" s="64" t="str">
        <v xml:space="preserve"> </v>
      </c>
      <c r="F209" t="str">
        <v/>
      </c>
    </row>
    <row r="210" spans="1:6" x14ac:dyDescent="0.25">
      <c r="A210" t="str">
        <v/>
      </c>
      <c r="B210" t="str">
        <v/>
      </c>
      <c r="C210" t="str">
        <v/>
      </c>
      <c r="D210" t="str">
        <v xml:space="preserve"> </v>
      </c>
      <c r="E210" s="64" t="str">
        <v xml:space="preserve"> </v>
      </c>
      <c r="F210" t="str">
        <v/>
      </c>
    </row>
    <row r="211" spans="1:6" x14ac:dyDescent="0.25">
      <c r="A211" t="str">
        <v/>
      </c>
      <c r="B211" t="str">
        <v/>
      </c>
      <c r="C211" t="str">
        <v/>
      </c>
      <c r="D211" t="str">
        <v xml:space="preserve"> </v>
      </c>
      <c r="E211" s="64" t="str">
        <v xml:space="preserve"> </v>
      </c>
      <c r="F211" t="str">
        <v/>
      </c>
    </row>
    <row r="212" spans="1:6" x14ac:dyDescent="0.25">
      <c r="A212" t="str">
        <v/>
      </c>
      <c r="B212" t="str">
        <v/>
      </c>
      <c r="C212" t="str">
        <v/>
      </c>
      <c r="D212" t="str">
        <v xml:space="preserve"> </v>
      </c>
      <c r="E212" s="64" t="str">
        <v xml:space="preserve"> </v>
      </c>
      <c r="F212" t="str">
        <v/>
      </c>
    </row>
    <row r="213" spans="1:6" x14ac:dyDescent="0.25">
      <c r="A213" t="str">
        <v/>
      </c>
      <c r="B213" t="str">
        <v/>
      </c>
      <c r="C213" t="str">
        <v/>
      </c>
      <c r="D213" t="str">
        <v xml:space="preserve"> </v>
      </c>
      <c r="E213" s="64" t="str">
        <v xml:space="preserve"> </v>
      </c>
      <c r="F213" t="str">
        <v/>
      </c>
    </row>
    <row r="214" spans="1:6" x14ac:dyDescent="0.25">
      <c r="A214" t="str">
        <v/>
      </c>
      <c r="B214" t="str">
        <v/>
      </c>
      <c r="C214" t="str">
        <v/>
      </c>
      <c r="D214" t="str">
        <v xml:space="preserve"> </v>
      </c>
      <c r="E214" s="64" t="str">
        <v xml:space="preserve"> </v>
      </c>
      <c r="F214" t="str">
        <v/>
      </c>
    </row>
    <row r="215" spans="1:6" x14ac:dyDescent="0.25">
      <c r="A215" t="str">
        <v/>
      </c>
      <c r="B215" t="str">
        <v/>
      </c>
      <c r="C215" t="str">
        <v/>
      </c>
      <c r="D215" t="str">
        <v xml:space="preserve"> </v>
      </c>
      <c r="E215" s="64" t="str">
        <v xml:space="preserve"> </v>
      </c>
      <c r="F215" t="str">
        <v/>
      </c>
    </row>
    <row r="216" spans="1:6" x14ac:dyDescent="0.25">
      <c r="A216" t="str">
        <v/>
      </c>
      <c r="B216" t="str">
        <v/>
      </c>
      <c r="C216" t="str">
        <v/>
      </c>
      <c r="D216" t="str">
        <v xml:space="preserve"> </v>
      </c>
      <c r="E216" s="64" t="str">
        <v xml:space="preserve"> </v>
      </c>
      <c r="F216" t="str">
        <v/>
      </c>
    </row>
    <row r="217" spans="1:6" x14ac:dyDescent="0.25">
      <c r="A217" t="str">
        <v/>
      </c>
      <c r="B217" t="str">
        <v/>
      </c>
      <c r="C217" t="str">
        <v/>
      </c>
      <c r="D217" t="str">
        <v xml:space="preserve"> </v>
      </c>
      <c r="E217" s="64" t="str">
        <v xml:space="preserve"> </v>
      </c>
      <c r="F217" t="str">
        <v/>
      </c>
    </row>
    <row r="218" spans="1:6" x14ac:dyDescent="0.25">
      <c r="A218" t="str">
        <v/>
      </c>
      <c r="B218" t="str">
        <v/>
      </c>
      <c r="C218" t="str">
        <v/>
      </c>
      <c r="D218" t="str">
        <v xml:space="preserve"> </v>
      </c>
      <c r="E218" s="64" t="str">
        <v xml:space="preserve"> </v>
      </c>
      <c r="F218" t="str">
        <v/>
      </c>
    </row>
    <row r="219" spans="1:6" x14ac:dyDescent="0.25">
      <c r="A219" t="str">
        <v/>
      </c>
      <c r="B219" t="str">
        <v/>
      </c>
      <c r="C219" t="str">
        <v/>
      </c>
      <c r="D219" t="str">
        <v xml:space="preserve"> </v>
      </c>
      <c r="E219" s="64" t="str">
        <v xml:space="preserve"> </v>
      </c>
      <c r="F219" t="str">
        <v/>
      </c>
    </row>
    <row r="220" spans="1:6" x14ac:dyDescent="0.25">
      <c r="A220" t="str">
        <v/>
      </c>
      <c r="B220" t="str">
        <v/>
      </c>
      <c r="C220" t="str">
        <v/>
      </c>
      <c r="D220" t="str">
        <v xml:space="preserve"> </v>
      </c>
      <c r="E220" s="64" t="str">
        <v xml:space="preserve"> </v>
      </c>
      <c r="F220" t="str">
        <v/>
      </c>
    </row>
    <row r="221" spans="1:6" x14ac:dyDescent="0.25">
      <c r="A221" t="str">
        <v/>
      </c>
      <c r="B221" t="str">
        <v/>
      </c>
      <c r="C221" t="str">
        <v/>
      </c>
      <c r="D221" t="str">
        <v xml:space="preserve"> </v>
      </c>
      <c r="E221" s="64" t="str">
        <v xml:space="preserve"> </v>
      </c>
      <c r="F221" t="str">
        <v/>
      </c>
    </row>
    <row r="222" spans="1:6" x14ac:dyDescent="0.25">
      <c r="A222" t="str">
        <v/>
      </c>
      <c r="B222" t="str">
        <v/>
      </c>
      <c r="C222" t="str">
        <v/>
      </c>
      <c r="D222" t="str">
        <v xml:space="preserve"> </v>
      </c>
      <c r="E222" s="64" t="str">
        <v xml:space="preserve"> </v>
      </c>
      <c r="F222" t="str">
        <v/>
      </c>
    </row>
    <row r="223" spans="1:6" x14ac:dyDescent="0.25">
      <c r="A223" t="str">
        <v/>
      </c>
      <c r="B223" t="str">
        <v/>
      </c>
      <c r="C223" t="str">
        <v/>
      </c>
      <c r="D223" t="str">
        <v xml:space="preserve"> </v>
      </c>
      <c r="E223" s="64" t="str">
        <v xml:space="preserve"> </v>
      </c>
      <c r="F223" t="str">
        <v/>
      </c>
    </row>
    <row r="224" spans="1:6" x14ac:dyDescent="0.25">
      <c r="A224" t="str">
        <v/>
      </c>
      <c r="B224" t="str">
        <v/>
      </c>
      <c r="C224" t="str">
        <v/>
      </c>
      <c r="D224" t="str">
        <v xml:space="preserve"> </v>
      </c>
      <c r="E224" s="64" t="str">
        <v xml:space="preserve"> </v>
      </c>
      <c r="F224" t="str">
        <v/>
      </c>
    </row>
    <row r="225" spans="1:6" x14ac:dyDescent="0.25">
      <c r="A225" t="str">
        <v/>
      </c>
      <c r="B225" t="str">
        <v/>
      </c>
      <c r="C225" t="str">
        <v/>
      </c>
      <c r="D225" t="str">
        <v xml:space="preserve"> </v>
      </c>
      <c r="E225" s="64" t="str">
        <v xml:space="preserve"> </v>
      </c>
      <c r="F225" t="str">
        <v/>
      </c>
    </row>
    <row r="226" spans="1:6" x14ac:dyDescent="0.25">
      <c r="A226" t="str">
        <v/>
      </c>
      <c r="B226" t="str">
        <v/>
      </c>
      <c r="C226" t="str">
        <v/>
      </c>
      <c r="D226" t="str">
        <v xml:space="preserve"> </v>
      </c>
      <c r="E226" s="64" t="str">
        <v xml:space="preserve"> </v>
      </c>
      <c r="F226" t="str">
        <v/>
      </c>
    </row>
    <row r="227" spans="1:6" x14ac:dyDescent="0.25">
      <c r="A227" t="str">
        <v/>
      </c>
      <c r="B227" t="str">
        <v/>
      </c>
      <c r="C227" t="str">
        <v/>
      </c>
      <c r="D227" t="str">
        <v xml:space="preserve"> </v>
      </c>
      <c r="E227" s="64" t="str">
        <v xml:space="preserve"> </v>
      </c>
      <c r="F227" t="str">
        <v/>
      </c>
    </row>
    <row r="228" spans="1:6" x14ac:dyDescent="0.25">
      <c r="A228" t="str">
        <v/>
      </c>
      <c r="B228" t="str">
        <v/>
      </c>
      <c r="C228" t="str">
        <v/>
      </c>
      <c r="D228" t="str">
        <v xml:space="preserve"> </v>
      </c>
      <c r="E228" s="64" t="str">
        <v xml:space="preserve"> </v>
      </c>
      <c r="F228" t="str">
        <v/>
      </c>
    </row>
    <row r="229" spans="1:6" x14ac:dyDescent="0.25">
      <c r="A229" t="str">
        <v/>
      </c>
      <c r="B229" t="str">
        <v/>
      </c>
      <c r="C229" t="str">
        <v/>
      </c>
      <c r="D229" t="str">
        <v xml:space="preserve"> </v>
      </c>
      <c r="E229" s="64" t="str">
        <v xml:space="preserve"> </v>
      </c>
      <c r="F229" t="str">
        <v/>
      </c>
    </row>
    <row r="230" spans="1:6" x14ac:dyDescent="0.25">
      <c r="A230" t="str">
        <v/>
      </c>
      <c r="B230" t="str">
        <v/>
      </c>
      <c r="C230" t="str">
        <v/>
      </c>
      <c r="D230" t="str">
        <v xml:space="preserve"> </v>
      </c>
      <c r="E230" s="64" t="str">
        <v xml:space="preserve"> </v>
      </c>
      <c r="F230" t="str">
        <v/>
      </c>
    </row>
    <row r="231" spans="1:6" x14ac:dyDescent="0.25">
      <c r="A231" t="str">
        <v/>
      </c>
      <c r="B231" t="str">
        <v/>
      </c>
      <c r="C231" t="str">
        <v/>
      </c>
      <c r="D231" t="str">
        <v xml:space="preserve"> </v>
      </c>
      <c r="E231" s="64" t="str">
        <v xml:space="preserve"> </v>
      </c>
      <c r="F231" t="str">
        <v/>
      </c>
    </row>
    <row r="232" spans="1:6" x14ac:dyDescent="0.25">
      <c r="A232" t="str">
        <v/>
      </c>
      <c r="B232" t="str">
        <v/>
      </c>
      <c r="C232" t="str">
        <v/>
      </c>
      <c r="D232" t="str">
        <v xml:space="preserve"> </v>
      </c>
      <c r="E232" s="64" t="str">
        <v xml:space="preserve"> </v>
      </c>
      <c r="F232" t="str">
        <v/>
      </c>
    </row>
    <row r="233" spans="1:6" x14ac:dyDescent="0.25">
      <c r="A233" t="str">
        <v/>
      </c>
      <c r="B233" t="str">
        <v/>
      </c>
      <c r="C233" t="str">
        <v/>
      </c>
      <c r="D233" t="str">
        <v xml:space="preserve"> </v>
      </c>
      <c r="E233" s="64" t="str">
        <v xml:space="preserve"> </v>
      </c>
      <c r="F233" t="str">
        <v/>
      </c>
    </row>
    <row r="234" spans="1:6" x14ac:dyDescent="0.25">
      <c r="A234" t="str">
        <v/>
      </c>
      <c r="B234" t="str">
        <v/>
      </c>
      <c r="C234" t="str">
        <v/>
      </c>
      <c r="D234" t="str">
        <v xml:space="preserve"> </v>
      </c>
      <c r="E234" s="64" t="str">
        <v xml:space="preserve"> </v>
      </c>
      <c r="F234" t="str">
        <v/>
      </c>
    </row>
    <row r="235" spans="1:6" x14ac:dyDescent="0.25">
      <c r="A235" t="str">
        <v/>
      </c>
      <c r="B235" t="str">
        <v/>
      </c>
      <c r="C235" t="str">
        <v/>
      </c>
      <c r="D235" t="str">
        <v xml:space="preserve"> </v>
      </c>
      <c r="E235" s="64" t="str">
        <v xml:space="preserve"> </v>
      </c>
      <c r="F235" t="str">
        <v/>
      </c>
    </row>
    <row r="236" spans="1:6" x14ac:dyDescent="0.25">
      <c r="A236" t="str">
        <v/>
      </c>
      <c r="B236" t="str">
        <v/>
      </c>
      <c r="C236" t="str">
        <v/>
      </c>
      <c r="D236" t="str">
        <v xml:space="preserve"> </v>
      </c>
      <c r="E236" s="64" t="str">
        <v xml:space="preserve"> </v>
      </c>
      <c r="F236" t="str">
        <v/>
      </c>
    </row>
    <row r="237" spans="1:6" x14ac:dyDescent="0.25">
      <c r="A237" t="str">
        <v/>
      </c>
      <c r="B237" t="str">
        <v/>
      </c>
      <c r="C237" t="str">
        <v/>
      </c>
      <c r="D237" t="str">
        <v xml:space="preserve"> </v>
      </c>
      <c r="E237" s="64" t="str">
        <v xml:space="preserve"> </v>
      </c>
      <c r="F237" t="str">
        <v/>
      </c>
    </row>
    <row r="238" spans="1:6" x14ac:dyDescent="0.25">
      <c r="A238" t="str">
        <v/>
      </c>
      <c r="B238" t="str">
        <v/>
      </c>
      <c r="C238" t="str">
        <v/>
      </c>
      <c r="D238" t="str">
        <v xml:space="preserve"> </v>
      </c>
      <c r="E238" s="64" t="str">
        <v xml:space="preserve"> </v>
      </c>
      <c r="F238" t="str">
        <v/>
      </c>
    </row>
    <row r="239" spans="1:6" x14ac:dyDescent="0.25">
      <c r="A239" t="str">
        <v/>
      </c>
      <c r="B239" t="str">
        <v/>
      </c>
      <c r="C239" t="str">
        <v/>
      </c>
      <c r="D239" t="str">
        <v xml:space="preserve"> </v>
      </c>
      <c r="E239" s="64" t="str">
        <v xml:space="preserve"> </v>
      </c>
      <c r="F239" t="str">
        <v/>
      </c>
    </row>
    <row r="240" spans="1:6" x14ac:dyDescent="0.25">
      <c r="A240" t="str">
        <v/>
      </c>
      <c r="B240" t="str">
        <v/>
      </c>
      <c r="C240" t="str">
        <v/>
      </c>
      <c r="D240" t="str">
        <v xml:space="preserve"> </v>
      </c>
      <c r="E240" s="64" t="str">
        <v xml:space="preserve"> </v>
      </c>
      <c r="F240" t="str">
        <v/>
      </c>
    </row>
    <row r="241" spans="1:6" x14ac:dyDescent="0.25">
      <c r="A241" t="str">
        <v/>
      </c>
      <c r="B241" t="str">
        <v/>
      </c>
      <c r="C241" t="str">
        <v/>
      </c>
      <c r="D241" t="str">
        <v xml:space="preserve"> </v>
      </c>
      <c r="E241" s="64" t="str">
        <v xml:space="preserve"> </v>
      </c>
      <c r="F241" t="str">
        <v/>
      </c>
    </row>
    <row r="242" spans="1:6" x14ac:dyDescent="0.25">
      <c r="A242" t="str">
        <v/>
      </c>
      <c r="B242" t="str">
        <v/>
      </c>
      <c r="C242" t="str">
        <v/>
      </c>
      <c r="D242" t="str">
        <v xml:space="preserve"> </v>
      </c>
      <c r="E242" s="64" t="str">
        <v xml:space="preserve"> </v>
      </c>
      <c r="F242" t="str">
        <v/>
      </c>
    </row>
    <row r="243" spans="1:6" x14ac:dyDescent="0.25">
      <c r="A243" t="str">
        <v/>
      </c>
      <c r="B243" t="str">
        <v/>
      </c>
      <c r="C243" t="str">
        <v/>
      </c>
      <c r="D243" t="str">
        <v xml:space="preserve"> </v>
      </c>
      <c r="E243" s="64" t="str">
        <v xml:space="preserve"> </v>
      </c>
      <c r="F243" t="str">
        <v/>
      </c>
    </row>
    <row r="244" spans="1:6" x14ac:dyDescent="0.25">
      <c r="A244" t="str">
        <v/>
      </c>
      <c r="B244" t="str">
        <v/>
      </c>
      <c r="C244" t="str">
        <v/>
      </c>
      <c r="D244" t="str">
        <v xml:space="preserve"> </v>
      </c>
      <c r="E244" s="64" t="str">
        <v xml:space="preserve"> </v>
      </c>
      <c r="F244" t="str">
        <v/>
      </c>
    </row>
    <row r="245" spans="1:6" x14ac:dyDescent="0.25">
      <c r="A245" t="str">
        <v/>
      </c>
      <c r="B245" t="str">
        <v/>
      </c>
      <c r="C245" t="str">
        <v/>
      </c>
      <c r="D245" t="str">
        <v xml:space="preserve"> </v>
      </c>
      <c r="E245" s="64" t="str">
        <v xml:space="preserve"> </v>
      </c>
      <c r="F245" t="str">
        <v/>
      </c>
    </row>
    <row r="246" spans="1:6" x14ac:dyDescent="0.25">
      <c r="A246" t="str">
        <v/>
      </c>
      <c r="B246" t="str">
        <v/>
      </c>
      <c r="C246" t="str">
        <v/>
      </c>
      <c r="D246" t="str">
        <v xml:space="preserve"> </v>
      </c>
      <c r="E246" s="64" t="str">
        <v xml:space="preserve"> </v>
      </c>
      <c r="F246" t="str">
        <v/>
      </c>
    </row>
    <row r="247" spans="1:6" x14ac:dyDescent="0.25">
      <c r="A247" t="str">
        <v/>
      </c>
      <c r="B247" t="str">
        <v/>
      </c>
      <c r="C247" t="str">
        <v/>
      </c>
      <c r="D247" t="str">
        <v xml:space="preserve"> </v>
      </c>
      <c r="E247" s="64" t="str">
        <v xml:space="preserve"> </v>
      </c>
      <c r="F247" t="str">
        <v/>
      </c>
    </row>
    <row r="248" spans="1:6" x14ac:dyDescent="0.25">
      <c r="A248" t="str">
        <v/>
      </c>
      <c r="B248" t="str">
        <v/>
      </c>
      <c r="C248" t="str">
        <v/>
      </c>
      <c r="D248" t="str">
        <v xml:space="preserve"> </v>
      </c>
      <c r="E248" s="64" t="str">
        <v xml:space="preserve"> </v>
      </c>
      <c r="F248" t="str">
        <v/>
      </c>
    </row>
    <row r="249" spans="1:6" x14ac:dyDescent="0.25">
      <c r="A249" t="str">
        <v/>
      </c>
      <c r="B249" t="str">
        <v/>
      </c>
      <c r="C249" t="str">
        <v/>
      </c>
      <c r="D249" t="str">
        <v xml:space="preserve"> </v>
      </c>
      <c r="E249" s="64" t="str">
        <v xml:space="preserve"> </v>
      </c>
      <c r="F249" t="str">
        <v/>
      </c>
    </row>
    <row r="250" spans="1:6" x14ac:dyDescent="0.25">
      <c r="A250" t="str">
        <v/>
      </c>
      <c r="B250" t="str">
        <v/>
      </c>
      <c r="C250" t="str">
        <v/>
      </c>
      <c r="D250" t="str">
        <v xml:space="preserve"> </v>
      </c>
      <c r="E250" s="64" t="str">
        <v xml:space="preserve"> </v>
      </c>
      <c r="F250" t="str">
        <v/>
      </c>
    </row>
    <row r="251" spans="1:6" x14ac:dyDescent="0.25">
      <c r="A251" t="str">
        <v/>
      </c>
      <c r="B251" t="str">
        <v/>
      </c>
      <c r="C251" t="str">
        <v/>
      </c>
      <c r="D251" t="str">
        <v xml:space="preserve"> </v>
      </c>
      <c r="E251" s="64" t="str">
        <v xml:space="preserve"> </v>
      </c>
      <c r="F251" t="str">
        <v/>
      </c>
    </row>
    <row r="252" spans="1:6" x14ac:dyDescent="0.25">
      <c r="A252" t="str">
        <v/>
      </c>
      <c r="B252" t="str">
        <v/>
      </c>
      <c r="C252" t="str">
        <v/>
      </c>
      <c r="D252" t="str">
        <v xml:space="preserve"> </v>
      </c>
      <c r="E252" s="64" t="str">
        <v xml:space="preserve"> </v>
      </c>
      <c r="F252" t="str">
        <v/>
      </c>
    </row>
    <row r="253" spans="1:6" x14ac:dyDescent="0.25">
      <c r="A253" t="str">
        <v/>
      </c>
      <c r="B253" t="str">
        <v/>
      </c>
      <c r="C253" t="str">
        <v/>
      </c>
      <c r="D253" t="str">
        <v xml:space="preserve"> </v>
      </c>
      <c r="E253" s="64" t="str">
        <v xml:space="preserve"> </v>
      </c>
      <c r="F253" t="str">
        <v/>
      </c>
    </row>
    <row r="254" spans="1:6" x14ac:dyDescent="0.25">
      <c r="A254" t="str">
        <v/>
      </c>
      <c r="B254" t="str">
        <v/>
      </c>
      <c r="C254" t="str">
        <v/>
      </c>
      <c r="D254" t="str">
        <v xml:space="preserve"> </v>
      </c>
      <c r="E254" s="64" t="str">
        <v xml:space="preserve"> </v>
      </c>
      <c r="F254" t="str">
        <v/>
      </c>
    </row>
    <row r="255" spans="1:6" x14ac:dyDescent="0.25">
      <c r="A255" t="str">
        <v/>
      </c>
      <c r="B255" t="str">
        <v/>
      </c>
      <c r="C255" t="str">
        <v/>
      </c>
      <c r="D255" t="str">
        <v xml:space="preserve"> </v>
      </c>
      <c r="E255" s="64" t="str">
        <v xml:space="preserve"> </v>
      </c>
      <c r="F255" t="str">
        <v/>
      </c>
    </row>
    <row r="256" spans="1:6" x14ac:dyDescent="0.25">
      <c r="A256" t="str">
        <v/>
      </c>
      <c r="B256" t="str">
        <v/>
      </c>
      <c r="C256" t="str">
        <v/>
      </c>
      <c r="D256" t="str">
        <v xml:space="preserve"> </v>
      </c>
      <c r="E256" s="64" t="str">
        <v xml:space="preserve"> </v>
      </c>
      <c r="F256" t="str">
        <v/>
      </c>
    </row>
    <row r="257" spans="1:6" x14ac:dyDescent="0.25">
      <c r="A257" t="str">
        <v/>
      </c>
      <c r="B257" t="str">
        <v/>
      </c>
      <c r="C257" t="str">
        <v/>
      </c>
      <c r="D257" t="str">
        <v xml:space="preserve"> </v>
      </c>
      <c r="E257" s="64" t="str">
        <v xml:space="preserve"> </v>
      </c>
      <c r="F257" t="str">
        <v/>
      </c>
    </row>
    <row r="258" spans="1:6" x14ac:dyDescent="0.25">
      <c r="A258" t="str">
        <v/>
      </c>
      <c r="B258" t="str">
        <v/>
      </c>
      <c r="C258" t="str">
        <v/>
      </c>
      <c r="D258" t="str">
        <v xml:space="preserve"> </v>
      </c>
      <c r="E258" s="64" t="str">
        <v xml:space="preserve"> </v>
      </c>
      <c r="F258" t="str">
        <v/>
      </c>
    </row>
    <row r="259" spans="1:6" x14ac:dyDescent="0.25">
      <c r="A259" t="str">
        <v/>
      </c>
      <c r="B259" t="str">
        <v/>
      </c>
      <c r="C259" t="str">
        <v/>
      </c>
      <c r="D259" t="str">
        <v xml:space="preserve"> </v>
      </c>
      <c r="E259" s="64" t="str">
        <v xml:space="preserve"> </v>
      </c>
      <c r="F259" t="str">
        <v/>
      </c>
    </row>
    <row r="260" spans="1:6" x14ac:dyDescent="0.25">
      <c r="A260" t="str">
        <v/>
      </c>
      <c r="B260" t="str">
        <v/>
      </c>
      <c r="C260" t="str">
        <v/>
      </c>
      <c r="D260" t="str">
        <v xml:space="preserve"> </v>
      </c>
      <c r="E260" s="64" t="str">
        <v xml:space="preserve"> </v>
      </c>
      <c r="F260" t="str">
        <v/>
      </c>
    </row>
    <row r="261" spans="1:6" x14ac:dyDescent="0.25">
      <c r="A261" t="str">
        <v/>
      </c>
      <c r="B261" t="str">
        <v/>
      </c>
      <c r="C261" t="str">
        <v/>
      </c>
      <c r="D261" t="str">
        <v xml:space="preserve"> </v>
      </c>
      <c r="E261" s="64" t="str">
        <v xml:space="preserve"> </v>
      </c>
      <c r="F261" t="str">
        <v/>
      </c>
    </row>
    <row r="262" spans="1:6" x14ac:dyDescent="0.25">
      <c r="A262" t="str">
        <v/>
      </c>
      <c r="B262" t="str">
        <v/>
      </c>
      <c r="C262" t="str">
        <v/>
      </c>
      <c r="D262" t="str">
        <v xml:space="preserve"> </v>
      </c>
      <c r="E262" s="64" t="str">
        <v xml:space="preserve"> </v>
      </c>
      <c r="F262" t="str">
        <v/>
      </c>
    </row>
    <row r="263" spans="1:6" x14ac:dyDescent="0.25">
      <c r="A263" t="str">
        <v/>
      </c>
      <c r="B263" t="str">
        <v/>
      </c>
      <c r="C263" t="str">
        <v/>
      </c>
      <c r="D263" t="str">
        <v xml:space="preserve"> </v>
      </c>
      <c r="E263" s="64" t="str">
        <v xml:space="preserve"> </v>
      </c>
      <c r="F263" t="str">
        <v/>
      </c>
    </row>
    <row r="264" spans="1:6" x14ac:dyDescent="0.25">
      <c r="A264" t="str">
        <v/>
      </c>
      <c r="B264" t="str">
        <v/>
      </c>
      <c r="C264" t="str">
        <v/>
      </c>
      <c r="D264" t="str">
        <v xml:space="preserve"> </v>
      </c>
      <c r="E264" s="64" t="str">
        <v xml:space="preserve"> </v>
      </c>
      <c r="F264" t="str">
        <v/>
      </c>
    </row>
    <row r="265" spans="1:6" x14ac:dyDescent="0.25">
      <c r="A265" t="str">
        <v/>
      </c>
      <c r="B265" t="str">
        <v/>
      </c>
      <c r="C265" t="str">
        <v/>
      </c>
      <c r="D265" t="str">
        <v xml:space="preserve"> </v>
      </c>
      <c r="E265" s="64" t="str">
        <v xml:space="preserve"> </v>
      </c>
      <c r="F265" t="str">
        <v/>
      </c>
    </row>
    <row r="266" spans="1:6" x14ac:dyDescent="0.25">
      <c r="A266" t="str">
        <v/>
      </c>
      <c r="B266" t="str">
        <v/>
      </c>
      <c r="C266" t="str">
        <v/>
      </c>
      <c r="D266" t="str">
        <v xml:space="preserve"> </v>
      </c>
      <c r="E266" s="64" t="str">
        <v xml:space="preserve"> </v>
      </c>
      <c r="F266" t="str">
        <v/>
      </c>
    </row>
    <row r="267" spans="1:6" x14ac:dyDescent="0.25">
      <c r="A267" t="str">
        <v/>
      </c>
      <c r="B267" t="str">
        <v/>
      </c>
      <c r="C267" t="str">
        <v/>
      </c>
      <c r="D267" t="str">
        <v xml:space="preserve"> </v>
      </c>
      <c r="E267" s="64" t="str">
        <v xml:space="preserve"> </v>
      </c>
      <c r="F267" t="str">
        <v/>
      </c>
    </row>
    <row r="268" spans="1:6" x14ac:dyDescent="0.25">
      <c r="A268" t="str">
        <v/>
      </c>
      <c r="B268" t="str">
        <v/>
      </c>
      <c r="C268" t="str">
        <v/>
      </c>
      <c r="D268" t="str">
        <v xml:space="preserve"> </v>
      </c>
      <c r="E268" s="64" t="str">
        <v xml:space="preserve"> </v>
      </c>
      <c r="F268" t="str">
        <v/>
      </c>
    </row>
    <row r="269" spans="1:6" x14ac:dyDescent="0.25">
      <c r="A269" t="str">
        <v/>
      </c>
      <c r="B269" t="str">
        <v/>
      </c>
      <c r="C269" t="str">
        <v/>
      </c>
      <c r="D269" t="str">
        <v xml:space="preserve"> </v>
      </c>
      <c r="E269" s="64" t="str">
        <v xml:space="preserve"> </v>
      </c>
      <c r="F269" t="str">
        <v/>
      </c>
    </row>
    <row r="270" spans="1:6" x14ac:dyDescent="0.25">
      <c r="A270" t="str">
        <v/>
      </c>
      <c r="B270" t="str">
        <v/>
      </c>
      <c r="C270" t="str">
        <v/>
      </c>
      <c r="D270" t="str">
        <v xml:space="preserve"> </v>
      </c>
      <c r="E270" s="64" t="str">
        <v xml:space="preserve"> </v>
      </c>
      <c r="F270" t="str">
        <v/>
      </c>
    </row>
    <row r="271" spans="1:6" x14ac:dyDescent="0.25">
      <c r="A271" t="str">
        <v/>
      </c>
      <c r="B271" t="str">
        <v/>
      </c>
      <c r="C271" t="str">
        <v/>
      </c>
      <c r="D271" t="str">
        <v xml:space="preserve"> </v>
      </c>
      <c r="E271" s="64" t="str">
        <v xml:space="preserve"> </v>
      </c>
      <c r="F271" t="str">
        <v/>
      </c>
    </row>
    <row r="272" spans="1:6" x14ac:dyDescent="0.25">
      <c r="A272" t="str">
        <v/>
      </c>
      <c r="B272" t="str">
        <v/>
      </c>
      <c r="C272" t="str">
        <v/>
      </c>
      <c r="D272" t="str">
        <v xml:space="preserve"> </v>
      </c>
      <c r="E272" s="64" t="str">
        <v xml:space="preserve"> </v>
      </c>
      <c r="F272" t="str">
        <v/>
      </c>
    </row>
    <row r="273" spans="1:6" x14ac:dyDescent="0.25">
      <c r="A273" t="str">
        <v/>
      </c>
      <c r="B273" t="str">
        <v/>
      </c>
      <c r="C273" t="str">
        <v/>
      </c>
      <c r="D273" t="str">
        <v xml:space="preserve"> </v>
      </c>
      <c r="E273" s="64" t="str">
        <v xml:space="preserve"> </v>
      </c>
      <c r="F273" t="str">
        <v/>
      </c>
    </row>
    <row r="274" spans="1:6" x14ac:dyDescent="0.25">
      <c r="A274" t="str">
        <v/>
      </c>
      <c r="B274" t="str">
        <v/>
      </c>
      <c r="C274" t="str">
        <v/>
      </c>
      <c r="D274" t="str">
        <v xml:space="preserve"> </v>
      </c>
      <c r="E274" s="64" t="str">
        <v xml:space="preserve"> </v>
      </c>
      <c r="F274" t="str">
        <v/>
      </c>
    </row>
    <row r="275" spans="1:6" x14ac:dyDescent="0.25">
      <c r="A275" t="str">
        <v/>
      </c>
      <c r="B275" t="str">
        <v/>
      </c>
      <c r="C275" t="str">
        <v/>
      </c>
      <c r="D275" t="str">
        <v xml:space="preserve"> </v>
      </c>
      <c r="E275" s="64" t="str">
        <v xml:space="preserve"> </v>
      </c>
      <c r="F275" t="str">
        <v/>
      </c>
    </row>
    <row r="276" spans="1:6" x14ac:dyDescent="0.25">
      <c r="A276" t="str">
        <v/>
      </c>
      <c r="B276" t="str">
        <v/>
      </c>
      <c r="C276" t="str">
        <v/>
      </c>
      <c r="D276" t="str">
        <v xml:space="preserve"> </v>
      </c>
      <c r="E276" s="64" t="str">
        <v xml:space="preserve"> </v>
      </c>
      <c r="F276" t="str">
        <v/>
      </c>
    </row>
    <row r="277" spans="1:6" x14ac:dyDescent="0.25">
      <c r="A277" t="str">
        <v/>
      </c>
      <c r="B277" t="str">
        <v/>
      </c>
      <c r="C277" t="str">
        <v/>
      </c>
      <c r="D277" t="str">
        <v xml:space="preserve"> </v>
      </c>
      <c r="E277" s="64" t="str">
        <v xml:space="preserve"> </v>
      </c>
      <c r="F277" t="str">
        <v/>
      </c>
    </row>
    <row r="278" spans="1:6" x14ac:dyDescent="0.25">
      <c r="A278" t="str">
        <v/>
      </c>
      <c r="B278" t="str">
        <v/>
      </c>
      <c r="C278" t="str">
        <v/>
      </c>
      <c r="D278" t="str">
        <v xml:space="preserve"> </v>
      </c>
      <c r="E278" s="64" t="str">
        <v xml:space="preserve"> </v>
      </c>
      <c r="F278" t="str">
        <v/>
      </c>
    </row>
    <row r="279" spans="1:6" x14ac:dyDescent="0.25">
      <c r="A279" t="str">
        <v/>
      </c>
      <c r="B279" t="str">
        <v/>
      </c>
      <c r="C279" t="str">
        <v/>
      </c>
      <c r="D279" t="str">
        <v xml:space="preserve"> </v>
      </c>
      <c r="E279" s="64" t="str">
        <v xml:space="preserve"> </v>
      </c>
      <c r="F279" t="str">
        <v/>
      </c>
    </row>
    <row r="280" spans="1:6" x14ac:dyDescent="0.25">
      <c r="A280" t="str">
        <v/>
      </c>
      <c r="B280" t="str">
        <v/>
      </c>
      <c r="C280" t="str">
        <v/>
      </c>
      <c r="D280" t="str">
        <v xml:space="preserve"> </v>
      </c>
      <c r="E280" s="64" t="str">
        <v xml:space="preserve"> </v>
      </c>
      <c r="F280" t="str">
        <v/>
      </c>
    </row>
    <row r="281" spans="1:6" x14ac:dyDescent="0.25">
      <c r="A281" t="str">
        <v/>
      </c>
      <c r="B281" t="str">
        <v/>
      </c>
      <c r="C281" t="str">
        <v/>
      </c>
      <c r="D281" t="str">
        <v xml:space="preserve"> </v>
      </c>
      <c r="E281" s="64" t="str">
        <v xml:space="preserve"> </v>
      </c>
      <c r="F281" t="str">
        <v/>
      </c>
    </row>
    <row r="282" spans="1:6" x14ac:dyDescent="0.25">
      <c r="A282" t="str">
        <v/>
      </c>
      <c r="B282" t="str">
        <v/>
      </c>
      <c r="C282" t="str">
        <v/>
      </c>
      <c r="D282" t="str">
        <v xml:space="preserve"> </v>
      </c>
      <c r="E282" s="64" t="str">
        <v xml:space="preserve"> </v>
      </c>
      <c r="F282" t="str">
        <v/>
      </c>
    </row>
    <row r="283" spans="1:6" x14ac:dyDescent="0.25">
      <c r="A283" t="str">
        <v/>
      </c>
      <c r="B283" t="str">
        <v/>
      </c>
      <c r="C283" t="str">
        <v/>
      </c>
      <c r="D283" t="str">
        <v xml:space="preserve"> </v>
      </c>
      <c r="E283" s="64" t="str">
        <v xml:space="preserve"> </v>
      </c>
      <c r="F283" t="str">
        <v/>
      </c>
    </row>
    <row r="284" spans="1:6" x14ac:dyDescent="0.25">
      <c r="A284" t="str">
        <v/>
      </c>
      <c r="B284" t="str">
        <v/>
      </c>
      <c r="C284" t="str">
        <v/>
      </c>
      <c r="D284" t="str">
        <v xml:space="preserve"> </v>
      </c>
      <c r="E284" s="64" t="str">
        <v xml:space="preserve"> </v>
      </c>
      <c r="F284" t="str">
        <v/>
      </c>
    </row>
    <row r="285" spans="1:6" x14ac:dyDescent="0.25">
      <c r="A285" t="str">
        <v/>
      </c>
      <c r="B285" t="str">
        <v/>
      </c>
      <c r="C285" t="str">
        <v/>
      </c>
      <c r="D285" t="str">
        <v xml:space="preserve"> </v>
      </c>
      <c r="E285" s="64" t="str">
        <v xml:space="preserve"> </v>
      </c>
      <c r="F285" t="str">
        <v/>
      </c>
    </row>
    <row r="286" spans="1:6" x14ac:dyDescent="0.25">
      <c r="A286" t="str">
        <v/>
      </c>
      <c r="B286" t="str">
        <v/>
      </c>
      <c r="C286" t="str">
        <v/>
      </c>
      <c r="D286" t="str">
        <v xml:space="preserve"> </v>
      </c>
      <c r="E286" s="64" t="str">
        <v xml:space="preserve"> </v>
      </c>
      <c r="F286" t="str">
        <v/>
      </c>
    </row>
    <row r="287" spans="1:6" x14ac:dyDescent="0.25">
      <c r="A287" t="str">
        <v/>
      </c>
      <c r="B287" t="str">
        <v/>
      </c>
      <c r="C287" t="str">
        <v/>
      </c>
      <c r="D287" t="str">
        <v xml:space="preserve"> </v>
      </c>
      <c r="E287" s="64" t="str">
        <v xml:space="preserve"> </v>
      </c>
      <c r="F287" t="str">
        <v/>
      </c>
    </row>
    <row r="288" spans="1:6" x14ac:dyDescent="0.25">
      <c r="A288" t="str">
        <v/>
      </c>
      <c r="B288" t="str">
        <v/>
      </c>
      <c r="C288" t="str">
        <v/>
      </c>
      <c r="D288" t="str">
        <v xml:space="preserve"> </v>
      </c>
      <c r="E288" s="64" t="str">
        <v xml:space="preserve"> </v>
      </c>
      <c r="F288" t="str">
        <v/>
      </c>
    </row>
    <row r="289" spans="1:6" x14ac:dyDescent="0.25">
      <c r="A289" t="str">
        <v/>
      </c>
      <c r="B289" t="str">
        <v/>
      </c>
      <c r="C289" t="str">
        <v/>
      </c>
      <c r="D289" t="str">
        <v xml:space="preserve"> </v>
      </c>
      <c r="E289" s="64" t="str">
        <v xml:space="preserve"> </v>
      </c>
      <c r="F289" t="str">
        <v/>
      </c>
    </row>
    <row r="290" spans="1:6" x14ac:dyDescent="0.25">
      <c r="A290" t="str">
        <v/>
      </c>
      <c r="B290" t="str">
        <v/>
      </c>
      <c r="C290" t="str">
        <v/>
      </c>
      <c r="D290" t="str">
        <v xml:space="preserve"> </v>
      </c>
      <c r="E290" s="64" t="str">
        <v xml:space="preserve"> </v>
      </c>
      <c r="F290" t="str">
        <v/>
      </c>
    </row>
    <row r="291" spans="1:6" x14ac:dyDescent="0.25">
      <c r="A291" t="str">
        <v/>
      </c>
      <c r="B291" t="str">
        <v/>
      </c>
      <c r="C291" t="str">
        <v/>
      </c>
      <c r="D291" t="str">
        <v xml:space="preserve"> </v>
      </c>
      <c r="E291" s="64" t="str">
        <v xml:space="preserve"> </v>
      </c>
      <c r="F291" t="str">
        <v/>
      </c>
    </row>
    <row r="292" spans="1:6" x14ac:dyDescent="0.25">
      <c r="A292" t="str">
        <v/>
      </c>
      <c r="B292" t="str">
        <v/>
      </c>
      <c r="C292" t="str">
        <v/>
      </c>
      <c r="D292" t="str">
        <v xml:space="preserve"> </v>
      </c>
      <c r="E292" s="64" t="str">
        <v xml:space="preserve"> </v>
      </c>
      <c r="F292" t="str">
        <v/>
      </c>
    </row>
    <row r="293" spans="1:6" x14ac:dyDescent="0.25">
      <c r="A293" t="str">
        <v/>
      </c>
      <c r="B293" t="str">
        <v/>
      </c>
      <c r="C293" t="str">
        <v/>
      </c>
      <c r="D293" t="str">
        <v xml:space="preserve"> </v>
      </c>
      <c r="E293" s="64" t="str">
        <v xml:space="preserve"> </v>
      </c>
      <c r="F293" t="str">
        <v/>
      </c>
    </row>
    <row r="294" spans="1:6" x14ac:dyDescent="0.25">
      <c r="A294" t="str">
        <v/>
      </c>
      <c r="B294" t="str">
        <v/>
      </c>
      <c r="C294" t="str">
        <v/>
      </c>
      <c r="D294" t="str">
        <v xml:space="preserve"> </v>
      </c>
      <c r="E294" s="64" t="str">
        <v xml:space="preserve"> </v>
      </c>
      <c r="F294" t="str">
        <v/>
      </c>
    </row>
    <row r="295" spans="1:6" x14ac:dyDescent="0.25">
      <c r="A295" t="str">
        <v/>
      </c>
      <c r="B295" t="str">
        <v/>
      </c>
      <c r="C295" t="str">
        <v/>
      </c>
      <c r="D295" t="str">
        <v xml:space="preserve"> </v>
      </c>
      <c r="E295" s="64" t="str">
        <v xml:space="preserve"> </v>
      </c>
      <c r="F295" t="str">
        <v/>
      </c>
    </row>
    <row r="296" spans="1:6" x14ac:dyDescent="0.25">
      <c r="A296" t="str">
        <v/>
      </c>
      <c r="B296" t="str">
        <v/>
      </c>
      <c r="C296" t="str">
        <v/>
      </c>
      <c r="D296" t="str">
        <v xml:space="preserve"> </v>
      </c>
      <c r="E296" s="64" t="str">
        <v xml:space="preserve"> </v>
      </c>
      <c r="F296" t="str">
        <v/>
      </c>
    </row>
    <row r="297" spans="1:6" x14ac:dyDescent="0.25">
      <c r="A297" t="str">
        <v/>
      </c>
      <c r="B297" t="str">
        <v/>
      </c>
      <c r="C297" t="str">
        <v/>
      </c>
      <c r="D297" t="str">
        <v xml:space="preserve"> </v>
      </c>
      <c r="E297" s="64" t="str">
        <v xml:space="preserve"> </v>
      </c>
      <c r="F297" t="str">
        <v/>
      </c>
    </row>
    <row r="298" spans="1:6" x14ac:dyDescent="0.25">
      <c r="A298" t="str">
        <v/>
      </c>
      <c r="B298" t="str">
        <v/>
      </c>
      <c r="C298" t="str">
        <v/>
      </c>
      <c r="D298" t="str">
        <v xml:space="preserve"> </v>
      </c>
      <c r="E298" s="64" t="str">
        <v xml:space="preserve"> </v>
      </c>
      <c r="F298" t="str">
        <v/>
      </c>
    </row>
    <row r="299" spans="1:6" x14ac:dyDescent="0.25">
      <c r="A299" t="str">
        <v/>
      </c>
      <c r="B299" t="str">
        <v/>
      </c>
      <c r="C299" t="str">
        <v/>
      </c>
      <c r="D299" t="str">
        <v xml:space="preserve"> </v>
      </c>
      <c r="E299" s="64" t="str">
        <v xml:space="preserve"> </v>
      </c>
      <c r="F299" t="str">
        <v/>
      </c>
    </row>
    <row r="300" spans="1:6" x14ac:dyDescent="0.25">
      <c r="A300" t="str">
        <v/>
      </c>
      <c r="B300" t="str">
        <v/>
      </c>
      <c r="C300" t="str">
        <v/>
      </c>
      <c r="D300" t="str">
        <v xml:space="preserve"> </v>
      </c>
      <c r="E300" s="64" t="str">
        <v xml:space="preserve"> </v>
      </c>
      <c r="F300" t="str">
        <v/>
      </c>
    </row>
    <row r="301" spans="1:6" x14ac:dyDescent="0.25">
      <c r="A301" t="str">
        <v/>
      </c>
      <c r="B301" t="str">
        <v/>
      </c>
      <c r="C301" t="str">
        <v/>
      </c>
      <c r="D301" t="str">
        <v xml:space="preserve"> </v>
      </c>
      <c r="E301" s="64" t="str">
        <v xml:space="preserve"> </v>
      </c>
      <c r="F301" t="str">
        <v/>
      </c>
    </row>
    <row r="302" spans="1:6" x14ac:dyDescent="0.25">
      <c r="A302" t="str">
        <v/>
      </c>
      <c r="B302" t="str">
        <v/>
      </c>
      <c r="C302" t="str">
        <v/>
      </c>
      <c r="D302" t="str">
        <v xml:space="preserve"> </v>
      </c>
      <c r="E302" s="64" t="str">
        <v xml:space="preserve"> </v>
      </c>
      <c r="F302" t="str">
        <v/>
      </c>
    </row>
    <row r="303" spans="1:6" x14ac:dyDescent="0.25">
      <c r="A303" t="str">
        <v/>
      </c>
      <c r="B303" t="str">
        <v/>
      </c>
      <c r="C303" t="str">
        <v/>
      </c>
      <c r="D303" t="str">
        <v xml:space="preserve"> </v>
      </c>
      <c r="E303" s="64" t="str">
        <v xml:space="preserve"> </v>
      </c>
      <c r="F303" t="str">
        <v/>
      </c>
    </row>
    <row r="304" spans="1:6" x14ac:dyDescent="0.25">
      <c r="A304" t="str">
        <v/>
      </c>
      <c r="B304" t="str">
        <v/>
      </c>
      <c r="C304" t="str">
        <v/>
      </c>
      <c r="D304" t="str">
        <v xml:space="preserve"> </v>
      </c>
      <c r="E304" s="64" t="str">
        <v xml:space="preserve"> </v>
      </c>
      <c r="F304" t="str">
        <v/>
      </c>
    </row>
    <row r="305" spans="1:6" x14ac:dyDescent="0.25">
      <c r="A305" t="str">
        <v/>
      </c>
      <c r="B305" t="str">
        <v/>
      </c>
      <c r="C305" t="str">
        <v/>
      </c>
      <c r="D305" t="str">
        <v xml:space="preserve"> </v>
      </c>
      <c r="E305" s="64" t="str">
        <v xml:space="preserve"> </v>
      </c>
      <c r="F305" t="str">
        <v/>
      </c>
    </row>
    <row r="306" spans="1:6" x14ac:dyDescent="0.25">
      <c r="A306" t="str">
        <v/>
      </c>
      <c r="B306" t="str">
        <v/>
      </c>
      <c r="C306" t="str">
        <v/>
      </c>
      <c r="D306" t="str">
        <v xml:space="preserve"> </v>
      </c>
      <c r="E306" s="64" t="str">
        <v xml:space="preserve"> </v>
      </c>
      <c r="F306" t="str">
        <v/>
      </c>
    </row>
    <row r="307" spans="1:6" x14ac:dyDescent="0.25">
      <c r="A307" t="str">
        <v/>
      </c>
      <c r="B307" t="str">
        <v/>
      </c>
      <c r="C307" t="str">
        <v/>
      </c>
      <c r="D307" t="str">
        <v xml:space="preserve"> </v>
      </c>
      <c r="E307" s="64" t="str">
        <v xml:space="preserve"> </v>
      </c>
      <c r="F307" t="str">
        <v/>
      </c>
    </row>
    <row r="308" spans="1:6" x14ac:dyDescent="0.25">
      <c r="A308" t="str">
        <v/>
      </c>
      <c r="B308" t="str">
        <v/>
      </c>
      <c r="C308" t="str">
        <v/>
      </c>
      <c r="D308" t="str">
        <v xml:space="preserve"> </v>
      </c>
      <c r="E308" s="64" t="str">
        <v xml:space="preserve"> </v>
      </c>
      <c r="F308" t="str">
        <v/>
      </c>
    </row>
    <row r="309" spans="1:6" x14ac:dyDescent="0.25">
      <c r="A309" t="str">
        <v/>
      </c>
      <c r="B309" t="str">
        <v/>
      </c>
      <c r="C309" t="str">
        <v/>
      </c>
      <c r="D309" t="str">
        <v xml:space="preserve"> </v>
      </c>
      <c r="E309" s="64" t="str">
        <v xml:space="preserve"> </v>
      </c>
      <c r="F309" t="str">
        <v/>
      </c>
    </row>
    <row r="310" spans="1:6" x14ac:dyDescent="0.25">
      <c r="A310" t="str">
        <v/>
      </c>
      <c r="B310" t="str">
        <v/>
      </c>
      <c r="C310" t="str">
        <v/>
      </c>
      <c r="D310" t="str">
        <v xml:space="preserve"> </v>
      </c>
      <c r="E310" s="64" t="str">
        <v xml:space="preserve"> </v>
      </c>
      <c r="F310" t="str">
        <v/>
      </c>
    </row>
    <row r="311" spans="1:6" x14ac:dyDescent="0.25">
      <c r="A311" t="str">
        <v/>
      </c>
      <c r="B311" t="str">
        <v/>
      </c>
      <c r="C311" t="str">
        <v/>
      </c>
      <c r="D311" t="str">
        <v xml:space="preserve"> </v>
      </c>
      <c r="E311" s="64" t="str">
        <v xml:space="preserve"> </v>
      </c>
      <c r="F311" t="str">
        <v/>
      </c>
    </row>
    <row r="312" spans="1:6" x14ac:dyDescent="0.25">
      <c r="A312" t="str">
        <v/>
      </c>
      <c r="B312" t="str">
        <v/>
      </c>
      <c r="C312" t="str">
        <v/>
      </c>
      <c r="D312" t="str">
        <v xml:space="preserve"> </v>
      </c>
      <c r="E312" s="64" t="str">
        <v xml:space="preserve"> </v>
      </c>
      <c r="F312" t="str">
        <v/>
      </c>
    </row>
    <row r="313" spans="1:6" x14ac:dyDescent="0.25">
      <c r="A313" t="str">
        <v/>
      </c>
      <c r="B313" t="str">
        <v/>
      </c>
      <c r="C313" t="str">
        <v/>
      </c>
      <c r="D313" t="str">
        <v xml:space="preserve"> </v>
      </c>
      <c r="E313" s="64" t="str">
        <v xml:space="preserve"> </v>
      </c>
      <c r="F313" t="str">
        <v/>
      </c>
    </row>
    <row r="314" spans="1:6" x14ac:dyDescent="0.25">
      <c r="A314" t="str">
        <v/>
      </c>
      <c r="B314" t="str">
        <v/>
      </c>
      <c r="C314" t="str">
        <v/>
      </c>
      <c r="D314" t="str">
        <v xml:space="preserve"> </v>
      </c>
      <c r="E314" s="64" t="str">
        <v xml:space="preserve"> </v>
      </c>
      <c r="F314" t="str">
        <v/>
      </c>
    </row>
    <row r="315" spans="1:6" x14ac:dyDescent="0.25">
      <c r="A315" t="str">
        <v/>
      </c>
      <c r="B315" t="str">
        <v/>
      </c>
      <c r="C315" t="str">
        <v/>
      </c>
      <c r="D315" t="str">
        <v xml:space="preserve"> </v>
      </c>
      <c r="E315" s="64" t="str">
        <v xml:space="preserve"> </v>
      </c>
      <c r="F315" t="str">
        <v/>
      </c>
    </row>
    <row r="316" spans="1:6" x14ac:dyDescent="0.25">
      <c r="A316" t="str">
        <v/>
      </c>
      <c r="B316" t="str">
        <v/>
      </c>
      <c r="C316" t="str">
        <v/>
      </c>
      <c r="D316" t="str">
        <v xml:space="preserve"> </v>
      </c>
      <c r="E316" s="64" t="str">
        <v xml:space="preserve"> </v>
      </c>
      <c r="F316" t="str">
        <v/>
      </c>
    </row>
    <row r="317" spans="1:6" x14ac:dyDescent="0.25">
      <c r="A317" t="str">
        <v/>
      </c>
      <c r="B317" t="str">
        <v/>
      </c>
      <c r="C317" t="str">
        <v/>
      </c>
      <c r="D317" t="str">
        <v xml:space="preserve"> </v>
      </c>
      <c r="E317" s="64" t="str">
        <v xml:space="preserve"> </v>
      </c>
      <c r="F317" t="str">
        <v/>
      </c>
    </row>
    <row r="318" spans="1:6" x14ac:dyDescent="0.25">
      <c r="A318" t="str">
        <v/>
      </c>
      <c r="B318" t="str">
        <v/>
      </c>
      <c r="C318" t="str">
        <v/>
      </c>
      <c r="D318" t="str">
        <v xml:space="preserve"> </v>
      </c>
      <c r="E318" s="64" t="str">
        <v xml:space="preserve"> </v>
      </c>
      <c r="F318" t="str">
        <v/>
      </c>
    </row>
    <row r="319" spans="1:6" x14ac:dyDescent="0.25">
      <c r="A319" t="str">
        <v/>
      </c>
      <c r="B319" t="str">
        <v/>
      </c>
      <c r="C319" t="str">
        <v/>
      </c>
      <c r="D319" t="str">
        <v xml:space="preserve"> </v>
      </c>
      <c r="E319" s="64" t="str">
        <v xml:space="preserve"> </v>
      </c>
      <c r="F319" t="str">
        <v/>
      </c>
    </row>
    <row r="320" spans="1:6" x14ac:dyDescent="0.25">
      <c r="A320" t="str">
        <v/>
      </c>
      <c r="B320" t="str">
        <v/>
      </c>
      <c r="C320" t="str">
        <v/>
      </c>
      <c r="D320" t="str">
        <v xml:space="preserve"> </v>
      </c>
      <c r="E320" s="64" t="str">
        <v xml:space="preserve"> </v>
      </c>
      <c r="F320" t="str">
        <v/>
      </c>
    </row>
    <row r="321" spans="1:6" x14ac:dyDescent="0.25">
      <c r="A321" t="str">
        <v/>
      </c>
      <c r="B321" t="str">
        <v/>
      </c>
      <c r="C321" t="str">
        <v/>
      </c>
      <c r="D321" t="str">
        <v xml:space="preserve"> </v>
      </c>
      <c r="E321" s="64" t="str">
        <v xml:space="preserve"> </v>
      </c>
      <c r="F321" t="str">
        <v/>
      </c>
    </row>
    <row r="322" spans="1:6" x14ac:dyDescent="0.25">
      <c r="A322" t="str">
        <v/>
      </c>
      <c r="B322" t="str">
        <v/>
      </c>
      <c r="C322" t="str">
        <v/>
      </c>
      <c r="D322" t="str">
        <v xml:space="preserve"> </v>
      </c>
      <c r="E322" s="64" t="str">
        <v xml:space="preserve"> </v>
      </c>
      <c r="F322" t="str">
        <v/>
      </c>
    </row>
    <row r="323" spans="1:6" x14ac:dyDescent="0.25">
      <c r="A323" t="str">
        <v/>
      </c>
      <c r="B323" t="str">
        <v/>
      </c>
      <c r="C323" t="str">
        <v/>
      </c>
      <c r="D323" t="str">
        <v xml:space="preserve"> </v>
      </c>
      <c r="E323" s="64" t="str">
        <v xml:space="preserve"> </v>
      </c>
      <c r="F323" t="str">
        <v/>
      </c>
    </row>
    <row r="324" spans="1:6" x14ac:dyDescent="0.25">
      <c r="A324" t="str">
        <v/>
      </c>
      <c r="B324" t="str">
        <v/>
      </c>
      <c r="C324" t="str">
        <v/>
      </c>
      <c r="D324" t="str">
        <v xml:space="preserve"> </v>
      </c>
      <c r="E324" s="64" t="str">
        <v xml:space="preserve"> </v>
      </c>
      <c r="F324" t="str">
        <v/>
      </c>
    </row>
    <row r="325" spans="1:6" x14ac:dyDescent="0.25">
      <c r="A325" t="str">
        <v/>
      </c>
      <c r="B325" t="str">
        <v/>
      </c>
      <c r="C325" t="str">
        <v/>
      </c>
      <c r="D325" t="str">
        <v xml:space="preserve"> </v>
      </c>
      <c r="E325" s="64" t="str">
        <v xml:space="preserve"> </v>
      </c>
      <c r="F325" t="str">
        <v/>
      </c>
    </row>
    <row r="326" spans="1:6" x14ac:dyDescent="0.25">
      <c r="A326" t="str">
        <v/>
      </c>
      <c r="B326" t="str">
        <v/>
      </c>
      <c r="C326" t="str">
        <v/>
      </c>
      <c r="D326" t="str">
        <v xml:space="preserve"> </v>
      </c>
      <c r="E326" s="64" t="str">
        <v xml:space="preserve"> </v>
      </c>
      <c r="F326" t="str">
        <v/>
      </c>
    </row>
    <row r="327" spans="1:6" x14ac:dyDescent="0.25">
      <c r="A327" t="str">
        <v/>
      </c>
      <c r="B327" t="str">
        <v/>
      </c>
      <c r="C327" t="str">
        <v/>
      </c>
      <c r="D327" t="str">
        <v xml:space="preserve"> </v>
      </c>
      <c r="E327" s="64" t="str">
        <v xml:space="preserve"> </v>
      </c>
      <c r="F327" t="str">
        <v/>
      </c>
    </row>
    <row r="328" spans="1:6" x14ac:dyDescent="0.25">
      <c r="A328" t="str">
        <v/>
      </c>
      <c r="B328" t="str">
        <v/>
      </c>
      <c r="C328" t="str">
        <v/>
      </c>
      <c r="D328" t="str">
        <v xml:space="preserve"> </v>
      </c>
      <c r="E328" s="64" t="str">
        <v xml:space="preserve"> </v>
      </c>
      <c r="F328" t="str">
        <v/>
      </c>
    </row>
    <row r="329" spans="1:6" x14ac:dyDescent="0.25">
      <c r="A329" t="str">
        <v/>
      </c>
      <c r="B329" t="str">
        <v/>
      </c>
      <c r="C329" t="str">
        <v/>
      </c>
      <c r="D329" t="str">
        <v xml:space="preserve"> </v>
      </c>
      <c r="E329" s="64" t="str">
        <v xml:space="preserve"> </v>
      </c>
      <c r="F329" t="str">
        <v/>
      </c>
    </row>
    <row r="330" spans="1:6" x14ac:dyDescent="0.25">
      <c r="A330" t="str">
        <v/>
      </c>
      <c r="B330" t="str">
        <v/>
      </c>
      <c r="C330" t="str">
        <v/>
      </c>
      <c r="D330" t="str">
        <v xml:space="preserve"> </v>
      </c>
      <c r="E330" s="64" t="str">
        <v xml:space="preserve"> </v>
      </c>
      <c r="F330" t="str">
        <v/>
      </c>
    </row>
    <row r="331" spans="1:6" x14ac:dyDescent="0.25">
      <c r="A331" t="str">
        <v/>
      </c>
      <c r="B331" t="str">
        <v/>
      </c>
      <c r="C331" t="str">
        <v/>
      </c>
      <c r="D331" t="str">
        <v xml:space="preserve"> </v>
      </c>
      <c r="E331" s="64" t="str">
        <v xml:space="preserve"> </v>
      </c>
      <c r="F331" t="str">
        <v/>
      </c>
    </row>
    <row r="332" spans="1:6" x14ac:dyDescent="0.25">
      <c r="A332" t="str">
        <v/>
      </c>
      <c r="B332" t="str">
        <v/>
      </c>
      <c r="C332" t="str">
        <v/>
      </c>
      <c r="D332" t="str">
        <v xml:space="preserve"> </v>
      </c>
      <c r="E332" s="64" t="str">
        <v xml:space="preserve"> </v>
      </c>
      <c r="F332" t="str">
        <v/>
      </c>
    </row>
    <row r="333" spans="1:6" x14ac:dyDescent="0.25">
      <c r="A333" t="str">
        <v/>
      </c>
      <c r="B333" t="str">
        <v/>
      </c>
      <c r="C333" t="str">
        <v/>
      </c>
      <c r="D333" t="str">
        <v xml:space="preserve"> </v>
      </c>
      <c r="E333" s="64" t="str">
        <v xml:space="preserve"> </v>
      </c>
      <c r="F333" t="str">
        <v/>
      </c>
    </row>
    <row r="334" spans="1:6" x14ac:dyDescent="0.25">
      <c r="A334" t="str">
        <v/>
      </c>
      <c r="B334" t="str">
        <v/>
      </c>
      <c r="C334" t="str">
        <v/>
      </c>
      <c r="D334" t="str">
        <v xml:space="preserve"> </v>
      </c>
      <c r="E334" s="64" t="str">
        <v xml:space="preserve"> </v>
      </c>
      <c r="F334" t="str">
        <v/>
      </c>
    </row>
    <row r="335" spans="1:6" x14ac:dyDescent="0.25">
      <c r="A335" t="str">
        <v/>
      </c>
      <c r="B335" t="str">
        <v/>
      </c>
      <c r="C335" t="str">
        <v/>
      </c>
      <c r="D335" t="str">
        <v xml:space="preserve"> </v>
      </c>
      <c r="E335" s="64" t="str">
        <v xml:space="preserve"> </v>
      </c>
      <c r="F335" t="str">
        <v/>
      </c>
    </row>
    <row r="336" spans="1:6" x14ac:dyDescent="0.25">
      <c r="A336" t="str">
        <v/>
      </c>
      <c r="B336" t="str">
        <v/>
      </c>
      <c r="C336" t="str">
        <v/>
      </c>
      <c r="D336" t="str">
        <v xml:space="preserve"> </v>
      </c>
      <c r="E336" s="64" t="str">
        <v xml:space="preserve"> </v>
      </c>
      <c r="F336" t="str">
        <v/>
      </c>
    </row>
    <row r="337" spans="1:6" x14ac:dyDescent="0.25">
      <c r="A337" t="str">
        <v/>
      </c>
      <c r="B337" t="str">
        <v/>
      </c>
      <c r="C337" t="str">
        <v/>
      </c>
      <c r="D337" t="str">
        <v xml:space="preserve"> </v>
      </c>
      <c r="E337" s="64" t="str">
        <v xml:space="preserve"> </v>
      </c>
      <c r="F337" t="str">
        <v/>
      </c>
    </row>
    <row r="338" spans="1:6" x14ac:dyDescent="0.25">
      <c r="A338" t="str">
        <v/>
      </c>
      <c r="B338" t="str">
        <v/>
      </c>
      <c r="C338" t="str">
        <v/>
      </c>
      <c r="D338" t="str">
        <v xml:space="preserve"> </v>
      </c>
      <c r="E338" s="64" t="str">
        <v xml:space="preserve"> </v>
      </c>
      <c r="F338" t="str">
        <v/>
      </c>
    </row>
    <row r="339" spans="1:6" x14ac:dyDescent="0.25">
      <c r="A339" t="str">
        <v/>
      </c>
      <c r="B339" t="str">
        <v/>
      </c>
      <c r="C339" t="str">
        <v/>
      </c>
      <c r="D339" t="str">
        <v xml:space="preserve"> </v>
      </c>
      <c r="E339" s="64" t="str">
        <v xml:space="preserve"> </v>
      </c>
      <c r="F339" t="str">
        <v/>
      </c>
    </row>
    <row r="340" spans="1:6" x14ac:dyDescent="0.25">
      <c r="A340" t="str">
        <v/>
      </c>
      <c r="B340" t="str">
        <v/>
      </c>
      <c r="C340" t="str">
        <v/>
      </c>
      <c r="D340" t="str">
        <v xml:space="preserve"> </v>
      </c>
      <c r="E340" s="64" t="str">
        <v xml:space="preserve"> </v>
      </c>
      <c r="F340" t="str">
        <v/>
      </c>
    </row>
    <row r="341" spans="1:6" x14ac:dyDescent="0.25">
      <c r="A341" t="str">
        <v/>
      </c>
      <c r="B341" t="str">
        <v/>
      </c>
      <c r="C341" t="str">
        <v/>
      </c>
      <c r="D341" t="str">
        <v xml:space="preserve"> </v>
      </c>
      <c r="E341" s="64" t="str">
        <v xml:space="preserve"> </v>
      </c>
      <c r="F341" t="str">
        <v/>
      </c>
    </row>
    <row r="342" spans="1:6" x14ac:dyDescent="0.25">
      <c r="A342" t="str">
        <v/>
      </c>
      <c r="B342" t="str">
        <v/>
      </c>
      <c r="C342" t="str">
        <v/>
      </c>
      <c r="D342" t="str">
        <v xml:space="preserve"> </v>
      </c>
      <c r="E342" s="64" t="str">
        <v xml:space="preserve"> </v>
      </c>
      <c r="F342" t="str">
        <v/>
      </c>
    </row>
    <row r="343" spans="1:6" x14ac:dyDescent="0.25">
      <c r="A343" t="str">
        <v/>
      </c>
      <c r="B343" t="str">
        <v/>
      </c>
      <c r="C343" t="str">
        <v/>
      </c>
      <c r="D343" t="str">
        <v xml:space="preserve"> </v>
      </c>
      <c r="E343" s="64" t="str">
        <v xml:space="preserve"> </v>
      </c>
      <c r="F343" t="str">
        <v/>
      </c>
    </row>
    <row r="344" spans="1:6" x14ac:dyDescent="0.25">
      <c r="A344" t="str">
        <v/>
      </c>
      <c r="B344" t="str">
        <v/>
      </c>
      <c r="C344" t="str">
        <v/>
      </c>
      <c r="D344" t="str">
        <v xml:space="preserve"> </v>
      </c>
      <c r="E344" s="64" t="str">
        <v xml:space="preserve"> </v>
      </c>
      <c r="F344" t="str">
        <v/>
      </c>
    </row>
    <row r="345" spans="1:6" x14ac:dyDescent="0.25">
      <c r="A345" t="str">
        <v/>
      </c>
      <c r="B345" t="str">
        <v/>
      </c>
      <c r="C345" t="str">
        <v/>
      </c>
      <c r="D345" t="str">
        <v xml:space="preserve"> </v>
      </c>
      <c r="E345" s="64" t="str">
        <v xml:space="preserve"> </v>
      </c>
      <c r="F345" t="str">
        <v/>
      </c>
    </row>
    <row r="346" spans="1:6" x14ac:dyDescent="0.25">
      <c r="A346" t="str">
        <v/>
      </c>
      <c r="B346" t="str">
        <v/>
      </c>
      <c r="C346" t="str">
        <v/>
      </c>
      <c r="D346" t="str">
        <v xml:space="preserve"> </v>
      </c>
      <c r="E346" s="64" t="str">
        <v xml:space="preserve"> </v>
      </c>
      <c r="F346" t="str">
        <v/>
      </c>
    </row>
    <row r="347" spans="1:6" x14ac:dyDescent="0.25">
      <c r="A347" t="str">
        <v/>
      </c>
      <c r="B347" t="str">
        <v/>
      </c>
      <c r="C347" t="str">
        <v/>
      </c>
      <c r="D347" t="str">
        <v xml:space="preserve"> </v>
      </c>
      <c r="E347" s="64" t="str">
        <v xml:space="preserve"> </v>
      </c>
      <c r="F347" t="str">
        <v/>
      </c>
    </row>
    <row r="348" spans="1:6" x14ac:dyDescent="0.25">
      <c r="A348" t="str">
        <v/>
      </c>
      <c r="B348" t="str">
        <v/>
      </c>
      <c r="C348" t="str">
        <v/>
      </c>
      <c r="D348" t="str">
        <v xml:space="preserve"> </v>
      </c>
      <c r="E348" s="64" t="str">
        <v xml:space="preserve"> </v>
      </c>
      <c r="F348" t="str">
        <v/>
      </c>
    </row>
    <row r="349" spans="1:6" x14ac:dyDescent="0.25">
      <c r="A349" t="str">
        <v/>
      </c>
      <c r="B349" t="str">
        <v/>
      </c>
      <c r="C349" t="str">
        <v/>
      </c>
      <c r="D349" t="str">
        <v xml:space="preserve"> </v>
      </c>
      <c r="E349" s="64" t="str">
        <v xml:space="preserve"> </v>
      </c>
      <c r="F349" t="str">
        <v/>
      </c>
    </row>
    <row r="350" spans="1:6" x14ac:dyDescent="0.25">
      <c r="A350" t="str">
        <v/>
      </c>
      <c r="B350" t="str">
        <v/>
      </c>
      <c r="C350" t="str">
        <v/>
      </c>
      <c r="D350" t="str">
        <v xml:space="preserve"> </v>
      </c>
      <c r="E350" s="64" t="str">
        <v xml:space="preserve"> </v>
      </c>
      <c r="F350" t="str">
        <v/>
      </c>
    </row>
    <row r="351" spans="1:6" x14ac:dyDescent="0.25">
      <c r="A351" t="str">
        <v/>
      </c>
      <c r="B351" t="str">
        <v/>
      </c>
      <c r="C351" t="str">
        <v/>
      </c>
      <c r="D351" t="str">
        <v xml:space="preserve"> </v>
      </c>
      <c r="E351" s="64" t="str">
        <v xml:space="preserve"> </v>
      </c>
      <c r="F351" t="str">
        <v/>
      </c>
    </row>
    <row r="352" spans="1:6" x14ac:dyDescent="0.25">
      <c r="A352" t="str">
        <v/>
      </c>
      <c r="B352" t="str">
        <v/>
      </c>
      <c r="C352" t="str">
        <v/>
      </c>
      <c r="D352" t="str">
        <v xml:space="preserve"> </v>
      </c>
      <c r="E352" s="64" t="str">
        <v xml:space="preserve"> </v>
      </c>
      <c r="F352" t="str">
        <v/>
      </c>
    </row>
    <row r="353" spans="1:6" x14ac:dyDescent="0.25">
      <c r="A353" t="str">
        <v/>
      </c>
      <c r="B353" t="str">
        <v/>
      </c>
      <c r="C353" t="str">
        <v/>
      </c>
      <c r="D353" t="str">
        <v xml:space="preserve"> </v>
      </c>
      <c r="E353" s="64" t="str">
        <v xml:space="preserve"> </v>
      </c>
      <c r="F353" t="str">
        <v/>
      </c>
    </row>
    <row r="354" spans="1:6" x14ac:dyDescent="0.25">
      <c r="A354" t="str">
        <v/>
      </c>
      <c r="B354" t="str">
        <v/>
      </c>
      <c r="C354" t="str">
        <v/>
      </c>
      <c r="D354" t="str">
        <v xml:space="preserve"> </v>
      </c>
      <c r="E354" s="64" t="str">
        <v xml:space="preserve"> </v>
      </c>
      <c r="F354" t="str">
        <v/>
      </c>
    </row>
    <row r="355" spans="1:6" x14ac:dyDescent="0.25">
      <c r="A355" t="str">
        <v/>
      </c>
      <c r="B355" t="str">
        <v/>
      </c>
      <c r="C355" t="str">
        <v/>
      </c>
      <c r="D355" t="str">
        <v xml:space="preserve"> </v>
      </c>
      <c r="E355" s="64" t="str">
        <v xml:space="preserve"> </v>
      </c>
      <c r="F355" t="str">
        <v/>
      </c>
    </row>
    <row r="356" spans="1:6" x14ac:dyDescent="0.25">
      <c r="A356" t="str">
        <v/>
      </c>
      <c r="B356" t="str">
        <v/>
      </c>
      <c r="C356" t="str">
        <v/>
      </c>
      <c r="D356" t="str">
        <v xml:space="preserve"> </v>
      </c>
      <c r="E356" s="64" t="str">
        <v xml:space="preserve"> </v>
      </c>
      <c r="F356" t="str">
        <v/>
      </c>
    </row>
    <row r="357" spans="1:6" x14ac:dyDescent="0.25">
      <c r="A357" t="str">
        <v/>
      </c>
      <c r="B357" t="str">
        <v/>
      </c>
      <c r="C357" t="str">
        <v/>
      </c>
      <c r="D357" t="str">
        <v xml:space="preserve"> </v>
      </c>
      <c r="E357" s="64" t="str">
        <v xml:space="preserve"> </v>
      </c>
      <c r="F357" t="str">
        <v/>
      </c>
    </row>
    <row r="358" spans="1:6" x14ac:dyDescent="0.25">
      <c r="A358" t="str">
        <v/>
      </c>
      <c r="B358" t="str">
        <v/>
      </c>
      <c r="C358" t="str">
        <v/>
      </c>
      <c r="D358" t="str">
        <v xml:space="preserve"> </v>
      </c>
      <c r="E358" s="64" t="str">
        <v xml:space="preserve"> </v>
      </c>
      <c r="F358" t="str">
        <v/>
      </c>
    </row>
    <row r="359" spans="1:6" x14ac:dyDescent="0.25">
      <c r="A359" t="str">
        <v/>
      </c>
      <c r="B359" t="str">
        <v/>
      </c>
      <c r="C359" t="str">
        <v/>
      </c>
      <c r="D359" t="str">
        <v xml:space="preserve"> </v>
      </c>
      <c r="E359" s="64" t="str">
        <v xml:space="preserve"> </v>
      </c>
      <c r="F359" t="str">
        <v/>
      </c>
    </row>
    <row r="360" spans="1:6" x14ac:dyDescent="0.25">
      <c r="A360" t="str">
        <v/>
      </c>
      <c r="B360" t="str">
        <v/>
      </c>
      <c r="C360" t="str">
        <v/>
      </c>
      <c r="D360" t="str">
        <v xml:space="preserve"> </v>
      </c>
      <c r="E360" s="64" t="str">
        <v xml:space="preserve"> </v>
      </c>
      <c r="F360" t="str">
        <v/>
      </c>
    </row>
    <row r="361" spans="1:6" x14ac:dyDescent="0.25">
      <c r="A361" t="str">
        <v/>
      </c>
      <c r="B361" t="str">
        <v/>
      </c>
      <c r="C361" t="str">
        <v/>
      </c>
      <c r="D361" t="str">
        <v xml:space="preserve"> </v>
      </c>
      <c r="E361" s="64" t="str">
        <v xml:space="preserve"> </v>
      </c>
      <c r="F361" t="str">
        <v/>
      </c>
    </row>
    <row r="362" spans="1:6" x14ac:dyDescent="0.25">
      <c r="A362" t="str">
        <v/>
      </c>
      <c r="B362" t="str">
        <v/>
      </c>
      <c r="C362" t="str">
        <v/>
      </c>
      <c r="D362" t="str">
        <v xml:space="preserve"> </v>
      </c>
      <c r="E362" s="64" t="str">
        <v xml:space="preserve"> </v>
      </c>
      <c r="F362" t="str">
        <v/>
      </c>
    </row>
    <row r="363" spans="1:6" x14ac:dyDescent="0.25">
      <c r="A363" t="str">
        <v/>
      </c>
      <c r="B363" t="str">
        <v/>
      </c>
      <c r="C363" t="str">
        <v/>
      </c>
      <c r="D363" t="str">
        <v xml:space="preserve"> </v>
      </c>
      <c r="E363" s="64" t="str">
        <v xml:space="preserve"> </v>
      </c>
      <c r="F363" t="str">
        <v/>
      </c>
    </row>
    <row r="364" spans="1:6" x14ac:dyDescent="0.25">
      <c r="A364" t="str">
        <v/>
      </c>
      <c r="B364" t="str">
        <v/>
      </c>
      <c r="C364" t="str">
        <v/>
      </c>
      <c r="D364" t="str">
        <v xml:space="preserve"> </v>
      </c>
      <c r="E364" s="64" t="str">
        <v xml:space="preserve"> </v>
      </c>
      <c r="F364" t="str">
        <v/>
      </c>
    </row>
    <row r="365" spans="1:6" x14ac:dyDescent="0.25">
      <c r="A365" t="str">
        <v/>
      </c>
      <c r="B365" t="str">
        <v/>
      </c>
      <c r="C365" t="str">
        <v/>
      </c>
      <c r="D365" t="str">
        <v xml:space="preserve"> </v>
      </c>
      <c r="E365" s="64" t="str">
        <v xml:space="preserve"> </v>
      </c>
      <c r="F365" t="str">
        <v/>
      </c>
    </row>
    <row r="366" spans="1:6" x14ac:dyDescent="0.25">
      <c r="A366" t="str">
        <v/>
      </c>
      <c r="B366" t="str">
        <v/>
      </c>
      <c r="C366" t="str">
        <v/>
      </c>
      <c r="D366" t="str">
        <v xml:space="preserve"> </v>
      </c>
      <c r="E366" s="64" t="str">
        <v xml:space="preserve"> </v>
      </c>
      <c r="F366" t="str">
        <v/>
      </c>
    </row>
    <row r="367" spans="1:6" x14ac:dyDescent="0.25">
      <c r="A367" t="str">
        <v/>
      </c>
      <c r="B367" t="str">
        <v/>
      </c>
      <c r="C367" t="str">
        <v/>
      </c>
      <c r="D367" t="str">
        <v xml:space="preserve"> </v>
      </c>
      <c r="E367" s="64" t="str">
        <v xml:space="preserve"> </v>
      </c>
      <c r="F367" t="str">
        <v/>
      </c>
    </row>
    <row r="368" spans="1:6" x14ac:dyDescent="0.25">
      <c r="A368" t="str">
        <v/>
      </c>
      <c r="B368" t="str">
        <v/>
      </c>
      <c r="C368" t="str">
        <v/>
      </c>
      <c r="D368" t="str">
        <v xml:space="preserve"> </v>
      </c>
      <c r="E368" s="64" t="str">
        <v xml:space="preserve"> </v>
      </c>
      <c r="F368" t="str">
        <v/>
      </c>
    </row>
    <row r="369" spans="1:6" x14ac:dyDescent="0.25">
      <c r="A369" t="str">
        <v/>
      </c>
      <c r="B369" t="str">
        <v/>
      </c>
      <c r="C369" t="str">
        <v/>
      </c>
      <c r="D369" t="str">
        <v xml:space="preserve"> </v>
      </c>
      <c r="E369" s="64" t="str">
        <v xml:space="preserve"> </v>
      </c>
      <c r="F369" t="str">
        <v/>
      </c>
    </row>
    <row r="370" spans="1:6" x14ac:dyDescent="0.25">
      <c r="A370" t="str">
        <v/>
      </c>
      <c r="B370" t="str">
        <v/>
      </c>
      <c r="C370" t="str">
        <v/>
      </c>
      <c r="D370" t="str">
        <v xml:space="preserve"> </v>
      </c>
      <c r="E370" s="64" t="str">
        <v xml:space="preserve"> </v>
      </c>
      <c r="F370" t="str">
        <v/>
      </c>
    </row>
    <row r="371" spans="1:6" x14ac:dyDescent="0.25">
      <c r="A371" t="str">
        <v/>
      </c>
      <c r="B371" t="str">
        <v/>
      </c>
      <c r="C371" t="str">
        <v/>
      </c>
      <c r="D371" t="str">
        <v xml:space="preserve"> </v>
      </c>
      <c r="E371" s="64" t="str">
        <v xml:space="preserve"> </v>
      </c>
      <c r="F371" t="str">
        <v/>
      </c>
    </row>
    <row r="372" spans="1:6" x14ac:dyDescent="0.25">
      <c r="A372" t="str">
        <v/>
      </c>
      <c r="B372" t="str">
        <v/>
      </c>
      <c r="C372" t="str">
        <v/>
      </c>
      <c r="D372" t="str">
        <v xml:space="preserve"> </v>
      </c>
      <c r="E372" s="64" t="str">
        <v xml:space="preserve"> </v>
      </c>
      <c r="F372" t="str">
        <v/>
      </c>
    </row>
    <row r="373" spans="1:6" x14ac:dyDescent="0.25">
      <c r="A373" t="str">
        <v/>
      </c>
      <c r="B373" t="str">
        <v/>
      </c>
      <c r="C373" t="str">
        <v/>
      </c>
      <c r="D373" t="str">
        <v xml:space="preserve"> </v>
      </c>
      <c r="E373" s="64" t="str">
        <v xml:space="preserve"> </v>
      </c>
      <c r="F373" t="str">
        <v/>
      </c>
    </row>
    <row r="374" spans="1:6" x14ac:dyDescent="0.25">
      <c r="A374" t="str">
        <v/>
      </c>
      <c r="B374" t="str">
        <v/>
      </c>
      <c r="C374" t="str">
        <v/>
      </c>
      <c r="D374" t="str">
        <v xml:space="preserve"> </v>
      </c>
      <c r="E374" s="64" t="str">
        <v xml:space="preserve"> </v>
      </c>
      <c r="F374" t="str">
        <v/>
      </c>
    </row>
    <row r="375" spans="1:6" x14ac:dyDescent="0.25">
      <c r="A375" t="str">
        <v/>
      </c>
      <c r="B375" t="str">
        <v/>
      </c>
      <c r="C375" t="str">
        <v/>
      </c>
      <c r="D375" t="str">
        <v xml:space="preserve"> </v>
      </c>
      <c r="E375" s="64" t="str">
        <v xml:space="preserve"> </v>
      </c>
      <c r="F375" t="str">
        <v/>
      </c>
    </row>
    <row r="376" spans="1:6" x14ac:dyDescent="0.25">
      <c r="A376" t="str">
        <v/>
      </c>
      <c r="B376" t="str">
        <v/>
      </c>
      <c r="C376" t="str">
        <v/>
      </c>
      <c r="D376" t="str">
        <v xml:space="preserve"> </v>
      </c>
      <c r="E376" s="64" t="str">
        <v xml:space="preserve"> </v>
      </c>
      <c r="F376" t="str">
        <v/>
      </c>
    </row>
    <row r="377" spans="1:6" x14ac:dyDescent="0.25">
      <c r="A377" t="str">
        <v/>
      </c>
      <c r="B377" t="str">
        <v/>
      </c>
      <c r="C377" t="str">
        <v/>
      </c>
      <c r="D377" t="str">
        <v xml:space="preserve"> </v>
      </c>
      <c r="E377" s="64" t="str">
        <v xml:space="preserve"> </v>
      </c>
      <c r="F377" t="str">
        <v/>
      </c>
    </row>
    <row r="378" spans="1:6" x14ac:dyDescent="0.25">
      <c r="A378" t="str">
        <v/>
      </c>
      <c r="B378" t="str">
        <v/>
      </c>
      <c r="C378" t="str">
        <v/>
      </c>
      <c r="D378" t="str">
        <v xml:space="preserve"> </v>
      </c>
      <c r="E378" s="64" t="str">
        <v xml:space="preserve"> </v>
      </c>
      <c r="F378" t="str">
        <v/>
      </c>
    </row>
    <row r="379" spans="1:6" x14ac:dyDescent="0.25">
      <c r="A379" t="str">
        <v/>
      </c>
      <c r="B379" t="str">
        <v/>
      </c>
      <c r="C379" t="str">
        <v/>
      </c>
      <c r="D379" t="str">
        <v xml:space="preserve"> </v>
      </c>
      <c r="E379" s="64" t="str">
        <v xml:space="preserve"> </v>
      </c>
      <c r="F379" t="str">
        <v/>
      </c>
    </row>
    <row r="380" spans="1:6" x14ac:dyDescent="0.25">
      <c r="A380" t="str">
        <v/>
      </c>
      <c r="B380" t="str">
        <v/>
      </c>
      <c r="C380" t="str">
        <v/>
      </c>
      <c r="D380" t="str">
        <v xml:space="preserve"> </v>
      </c>
      <c r="E380" s="64" t="str">
        <v xml:space="preserve"> </v>
      </c>
      <c r="F380" t="str">
        <v/>
      </c>
    </row>
    <row r="381" spans="1:6" x14ac:dyDescent="0.25">
      <c r="A381" t="str">
        <v/>
      </c>
      <c r="B381" t="str">
        <v/>
      </c>
      <c r="C381" t="str">
        <v/>
      </c>
      <c r="D381" t="str">
        <v xml:space="preserve"> </v>
      </c>
      <c r="E381" s="64" t="str">
        <v xml:space="preserve"> </v>
      </c>
      <c r="F381" t="str">
        <v/>
      </c>
    </row>
    <row r="382" spans="1:6" x14ac:dyDescent="0.25">
      <c r="A382" t="str">
        <v/>
      </c>
      <c r="B382" t="str">
        <v/>
      </c>
      <c r="C382" t="str">
        <v/>
      </c>
      <c r="D382" t="str">
        <v xml:space="preserve"> </v>
      </c>
      <c r="E382" s="64" t="str">
        <v xml:space="preserve"> </v>
      </c>
      <c r="F382" t="str">
        <v/>
      </c>
    </row>
    <row r="383" spans="1:6" x14ac:dyDescent="0.25">
      <c r="A383" t="str">
        <v/>
      </c>
      <c r="B383" t="str">
        <v/>
      </c>
      <c r="C383" t="str">
        <v/>
      </c>
      <c r="D383" t="str">
        <v xml:space="preserve"> </v>
      </c>
      <c r="E383" s="64" t="str">
        <v xml:space="preserve"> </v>
      </c>
      <c r="F383" t="str">
        <v/>
      </c>
    </row>
    <row r="384" spans="1:6" x14ac:dyDescent="0.25">
      <c r="A384" t="str">
        <v/>
      </c>
      <c r="B384" t="str">
        <v/>
      </c>
      <c r="C384" t="str">
        <v/>
      </c>
      <c r="D384" t="str">
        <v xml:space="preserve"> </v>
      </c>
      <c r="E384" s="64" t="str">
        <v xml:space="preserve"> </v>
      </c>
      <c r="F384" t="str">
        <v/>
      </c>
    </row>
    <row r="385" spans="1:6" x14ac:dyDescent="0.25">
      <c r="A385" t="str">
        <v/>
      </c>
      <c r="B385" t="str">
        <v/>
      </c>
      <c r="C385" t="str">
        <v/>
      </c>
      <c r="D385" t="str">
        <v xml:space="preserve"> </v>
      </c>
      <c r="E385" s="64" t="str">
        <v xml:space="preserve"> </v>
      </c>
      <c r="F385" t="str">
        <v/>
      </c>
    </row>
    <row r="386" spans="1:6" x14ac:dyDescent="0.25">
      <c r="A386" t="str">
        <v/>
      </c>
      <c r="B386" t="str">
        <v/>
      </c>
      <c r="C386" t="str">
        <v/>
      </c>
      <c r="D386" t="str">
        <v xml:space="preserve"> </v>
      </c>
      <c r="E386" s="64" t="str">
        <v xml:space="preserve"> </v>
      </c>
      <c r="F386" t="str">
        <v/>
      </c>
    </row>
    <row r="387" spans="1:6" x14ac:dyDescent="0.25">
      <c r="A387" t="str">
        <v/>
      </c>
      <c r="B387" t="str">
        <v/>
      </c>
      <c r="C387" t="str">
        <v/>
      </c>
      <c r="D387" t="str">
        <v xml:space="preserve"> </v>
      </c>
      <c r="E387" s="64" t="str">
        <v xml:space="preserve"> </v>
      </c>
      <c r="F387" t="str">
        <v/>
      </c>
    </row>
    <row r="388" spans="1:6" x14ac:dyDescent="0.25">
      <c r="A388" t="str">
        <v/>
      </c>
      <c r="B388" t="str">
        <v/>
      </c>
      <c r="C388" t="str">
        <v/>
      </c>
      <c r="D388" t="str">
        <v xml:space="preserve"> </v>
      </c>
      <c r="E388" s="64" t="str">
        <v xml:space="preserve"> </v>
      </c>
      <c r="F388" t="str">
        <v/>
      </c>
    </row>
    <row r="389" spans="1:6" x14ac:dyDescent="0.25">
      <c r="A389" t="str">
        <v/>
      </c>
      <c r="B389" t="str">
        <v/>
      </c>
      <c r="C389" t="str">
        <v/>
      </c>
      <c r="D389" t="str">
        <v xml:space="preserve"> </v>
      </c>
      <c r="E389" s="64" t="str">
        <v xml:space="preserve"> </v>
      </c>
      <c r="F389" t="str">
        <v/>
      </c>
    </row>
    <row r="390" spans="1:6" x14ac:dyDescent="0.25">
      <c r="A390" t="str">
        <v/>
      </c>
      <c r="B390" t="str">
        <v/>
      </c>
      <c r="C390" t="str">
        <v/>
      </c>
      <c r="D390" t="str">
        <v xml:space="preserve"> </v>
      </c>
      <c r="E390" s="64" t="str">
        <v xml:space="preserve"> </v>
      </c>
      <c r="F390" t="str">
        <v/>
      </c>
    </row>
    <row r="391" spans="1:6" x14ac:dyDescent="0.25">
      <c r="A391" t="str">
        <v/>
      </c>
      <c r="B391" t="str">
        <v/>
      </c>
      <c r="C391" t="str">
        <v/>
      </c>
      <c r="D391" t="str">
        <v xml:space="preserve"> </v>
      </c>
      <c r="E391" s="64" t="str">
        <v xml:space="preserve"> </v>
      </c>
      <c r="F391" t="str">
        <v/>
      </c>
    </row>
    <row r="392" spans="1:6" x14ac:dyDescent="0.25">
      <c r="A392" t="str">
        <v/>
      </c>
      <c r="B392" t="str">
        <v/>
      </c>
      <c r="C392" t="str">
        <v/>
      </c>
      <c r="D392" t="str">
        <v xml:space="preserve"> </v>
      </c>
      <c r="E392" s="64" t="str">
        <v xml:space="preserve"> </v>
      </c>
      <c r="F392" t="str">
        <v/>
      </c>
    </row>
    <row r="393" spans="1:6" x14ac:dyDescent="0.25">
      <c r="A393" t="str">
        <v/>
      </c>
      <c r="B393" t="str">
        <v/>
      </c>
      <c r="C393" t="str">
        <v/>
      </c>
      <c r="D393" t="str">
        <v xml:space="preserve"> </v>
      </c>
      <c r="E393" s="64" t="str">
        <v xml:space="preserve"> </v>
      </c>
      <c r="F393" t="str">
        <v/>
      </c>
    </row>
    <row r="394" spans="1:6" x14ac:dyDescent="0.25">
      <c r="A394" t="str">
        <v/>
      </c>
      <c r="B394" t="str">
        <v/>
      </c>
      <c r="C394" t="str">
        <v/>
      </c>
      <c r="D394" t="str">
        <v xml:space="preserve"> </v>
      </c>
      <c r="E394" s="64" t="str">
        <v xml:space="preserve"> </v>
      </c>
      <c r="F394" t="str">
        <v/>
      </c>
    </row>
    <row r="395" spans="1:6" x14ac:dyDescent="0.25">
      <c r="A395" t="str">
        <v/>
      </c>
      <c r="B395" t="str">
        <v/>
      </c>
      <c r="C395" t="str">
        <v/>
      </c>
      <c r="D395" t="str">
        <v xml:space="preserve"> </v>
      </c>
      <c r="E395" s="64" t="str">
        <v xml:space="preserve"> </v>
      </c>
      <c r="F395" t="str">
        <v/>
      </c>
    </row>
    <row r="396" spans="1:6" x14ac:dyDescent="0.25">
      <c r="A396" t="str">
        <v/>
      </c>
      <c r="B396" t="str">
        <v/>
      </c>
      <c r="C396" t="str">
        <v/>
      </c>
      <c r="D396" t="str">
        <v xml:space="preserve"> </v>
      </c>
      <c r="E396" s="64" t="str">
        <v xml:space="preserve"> </v>
      </c>
      <c r="F396" t="str">
        <v/>
      </c>
    </row>
    <row r="397" spans="1:6" x14ac:dyDescent="0.25">
      <c r="A397" t="str">
        <v/>
      </c>
      <c r="B397" t="str">
        <v/>
      </c>
      <c r="C397" t="str">
        <v/>
      </c>
      <c r="D397" t="str">
        <v xml:space="preserve"> </v>
      </c>
      <c r="E397" s="64" t="str">
        <v xml:space="preserve"> </v>
      </c>
      <c r="F397" t="str">
        <v/>
      </c>
    </row>
    <row r="398" spans="1:6" x14ac:dyDescent="0.25">
      <c r="A398" t="str">
        <v/>
      </c>
      <c r="B398" t="str">
        <v/>
      </c>
      <c r="C398" t="str">
        <v/>
      </c>
      <c r="D398" t="str">
        <v xml:space="preserve"> </v>
      </c>
      <c r="E398" s="64" t="str">
        <v xml:space="preserve"> </v>
      </c>
      <c r="F398" t="str">
        <v/>
      </c>
    </row>
    <row r="399" spans="1:6" x14ac:dyDescent="0.25">
      <c r="A399" t="str">
        <v/>
      </c>
      <c r="B399" t="str">
        <v/>
      </c>
      <c r="C399" t="str">
        <v/>
      </c>
      <c r="D399" t="str">
        <v xml:space="preserve"> </v>
      </c>
      <c r="E399" s="64" t="str">
        <v xml:space="preserve"> </v>
      </c>
      <c r="F399" t="str">
        <v/>
      </c>
    </row>
    <row r="400" spans="1:6" x14ac:dyDescent="0.25">
      <c r="A400" t="str">
        <v/>
      </c>
      <c r="B400" t="str">
        <v/>
      </c>
      <c r="C400" t="str">
        <v/>
      </c>
      <c r="D400" t="str">
        <v xml:space="preserve"> </v>
      </c>
      <c r="E400" s="64" t="str">
        <v xml:space="preserve"> </v>
      </c>
      <c r="F400" t="str">
        <v/>
      </c>
    </row>
    <row r="401" spans="1:6" x14ac:dyDescent="0.25">
      <c r="A401" t="str">
        <v/>
      </c>
      <c r="B401" t="str">
        <v/>
      </c>
      <c r="C401" t="str">
        <v/>
      </c>
      <c r="D401" t="str">
        <v xml:space="preserve"> </v>
      </c>
      <c r="E401" s="64" t="str">
        <v xml:space="preserve"> </v>
      </c>
      <c r="F401" t="str">
        <v/>
      </c>
    </row>
    <row r="402" spans="1:6" x14ac:dyDescent="0.25">
      <c r="A402" t="str">
        <v/>
      </c>
      <c r="B402" t="str">
        <v/>
      </c>
      <c r="C402" t="str">
        <v/>
      </c>
      <c r="D402" t="str">
        <v xml:space="preserve"> </v>
      </c>
      <c r="E402" s="64" t="str">
        <v xml:space="preserve"> </v>
      </c>
      <c r="F402" t="str">
        <v/>
      </c>
    </row>
    <row r="403" spans="1:6" x14ac:dyDescent="0.25">
      <c r="A403" t="str">
        <v/>
      </c>
      <c r="B403" t="str">
        <v/>
      </c>
      <c r="C403" t="str">
        <v/>
      </c>
      <c r="D403" t="str">
        <v xml:space="preserve"> </v>
      </c>
      <c r="E403" s="64" t="str">
        <v xml:space="preserve"> </v>
      </c>
      <c r="F403" t="str">
        <v/>
      </c>
    </row>
    <row r="404" spans="1:6" x14ac:dyDescent="0.25">
      <c r="A404" t="str">
        <v/>
      </c>
      <c r="B404" t="str">
        <v/>
      </c>
      <c r="C404" t="str">
        <v/>
      </c>
      <c r="D404" t="str">
        <v xml:space="preserve"> </v>
      </c>
      <c r="E404" s="64" t="str">
        <v xml:space="preserve"> </v>
      </c>
      <c r="F404" t="str">
        <v/>
      </c>
    </row>
    <row r="405" spans="1:6" x14ac:dyDescent="0.25">
      <c r="A405" t="str">
        <v/>
      </c>
      <c r="B405" t="str">
        <v/>
      </c>
      <c r="C405" t="str">
        <v/>
      </c>
      <c r="D405" t="str">
        <v xml:space="preserve"> </v>
      </c>
      <c r="E405" s="64" t="str">
        <v xml:space="preserve"> </v>
      </c>
      <c r="F405" t="str">
        <v/>
      </c>
    </row>
    <row r="406" spans="1:6" x14ac:dyDescent="0.25">
      <c r="A406" t="str">
        <v/>
      </c>
      <c r="B406" t="str">
        <v/>
      </c>
      <c r="C406" t="str">
        <v/>
      </c>
      <c r="D406" t="str">
        <v xml:space="preserve"> </v>
      </c>
      <c r="E406" s="64" t="str">
        <v xml:space="preserve"> </v>
      </c>
      <c r="F406" t="str">
        <v/>
      </c>
    </row>
    <row r="407" spans="1:6" x14ac:dyDescent="0.25">
      <c r="A407" t="str">
        <v/>
      </c>
      <c r="B407" t="str">
        <v/>
      </c>
      <c r="C407" t="str">
        <v/>
      </c>
      <c r="D407" t="str">
        <v xml:space="preserve"> </v>
      </c>
      <c r="E407" s="64" t="str">
        <v xml:space="preserve"> </v>
      </c>
      <c r="F407" t="str">
        <v/>
      </c>
    </row>
    <row r="408" spans="1:6" x14ac:dyDescent="0.25">
      <c r="A408" t="str">
        <v/>
      </c>
      <c r="B408" t="str">
        <v/>
      </c>
      <c r="C408" t="str">
        <v/>
      </c>
      <c r="D408" t="str">
        <v xml:space="preserve"> </v>
      </c>
      <c r="E408" s="64" t="str">
        <v xml:space="preserve"> </v>
      </c>
      <c r="F408" t="str">
        <v/>
      </c>
    </row>
    <row r="409" spans="1:6" x14ac:dyDescent="0.25">
      <c r="A409" t="str">
        <v/>
      </c>
      <c r="B409" t="str">
        <v/>
      </c>
      <c r="C409" t="str">
        <v/>
      </c>
      <c r="D409" t="str">
        <v xml:space="preserve"> </v>
      </c>
      <c r="E409" s="64" t="str">
        <v xml:space="preserve"> </v>
      </c>
      <c r="F409" t="str">
        <v/>
      </c>
    </row>
    <row r="410" spans="1:6" x14ac:dyDescent="0.25">
      <c r="A410" t="str">
        <v/>
      </c>
      <c r="B410" t="str">
        <v/>
      </c>
      <c r="C410" t="str">
        <v/>
      </c>
      <c r="D410" t="str">
        <v xml:space="preserve"> </v>
      </c>
      <c r="E410" s="64" t="str">
        <v xml:space="preserve"> </v>
      </c>
      <c r="F410" t="str">
        <v/>
      </c>
    </row>
    <row r="411" spans="1:6" x14ac:dyDescent="0.25">
      <c r="A411" t="str">
        <v/>
      </c>
      <c r="B411" t="str">
        <v/>
      </c>
      <c r="C411" t="str">
        <v/>
      </c>
      <c r="D411" t="str">
        <v xml:space="preserve"> </v>
      </c>
      <c r="E411" s="64" t="str">
        <v xml:space="preserve"> </v>
      </c>
      <c r="F411" t="str">
        <v/>
      </c>
    </row>
    <row r="412" spans="1:6" x14ac:dyDescent="0.25">
      <c r="A412" t="str">
        <v/>
      </c>
      <c r="B412" t="str">
        <v/>
      </c>
      <c r="C412" t="str">
        <v/>
      </c>
      <c r="D412" t="str">
        <v xml:space="preserve"> </v>
      </c>
      <c r="E412" s="64" t="str">
        <v xml:space="preserve"> </v>
      </c>
      <c r="F412" t="str">
        <v/>
      </c>
    </row>
    <row r="413" spans="1:6" x14ac:dyDescent="0.25">
      <c r="A413" t="str">
        <v/>
      </c>
      <c r="B413" t="str">
        <v/>
      </c>
      <c r="C413" t="str">
        <v/>
      </c>
      <c r="D413" t="str">
        <v xml:space="preserve"> </v>
      </c>
      <c r="E413" s="64" t="str">
        <v xml:space="preserve"> </v>
      </c>
      <c r="F413" t="str">
        <v/>
      </c>
    </row>
    <row r="414" spans="1:6" x14ac:dyDescent="0.25">
      <c r="A414" t="str">
        <v/>
      </c>
      <c r="B414" t="str">
        <v/>
      </c>
      <c r="C414" t="str">
        <v/>
      </c>
      <c r="D414" t="str">
        <v xml:space="preserve"> </v>
      </c>
      <c r="E414" s="64" t="str">
        <v xml:space="preserve"> </v>
      </c>
      <c r="F414" t="str">
        <v/>
      </c>
    </row>
    <row r="415" spans="1:6" x14ac:dyDescent="0.25">
      <c r="A415" t="str">
        <v/>
      </c>
      <c r="B415" t="str">
        <v/>
      </c>
      <c r="C415" t="str">
        <v/>
      </c>
      <c r="D415" t="str">
        <v xml:space="preserve"> </v>
      </c>
      <c r="E415" s="64" t="str">
        <v xml:space="preserve"> </v>
      </c>
      <c r="F415" t="str">
        <v/>
      </c>
    </row>
    <row r="416" spans="1:6" x14ac:dyDescent="0.25">
      <c r="A416" t="str">
        <v/>
      </c>
      <c r="B416" t="str">
        <v/>
      </c>
      <c r="C416" t="str">
        <v/>
      </c>
      <c r="D416" t="str">
        <v xml:space="preserve"> </v>
      </c>
      <c r="E416" s="64" t="str">
        <v xml:space="preserve"> </v>
      </c>
      <c r="F416" t="str">
        <v/>
      </c>
    </row>
    <row r="417" spans="1:6" x14ac:dyDescent="0.25">
      <c r="A417" t="str">
        <v/>
      </c>
      <c r="B417" t="str">
        <v/>
      </c>
      <c r="C417" t="str">
        <v/>
      </c>
      <c r="D417" t="str">
        <v xml:space="preserve"> </v>
      </c>
      <c r="E417" s="64" t="str">
        <v xml:space="preserve"> </v>
      </c>
      <c r="F417" t="str">
        <v/>
      </c>
    </row>
    <row r="418" spans="1:6" x14ac:dyDescent="0.25">
      <c r="A418" t="str">
        <v/>
      </c>
      <c r="B418" t="str">
        <v/>
      </c>
      <c r="C418" t="str">
        <v/>
      </c>
      <c r="D418" t="str">
        <v xml:space="preserve"> </v>
      </c>
      <c r="E418" s="64" t="str">
        <v xml:space="preserve"> </v>
      </c>
      <c r="F418" t="str">
        <v/>
      </c>
    </row>
    <row r="419" spans="1:6" x14ac:dyDescent="0.25">
      <c r="A419" t="str">
        <v/>
      </c>
      <c r="B419" t="str">
        <v/>
      </c>
      <c r="C419" t="str">
        <v/>
      </c>
      <c r="D419" t="str">
        <v xml:space="preserve"> </v>
      </c>
      <c r="E419" s="64" t="str">
        <v xml:space="preserve"> </v>
      </c>
      <c r="F419" t="str">
        <v/>
      </c>
    </row>
    <row r="420" spans="1:6" x14ac:dyDescent="0.25">
      <c r="A420" t="str">
        <v/>
      </c>
      <c r="B420" t="str">
        <v/>
      </c>
      <c r="C420" t="str">
        <v/>
      </c>
      <c r="D420" t="str">
        <v xml:space="preserve"> </v>
      </c>
      <c r="E420" s="64" t="str">
        <v xml:space="preserve"> </v>
      </c>
      <c r="F420" t="str">
        <v/>
      </c>
    </row>
    <row r="421" spans="1:6" x14ac:dyDescent="0.25">
      <c r="A421" t="str">
        <v/>
      </c>
      <c r="B421" t="str">
        <v/>
      </c>
      <c r="C421" t="str">
        <v/>
      </c>
      <c r="D421" t="str">
        <v xml:space="preserve"> </v>
      </c>
      <c r="E421" s="64" t="str">
        <v xml:space="preserve"> </v>
      </c>
      <c r="F421" t="str">
        <v/>
      </c>
    </row>
    <row r="422" spans="1:6" x14ac:dyDescent="0.25">
      <c r="A422" t="str">
        <v/>
      </c>
      <c r="B422" t="str">
        <v/>
      </c>
      <c r="C422" t="str">
        <v/>
      </c>
      <c r="D422" t="str">
        <v xml:space="preserve"> </v>
      </c>
      <c r="E422" s="64" t="str">
        <v xml:space="preserve"> </v>
      </c>
      <c r="F422" t="str">
        <v/>
      </c>
    </row>
    <row r="423" spans="1:6" x14ac:dyDescent="0.25">
      <c r="A423" t="str">
        <v/>
      </c>
      <c r="B423" t="str">
        <v/>
      </c>
      <c r="C423" t="str">
        <v/>
      </c>
      <c r="D423" t="str">
        <v xml:space="preserve"> </v>
      </c>
      <c r="E423" s="64" t="str">
        <v xml:space="preserve"> </v>
      </c>
      <c r="F423" t="str">
        <v/>
      </c>
    </row>
    <row r="424" spans="1:6" x14ac:dyDescent="0.25">
      <c r="A424" t="str">
        <v/>
      </c>
      <c r="B424" t="str">
        <v/>
      </c>
      <c r="C424" t="str">
        <v/>
      </c>
      <c r="D424" t="str">
        <v xml:space="preserve"> </v>
      </c>
      <c r="E424" s="64" t="str">
        <v xml:space="preserve"> </v>
      </c>
      <c r="F424" t="str">
        <v/>
      </c>
    </row>
    <row r="425" spans="1:6" x14ac:dyDescent="0.25">
      <c r="A425" t="str">
        <v/>
      </c>
      <c r="B425" t="str">
        <v/>
      </c>
      <c r="C425" t="str">
        <v/>
      </c>
      <c r="D425" t="str">
        <v xml:space="preserve"> </v>
      </c>
      <c r="E425" s="64" t="str">
        <v xml:space="preserve"> </v>
      </c>
      <c r="F425" t="str">
        <v/>
      </c>
    </row>
    <row r="426" spans="1:6" x14ac:dyDescent="0.25">
      <c r="A426" t="str">
        <v/>
      </c>
      <c r="B426" t="str">
        <v/>
      </c>
      <c r="C426" t="str">
        <v/>
      </c>
      <c r="D426" t="str">
        <v xml:space="preserve"> </v>
      </c>
      <c r="E426" s="64" t="str">
        <v xml:space="preserve"> </v>
      </c>
      <c r="F426" t="str">
        <v/>
      </c>
    </row>
    <row r="427" spans="1:6" x14ac:dyDescent="0.25">
      <c r="A427" t="str">
        <v/>
      </c>
      <c r="B427" t="str">
        <v/>
      </c>
      <c r="C427" t="str">
        <v/>
      </c>
      <c r="D427" t="str">
        <v xml:space="preserve"> </v>
      </c>
      <c r="E427" s="64" t="str">
        <v xml:space="preserve"> </v>
      </c>
      <c r="F427" t="str">
        <v/>
      </c>
    </row>
    <row r="428" spans="1:6" x14ac:dyDescent="0.25">
      <c r="A428" t="str">
        <v/>
      </c>
      <c r="B428" t="str">
        <v/>
      </c>
      <c r="C428" t="str">
        <v/>
      </c>
      <c r="D428" t="str">
        <v xml:space="preserve"> </v>
      </c>
      <c r="E428" s="64" t="str">
        <v xml:space="preserve"> </v>
      </c>
      <c r="F428" t="str">
        <v/>
      </c>
    </row>
    <row r="429" spans="1:6" x14ac:dyDescent="0.25">
      <c r="A429" t="str">
        <v/>
      </c>
      <c r="B429" t="str">
        <v/>
      </c>
      <c r="C429" t="str">
        <v/>
      </c>
      <c r="D429" t="str">
        <v xml:space="preserve"> </v>
      </c>
      <c r="E429" s="64" t="str">
        <v xml:space="preserve"> </v>
      </c>
      <c r="F429" t="str">
        <v/>
      </c>
    </row>
    <row r="430" spans="1:6" x14ac:dyDescent="0.25">
      <c r="A430" t="str">
        <v/>
      </c>
      <c r="B430" t="str">
        <v/>
      </c>
      <c r="C430" t="str">
        <v/>
      </c>
      <c r="D430" t="str">
        <v xml:space="preserve"> </v>
      </c>
      <c r="E430" s="64" t="str">
        <v xml:space="preserve"> </v>
      </c>
      <c r="F430" t="str">
        <v/>
      </c>
    </row>
    <row r="431" spans="1:6" x14ac:dyDescent="0.25">
      <c r="A431" t="str">
        <v/>
      </c>
      <c r="B431" t="str">
        <v/>
      </c>
      <c r="C431" t="str">
        <v/>
      </c>
      <c r="D431" t="str">
        <v xml:space="preserve"> </v>
      </c>
      <c r="E431" s="64" t="str">
        <v xml:space="preserve"> </v>
      </c>
      <c r="F431" t="str">
        <v/>
      </c>
    </row>
    <row r="432" spans="1:6" x14ac:dyDescent="0.25">
      <c r="A432" t="str">
        <v/>
      </c>
      <c r="B432" t="str">
        <v/>
      </c>
      <c r="C432" t="str">
        <v/>
      </c>
      <c r="D432" t="str">
        <v xml:space="preserve"> </v>
      </c>
      <c r="E432" s="64" t="str">
        <v xml:space="preserve"> </v>
      </c>
      <c r="F432" t="str">
        <v/>
      </c>
    </row>
    <row r="433" spans="1:6" x14ac:dyDescent="0.25">
      <c r="A433" t="str">
        <v/>
      </c>
      <c r="B433" t="str">
        <v/>
      </c>
      <c r="C433" t="str">
        <v/>
      </c>
      <c r="D433" t="str">
        <v xml:space="preserve"> </v>
      </c>
      <c r="E433" s="64" t="str">
        <v xml:space="preserve"> </v>
      </c>
      <c r="F433" t="str">
        <v/>
      </c>
    </row>
    <row r="434" spans="1:6" x14ac:dyDescent="0.25">
      <c r="A434" t="str">
        <v/>
      </c>
      <c r="B434" t="str">
        <v/>
      </c>
      <c r="C434" t="str">
        <v/>
      </c>
      <c r="D434" t="str">
        <v xml:space="preserve"> </v>
      </c>
      <c r="E434" s="64" t="str">
        <v xml:space="preserve"> </v>
      </c>
      <c r="F434" t="str">
        <v/>
      </c>
    </row>
    <row r="435" spans="1:6" x14ac:dyDescent="0.25">
      <c r="A435" t="str">
        <v/>
      </c>
      <c r="B435" t="str">
        <v/>
      </c>
      <c r="C435" t="str">
        <v/>
      </c>
      <c r="D435" t="str">
        <v xml:space="preserve"> </v>
      </c>
      <c r="E435" s="64" t="str">
        <v xml:space="preserve"> </v>
      </c>
      <c r="F435" t="str">
        <v/>
      </c>
    </row>
    <row r="436" spans="1:6" x14ac:dyDescent="0.25">
      <c r="A436" t="str">
        <v/>
      </c>
      <c r="B436" t="str">
        <v/>
      </c>
      <c r="C436" t="str">
        <v/>
      </c>
      <c r="D436" t="str">
        <v xml:space="preserve"> </v>
      </c>
      <c r="E436" s="64" t="str">
        <v xml:space="preserve"> </v>
      </c>
      <c r="F436" t="str">
        <v/>
      </c>
    </row>
    <row r="437" spans="1:6" x14ac:dyDescent="0.25">
      <c r="A437" t="str">
        <v/>
      </c>
      <c r="B437" t="str">
        <v/>
      </c>
      <c r="C437" t="str">
        <v/>
      </c>
      <c r="D437" t="str">
        <v xml:space="preserve"> </v>
      </c>
      <c r="E437" s="64" t="str">
        <v xml:space="preserve"> </v>
      </c>
      <c r="F437" t="str">
        <v/>
      </c>
    </row>
    <row r="438" spans="1:6" x14ac:dyDescent="0.25">
      <c r="A438" t="str">
        <v/>
      </c>
      <c r="B438" t="str">
        <v/>
      </c>
      <c r="C438" t="str">
        <v/>
      </c>
      <c r="D438" t="str">
        <v xml:space="preserve"> </v>
      </c>
      <c r="E438" s="64" t="str">
        <v xml:space="preserve"> </v>
      </c>
      <c r="F438" t="str">
        <v/>
      </c>
    </row>
    <row r="439" spans="1:6" x14ac:dyDescent="0.25">
      <c r="A439" t="str">
        <v/>
      </c>
      <c r="B439" t="str">
        <v/>
      </c>
      <c r="C439" t="str">
        <v/>
      </c>
      <c r="D439" t="str">
        <v xml:space="preserve"> </v>
      </c>
      <c r="E439" s="64" t="str">
        <v xml:space="preserve"> </v>
      </c>
      <c r="F439" t="str">
        <v/>
      </c>
    </row>
    <row r="440" spans="1:6" x14ac:dyDescent="0.25">
      <c r="A440" t="str">
        <v/>
      </c>
      <c r="B440" t="str">
        <v/>
      </c>
      <c r="C440" t="str">
        <v/>
      </c>
      <c r="D440" t="str">
        <v xml:space="preserve"> </v>
      </c>
      <c r="E440" s="64" t="str">
        <v xml:space="preserve"> </v>
      </c>
      <c r="F440" t="str">
        <v/>
      </c>
    </row>
    <row r="441" spans="1:6" x14ac:dyDescent="0.25">
      <c r="A441" t="str">
        <v/>
      </c>
      <c r="B441" t="str">
        <v/>
      </c>
      <c r="C441" t="str">
        <v/>
      </c>
      <c r="D441" t="str">
        <v xml:space="preserve"> </v>
      </c>
      <c r="E441" s="64" t="str">
        <v xml:space="preserve"> </v>
      </c>
      <c r="F441" t="str">
        <v/>
      </c>
    </row>
    <row r="442" spans="1:6" x14ac:dyDescent="0.25">
      <c r="A442" t="str">
        <v/>
      </c>
      <c r="B442" t="str">
        <v/>
      </c>
      <c r="C442" t="str">
        <v/>
      </c>
      <c r="D442" t="str">
        <v xml:space="preserve"> </v>
      </c>
      <c r="E442" s="64" t="str">
        <v xml:space="preserve"> </v>
      </c>
      <c r="F442" t="str">
        <v/>
      </c>
    </row>
    <row r="443" spans="1:6" x14ac:dyDescent="0.25">
      <c r="A443" t="str">
        <v/>
      </c>
      <c r="B443" t="str">
        <v/>
      </c>
      <c r="C443" t="str">
        <v/>
      </c>
      <c r="D443" t="str">
        <v xml:space="preserve"> </v>
      </c>
      <c r="E443" s="64" t="str">
        <v xml:space="preserve"> </v>
      </c>
      <c r="F443" t="str">
        <v/>
      </c>
    </row>
    <row r="444" spans="1:6" x14ac:dyDescent="0.25">
      <c r="A444" t="str">
        <v/>
      </c>
      <c r="B444" t="str">
        <v/>
      </c>
      <c r="C444" t="str">
        <v/>
      </c>
      <c r="D444" t="str">
        <v xml:space="preserve"> </v>
      </c>
      <c r="E444" s="64" t="str">
        <v xml:space="preserve"> </v>
      </c>
      <c r="F444" t="str">
        <v/>
      </c>
    </row>
    <row r="445" spans="1:6" x14ac:dyDescent="0.25">
      <c r="A445" t="str">
        <v/>
      </c>
      <c r="B445" t="str">
        <v/>
      </c>
      <c r="C445" t="str">
        <v/>
      </c>
      <c r="D445" t="str">
        <v xml:space="preserve"> </v>
      </c>
      <c r="E445" s="64" t="str">
        <v xml:space="preserve"> </v>
      </c>
      <c r="F445" t="str">
        <v/>
      </c>
    </row>
    <row r="446" spans="1:6" x14ac:dyDescent="0.25">
      <c r="A446" t="str">
        <v/>
      </c>
      <c r="B446" t="str">
        <v/>
      </c>
      <c r="C446" t="str">
        <v/>
      </c>
      <c r="D446" t="str">
        <v xml:space="preserve"> </v>
      </c>
      <c r="E446" s="64" t="str">
        <v xml:space="preserve"> </v>
      </c>
      <c r="F446" t="str">
        <v/>
      </c>
    </row>
    <row r="447" spans="1:6" x14ac:dyDescent="0.25">
      <c r="A447" t="str">
        <v/>
      </c>
      <c r="B447" t="str">
        <v/>
      </c>
      <c r="C447" t="str">
        <v/>
      </c>
      <c r="D447" t="str">
        <v xml:space="preserve"> </v>
      </c>
      <c r="E447" s="64" t="str">
        <v xml:space="preserve"> </v>
      </c>
      <c r="F447" t="str">
        <v/>
      </c>
    </row>
    <row r="448" spans="1:6" x14ac:dyDescent="0.25">
      <c r="A448" t="str">
        <v/>
      </c>
      <c r="B448" t="str">
        <v/>
      </c>
      <c r="C448" t="str">
        <v/>
      </c>
      <c r="D448" t="str">
        <v xml:space="preserve"> </v>
      </c>
      <c r="E448" s="64" t="str">
        <v xml:space="preserve"> </v>
      </c>
      <c r="F448" t="str">
        <v/>
      </c>
    </row>
    <row r="449" spans="1:6" x14ac:dyDescent="0.25">
      <c r="A449" t="str">
        <v/>
      </c>
      <c r="B449" t="str">
        <v/>
      </c>
      <c r="C449" t="str">
        <v/>
      </c>
      <c r="D449" t="str">
        <v xml:space="preserve"> </v>
      </c>
      <c r="E449" s="64" t="str">
        <v xml:space="preserve"> </v>
      </c>
      <c r="F449" t="str">
        <v/>
      </c>
    </row>
    <row r="450" spans="1:6" x14ac:dyDescent="0.25">
      <c r="A450" t="str">
        <v/>
      </c>
      <c r="B450" t="str">
        <v/>
      </c>
      <c r="C450" t="str">
        <v/>
      </c>
      <c r="D450" t="str">
        <v xml:space="preserve"> </v>
      </c>
      <c r="E450" s="64" t="str">
        <v xml:space="preserve"> </v>
      </c>
      <c r="F450" t="str">
        <v/>
      </c>
    </row>
    <row r="451" spans="1:6" x14ac:dyDescent="0.25">
      <c r="A451" t="str">
        <v/>
      </c>
      <c r="B451" t="str">
        <v/>
      </c>
      <c r="C451" t="str">
        <v/>
      </c>
      <c r="D451" t="str">
        <v xml:space="preserve"> </v>
      </c>
      <c r="E451" s="64" t="str">
        <v xml:space="preserve"> </v>
      </c>
      <c r="F451" t="str">
        <v/>
      </c>
    </row>
    <row r="452" spans="1:6" x14ac:dyDescent="0.25">
      <c r="A452" t="str">
        <v/>
      </c>
      <c r="B452" t="str">
        <v/>
      </c>
      <c r="C452" t="str">
        <v/>
      </c>
      <c r="D452" t="str">
        <v xml:space="preserve"> </v>
      </c>
      <c r="E452" s="64" t="str">
        <v xml:space="preserve"> </v>
      </c>
      <c r="F452" t="str">
        <v/>
      </c>
    </row>
    <row r="453" spans="1:6" x14ac:dyDescent="0.25">
      <c r="A453" t="str">
        <v/>
      </c>
      <c r="B453" t="str">
        <v/>
      </c>
      <c r="C453" t="str">
        <v/>
      </c>
      <c r="D453" t="str">
        <v xml:space="preserve"> </v>
      </c>
      <c r="E453" s="64" t="str">
        <v xml:space="preserve"> </v>
      </c>
      <c r="F453" t="str">
        <v/>
      </c>
    </row>
    <row r="454" spans="1:6" x14ac:dyDescent="0.25">
      <c r="A454" t="str">
        <v/>
      </c>
      <c r="B454" t="str">
        <v/>
      </c>
      <c r="C454" t="str">
        <v/>
      </c>
      <c r="D454" t="str">
        <v xml:space="preserve"> </v>
      </c>
      <c r="E454" s="64" t="str">
        <v xml:space="preserve"> </v>
      </c>
      <c r="F454" t="str">
        <v/>
      </c>
    </row>
    <row r="455" spans="1:6" x14ac:dyDescent="0.25">
      <c r="A455" t="str">
        <v/>
      </c>
      <c r="B455" t="str">
        <v/>
      </c>
      <c r="C455" t="str">
        <v/>
      </c>
      <c r="D455" t="str">
        <v xml:space="preserve"> </v>
      </c>
      <c r="E455" s="64" t="str">
        <v xml:space="preserve"> </v>
      </c>
      <c r="F455" t="str">
        <v/>
      </c>
    </row>
    <row r="456" spans="1:6" x14ac:dyDescent="0.25">
      <c r="A456" t="str">
        <v/>
      </c>
      <c r="B456" t="str">
        <v/>
      </c>
      <c r="C456" t="str">
        <v/>
      </c>
      <c r="D456" t="str">
        <v xml:space="preserve"> </v>
      </c>
      <c r="E456" s="64" t="str">
        <v xml:space="preserve"> </v>
      </c>
      <c r="F456" t="str">
        <v/>
      </c>
    </row>
    <row r="457" spans="1:6" x14ac:dyDescent="0.25">
      <c r="A457" t="str">
        <v/>
      </c>
      <c r="B457" t="str">
        <v/>
      </c>
      <c r="C457" t="str">
        <v/>
      </c>
      <c r="D457" t="str">
        <v xml:space="preserve"> </v>
      </c>
      <c r="E457" s="64" t="str">
        <v xml:space="preserve"> </v>
      </c>
      <c r="F457" t="str">
        <v/>
      </c>
    </row>
    <row r="458" spans="1:6" x14ac:dyDescent="0.25">
      <c r="A458" t="str">
        <v/>
      </c>
      <c r="B458" t="str">
        <v/>
      </c>
      <c r="C458" t="str">
        <v/>
      </c>
      <c r="D458" t="str">
        <v xml:space="preserve"> </v>
      </c>
      <c r="E458" s="64" t="str">
        <v xml:space="preserve"> </v>
      </c>
      <c r="F458" t="str">
        <v/>
      </c>
    </row>
    <row r="459" spans="1:6" x14ac:dyDescent="0.25">
      <c r="A459" t="str">
        <v/>
      </c>
      <c r="B459" t="str">
        <v/>
      </c>
      <c r="C459" t="str">
        <v/>
      </c>
      <c r="D459" t="str">
        <v xml:space="preserve"> </v>
      </c>
      <c r="E459" s="64" t="str">
        <v xml:space="preserve"> </v>
      </c>
      <c r="F459" t="str">
        <v/>
      </c>
    </row>
    <row r="460" spans="1:6" x14ac:dyDescent="0.25">
      <c r="A460" t="str">
        <v/>
      </c>
      <c r="B460" t="str">
        <v/>
      </c>
      <c r="C460" t="str">
        <v/>
      </c>
      <c r="D460" t="str">
        <v xml:space="preserve"> </v>
      </c>
      <c r="E460" s="64" t="str">
        <v xml:space="preserve"> </v>
      </c>
      <c r="F460" t="str">
        <v/>
      </c>
    </row>
    <row r="461" spans="1:6" x14ac:dyDescent="0.25">
      <c r="A461" t="str">
        <v/>
      </c>
      <c r="B461" t="str">
        <v/>
      </c>
      <c r="C461" t="str">
        <v/>
      </c>
      <c r="D461" t="str">
        <v xml:space="preserve"> </v>
      </c>
      <c r="E461" s="64" t="str">
        <v xml:space="preserve"> </v>
      </c>
      <c r="F461" t="str">
        <v/>
      </c>
    </row>
    <row r="462" spans="1:6" x14ac:dyDescent="0.25">
      <c r="A462" t="str">
        <v/>
      </c>
      <c r="B462" t="str">
        <v/>
      </c>
      <c r="C462" t="str">
        <v/>
      </c>
      <c r="D462" t="str">
        <v xml:space="preserve"> </v>
      </c>
      <c r="E462" s="64" t="str">
        <v xml:space="preserve"> </v>
      </c>
      <c r="F462" t="str">
        <v/>
      </c>
    </row>
    <row r="463" spans="1:6" x14ac:dyDescent="0.25">
      <c r="A463" t="str">
        <v/>
      </c>
      <c r="B463" t="str">
        <v/>
      </c>
      <c r="C463" t="str">
        <v/>
      </c>
      <c r="D463" t="str">
        <v xml:space="preserve"> </v>
      </c>
      <c r="E463" s="64" t="str">
        <v xml:space="preserve"> </v>
      </c>
      <c r="F463" t="str">
        <v/>
      </c>
    </row>
    <row r="464" spans="1:6" x14ac:dyDescent="0.25">
      <c r="A464" t="str">
        <v/>
      </c>
      <c r="B464" t="str">
        <v/>
      </c>
      <c r="C464" t="str">
        <v/>
      </c>
      <c r="D464" t="str">
        <v xml:space="preserve"> </v>
      </c>
      <c r="E464" s="64" t="str">
        <v xml:space="preserve"> </v>
      </c>
      <c r="F464" t="str">
        <v/>
      </c>
    </row>
    <row r="465" spans="1:6" x14ac:dyDescent="0.25">
      <c r="A465" t="str">
        <v/>
      </c>
      <c r="B465" t="str">
        <v/>
      </c>
      <c r="C465" t="str">
        <v/>
      </c>
      <c r="D465" t="str">
        <v xml:space="preserve"> </v>
      </c>
      <c r="E465" s="64" t="str">
        <v xml:space="preserve"> </v>
      </c>
      <c r="F465" t="str">
        <v/>
      </c>
    </row>
    <row r="466" spans="1:6" x14ac:dyDescent="0.25">
      <c r="A466" t="str">
        <v/>
      </c>
      <c r="B466" t="str">
        <v/>
      </c>
      <c r="C466" t="str">
        <v/>
      </c>
      <c r="D466" t="str">
        <v xml:space="preserve"> </v>
      </c>
      <c r="E466" s="64" t="str">
        <v xml:space="preserve"> </v>
      </c>
      <c r="F466" t="str">
        <v/>
      </c>
    </row>
    <row r="467" spans="1:6" x14ac:dyDescent="0.25">
      <c r="A467" t="str">
        <v/>
      </c>
      <c r="B467" t="str">
        <v/>
      </c>
      <c r="C467" t="str">
        <v/>
      </c>
      <c r="D467" t="str">
        <v xml:space="preserve"> </v>
      </c>
      <c r="E467" s="64" t="str">
        <v xml:space="preserve"> </v>
      </c>
      <c r="F467" t="str">
        <v/>
      </c>
    </row>
    <row r="468" spans="1:6" x14ac:dyDescent="0.25">
      <c r="A468" t="str">
        <v/>
      </c>
      <c r="B468" t="str">
        <v/>
      </c>
      <c r="C468" t="str">
        <v/>
      </c>
      <c r="D468" t="str">
        <v xml:space="preserve"> </v>
      </c>
      <c r="E468" s="64" t="str">
        <v xml:space="preserve"> </v>
      </c>
      <c r="F468" t="str">
        <v/>
      </c>
    </row>
    <row r="469" spans="1:6" x14ac:dyDescent="0.25">
      <c r="A469" t="str">
        <v/>
      </c>
      <c r="B469" t="str">
        <v/>
      </c>
      <c r="C469" t="str">
        <v/>
      </c>
      <c r="D469" t="str">
        <v xml:space="preserve"> </v>
      </c>
      <c r="E469" s="64" t="str">
        <v xml:space="preserve"> </v>
      </c>
      <c r="F469" t="str">
        <v/>
      </c>
    </row>
    <row r="470" spans="1:6" x14ac:dyDescent="0.25">
      <c r="A470" t="str">
        <v/>
      </c>
      <c r="B470" t="str">
        <v/>
      </c>
      <c r="C470" t="str">
        <v/>
      </c>
      <c r="D470" t="str">
        <v xml:space="preserve"> </v>
      </c>
      <c r="E470" s="64" t="str">
        <v xml:space="preserve"> </v>
      </c>
      <c r="F470" t="str">
        <v/>
      </c>
    </row>
    <row r="471" spans="1:6" x14ac:dyDescent="0.25">
      <c r="A471" t="str">
        <v/>
      </c>
      <c r="B471" t="str">
        <v/>
      </c>
      <c r="C471" t="str">
        <v/>
      </c>
      <c r="D471" t="str">
        <v xml:space="preserve"> </v>
      </c>
      <c r="E471" s="64" t="str">
        <v xml:space="preserve"> </v>
      </c>
      <c r="F471" t="str">
        <v/>
      </c>
    </row>
    <row r="472" spans="1:6" x14ac:dyDescent="0.25">
      <c r="A472" t="str">
        <v/>
      </c>
      <c r="B472" t="str">
        <v/>
      </c>
      <c r="C472" t="str">
        <v/>
      </c>
      <c r="D472" t="str">
        <v xml:space="preserve"> </v>
      </c>
      <c r="E472" s="64" t="str">
        <v xml:space="preserve"> </v>
      </c>
      <c r="F472" t="str">
        <v/>
      </c>
    </row>
    <row r="473" spans="1:6" x14ac:dyDescent="0.25">
      <c r="A473" t="str">
        <v/>
      </c>
      <c r="B473" t="str">
        <v/>
      </c>
      <c r="C473" t="str">
        <v/>
      </c>
      <c r="D473" t="str">
        <v xml:space="preserve"> </v>
      </c>
      <c r="E473" s="64" t="str">
        <v xml:space="preserve"> </v>
      </c>
      <c r="F473" t="str">
        <v/>
      </c>
    </row>
    <row r="474" spans="1:6" x14ac:dyDescent="0.25">
      <c r="A474" t="str">
        <v/>
      </c>
      <c r="B474" t="str">
        <v/>
      </c>
      <c r="C474" t="str">
        <v/>
      </c>
      <c r="D474" t="str">
        <v xml:space="preserve"> </v>
      </c>
      <c r="E474" s="64" t="str">
        <v xml:space="preserve"> </v>
      </c>
      <c r="F474" t="str">
        <v/>
      </c>
    </row>
    <row r="475" spans="1:6" x14ac:dyDescent="0.25">
      <c r="A475" t="str">
        <v/>
      </c>
      <c r="B475" t="str">
        <v/>
      </c>
      <c r="C475" t="str">
        <v/>
      </c>
      <c r="D475" t="str">
        <v xml:space="preserve"> </v>
      </c>
      <c r="E475" s="64" t="str">
        <v xml:space="preserve"> </v>
      </c>
      <c r="F475" t="str">
        <v/>
      </c>
    </row>
    <row r="476" spans="1:6" x14ac:dyDescent="0.25">
      <c r="A476" t="str">
        <v/>
      </c>
      <c r="B476" t="str">
        <v/>
      </c>
      <c r="C476" t="str">
        <v/>
      </c>
      <c r="D476" t="str">
        <v xml:space="preserve"> </v>
      </c>
      <c r="E476" s="64" t="str">
        <v xml:space="preserve"> </v>
      </c>
      <c r="F476" t="str">
        <v/>
      </c>
    </row>
    <row r="477" spans="1:6" x14ac:dyDescent="0.25">
      <c r="A477" t="str">
        <v/>
      </c>
      <c r="B477" t="str">
        <v/>
      </c>
      <c r="C477" t="str">
        <v/>
      </c>
      <c r="D477" t="str">
        <v xml:space="preserve"> </v>
      </c>
      <c r="E477" s="64" t="str">
        <v xml:space="preserve"> </v>
      </c>
      <c r="F477" t="str">
        <v/>
      </c>
    </row>
    <row r="478" spans="1:6" x14ac:dyDescent="0.25">
      <c r="A478" t="str">
        <v/>
      </c>
      <c r="B478" t="str">
        <v/>
      </c>
      <c r="C478" t="str">
        <v/>
      </c>
      <c r="D478" t="str">
        <v xml:space="preserve"> </v>
      </c>
      <c r="E478" s="64" t="str">
        <v xml:space="preserve"> </v>
      </c>
      <c r="F478" t="str">
        <v/>
      </c>
    </row>
    <row r="479" spans="1:6" x14ac:dyDescent="0.25">
      <c r="A479" t="str">
        <v/>
      </c>
      <c r="B479" t="str">
        <v/>
      </c>
      <c r="C479" t="str">
        <v/>
      </c>
      <c r="D479" t="str">
        <v xml:space="preserve"> </v>
      </c>
      <c r="E479" s="64" t="str">
        <v xml:space="preserve"> </v>
      </c>
      <c r="F479" t="str">
        <v/>
      </c>
    </row>
    <row r="480" spans="1:6" x14ac:dyDescent="0.25">
      <c r="A480" t="str">
        <v/>
      </c>
      <c r="B480" t="str">
        <v/>
      </c>
      <c r="C480" t="str">
        <v/>
      </c>
      <c r="D480" t="str">
        <v xml:space="preserve"> </v>
      </c>
      <c r="E480" s="64" t="str">
        <v xml:space="preserve"> </v>
      </c>
      <c r="F480" t="str">
        <v/>
      </c>
    </row>
    <row r="481" spans="1:6" x14ac:dyDescent="0.25">
      <c r="A481" t="str">
        <v/>
      </c>
      <c r="B481" t="str">
        <v/>
      </c>
      <c r="C481" t="str">
        <v/>
      </c>
      <c r="D481" t="str">
        <v xml:space="preserve"> </v>
      </c>
      <c r="E481" s="64" t="str">
        <v xml:space="preserve"> </v>
      </c>
      <c r="F481" t="str">
        <v/>
      </c>
    </row>
    <row r="482" spans="1:6" x14ac:dyDescent="0.25">
      <c r="A482" t="str">
        <v/>
      </c>
      <c r="B482" t="str">
        <v/>
      </c>
      <c r="C482" t="str">
        <v/>
      </c>
      <c r="D482" t="str">
        <v xml:space="preserve"> </v>
      </c>
      <c r="E482" s="64" t="str">
        <v xml:space="preserve"> </v>
      </c>
      <c r="F482" t="str">
        <v/>
      </c>
    </row>
    <row r="483" spans="1:6" x14ac:dyDescent="0.25">
      <c r="A483" t="str">
        <v/>
      </c>
      <c r="B483" t="str">
        <v/>
      </c>
      <c r="C483" t="str">
        <v/>
      </c>
      <c r="D483" t="str">
        <v xml:space="preserve"> </v>
      </c>
      <c r="E483" s="64" t="str">
        <v xml:space="preserve"> </v>
      </c>
      <c r="F483" t="str">
        <v/>
      </c>
    </row>
    <row r="484" spans="1:6" x14ac:dyDescent="0.25">
      <c r="A484" t="str">
        <v/>
      </c>
      <c r="B484" t="str">
        <v/>
      </c>
      <c r="C484" t="str">
        <v/>
      </c>
      <c r="D484" t="str">
        <v xml:space="preserve"> </v>
      </c>
      <c r="E484" s="64" t="str">
        <v xml:space="preserve"> </v>
      </c>
      <c r="F484" t="str">
        <v/>
      </c>
    </row>
    <row r="485" spans="1:6" x14ac:dyDescent="0.25">
      <c r="A485" t="str">
        <v/>
      </c>
      <c r="B485" t="str">
        <v/>
      </c>
      <c r="C485" t="str">
        <v/>
      </c>
      <c r="D485" t="str">
        <v xml:space="preserve"> </v>
      </c>
      <c r="E485" s="64" t="str">
        <v xml:space="preserve"> </v>
      </c>
      <c r="F485" t="str">
        <v/>
      </c>
    </row>
    <row r="486" spans="1:6" x14ac:dyDescent="0.25">
      <c r="A486" t="str">
        <v/>
      </c>
      <c r="B486" t="str">
        <v/>
      </c>
      <c r="C486" t="str">
        <v/>
      </c>
      <c r="D486" t="str">
        <v xml:space="preserve"> </v>
      </c>
      <c r="E486" s="64" t="str">
        <v xml:space="preserve"> </v>
      </c>
      <c r="F486" t="str">
        <v/>
      </c>
    </row>
    <row r="487" spans="1:6" x14ac:dyDescent="0.25">
      <c r="A487" t="str">
        <v/>
      </c>
      <c r="B487" t="str">
        <v/>
      </c>
      <c r="C487" t="str">
        <v/>
      </c>
      <c r="D487" t="str">
        <v xml:space="preserve"> </v>
      </c>
      <c r="E487" s="64" t="str">
        <v xml:space="preserve"> </v>
      </c>
      <c r="F487" t="str">
        <v/>
      </c>
    </row>
    <row r="488" spans="1:6" x14ac:dyDescent="0.25">
      <c r="A488" t="str">
        <v/>
      </c>
      <c r="B488" t="str">
        <v/>
      </c>
      <c r="C488" t="str">
        <v/>
      </c>
      <c r="D488" t="str">
        <v xml:space="preserve"> </v>
      </c>
      <c r="E488" s="64" t="str">
        <v xml:space="preserve"> </v>
      </c>
      <c r="F488" t="str">
        <v/>
      </c>
    </row>
    <row r="489" spans="1:6" x14ac:dyDescent="0.25">
      <c r="A489" t="str">
        <v/>
      </c>
      <c r="B489" t="str">
        <v/>
      </c>
      <c r="C489" t="str">
        <v/>
      </c>
      <c r="D489" t="str">
        <v xml:space="preserve"> </v>
      </c>
      <c r="E489" s="64" t="str">
        <v xml:space="preserve"> </v>
      </c>
      <c r="F489" t="str">
        <v/>
      </c>
    </row>
    <row r="490" spans="1:6" x14ac:dyDescent="0.25">
      <c r="A490" t="str">
        <v/>
      </c>
      <c r="B490" t="str">
        <v/>
      </c>
      <c r="C490" t="str">
        <v/>
      </c>
      <c r="D490" t="str">
        <v xml:space="preserve"> </v>
      </c>
      <c r="E490" s="64" t="str">
        <v xml:space="preserve"> </v>
      </c>
      <c r="F490" t="str">
        <v/>
      </c>
    </row>
    <row r="491" spans="1:6" x14ac:dyDescent="0.25">
      <c r="A491" t="str">
        <v/>
      </c>
      <c r="B491" t="str">
        <v/>
      </c>
      <c r="C491" t="str">
        <v/>
      </c>
      <c r="D491" t="str">
        <v xml:space="preserve"> </v>
      </c>
      <c r="E491" s="64" t="str">
        <v xml:space="preserve"> </v>
      </c>
      <c r="F491" t="str">
        <v/>
      </c>
    </row>
    <row r="492" spans="1:6" x14ac:dyDescent="0.25">
      <c r="A492" t="str">
        <v/>
      </c>
      <c r="B492" t="str">
        <v/>
      </c>
      <c r="C492" t="str">
        <v/>
      </c>
      <c r="D492" t="str">
        <v xml:space="preserve"> </v>
      </c>
      <c r="E492" s="64" t="str">
        <v xml:space="preserve"> </v>
      </c>
      <c r="F492" t="str">
        <v/>
      </c>
    </row>
    <row r="493" spans="1:6" x14ac:dyDescent="0.25">
      <c r="A493" t="str">
        <v/>
      </c>
      <c r="B493" t="str">
        <v/>
      </c>
      <c r="C493" t="str">
        <v/>
      </c>
      <c r="D493" t="str">
        <v xml:space="preserve"> </v>
      </c>
      <c r="E493" s="64" t="str">
        <v xml:space="preserve"> </v>
      </c>
      <c r="F493" t="str">
        <v/>
      </c>
    </row>
    <row r="494" spans="1:6" x14ac:dyDescent="0.25">
      <c r="A494" t="str">
        <v/>
      </c>
      <c r="B494" t="str">
        <v/>
      </c>
      <c r="C494" t="str">
        <v/>
      </c>
      <c r="D494" t="str">
        <v xml:space="preserve"> </v>
      </c>
      <c r="E494" s="64" t="str">
        <v xml:space="preserve"> </v>
      </c>
      <c r="F494" t="str">
        <v/>
      </c>
    </row>
    <row r="495" spans="1:6" x14ac:dyDescent="0.25">
      <c r="A495" t="str">
        <v/>
      </c>
      <c r="B495" t="str">
        <v/>
      </c>
      <c r="C495" t="str">
        <v/>
      </c>
      <c r="D495" t="str">
        <v xml:space="preserve"> </v>
      </c>
      <c r="E495" s="64" t="str">
        <v xml:space="preserve"> </v>
      </c>
      <c r="F495" t="str">
        <v/>
      </c>
    </row>
    <row r="496" spans="1:6" x14ac:dyDescent="0.25">
      <c r="A496" t="str">
        <v/>
      </c>
      <c r="B496" t="str">
        <v/>
      </c>
      <c r="C496" t="str">
        <v/>
      </c>
      <c r="D496" t="str">
        <v xml:space="preserve"> </v>
      </c>
      <c r="E496" s="64" t="str">
        <v xml:space="preserve"> </v>
      </c>
      <c r="F496" t="str">
        <v/>
      </c>
    </row>
    <row r="497" spans="1:6" x14ac:dyDescent="0.25">
      <c r="A497" t="str">
        <v/>
      </c>
      <c r="B497" t="str">
        <v/>
      </c>
      <c r="C497" t="str">
        <v/>
      </c>
      <c r="D497" t="str">
        <v xml:space="preserve"> </v>
      </c>
      <c r="E497" s="64" t="str">
        <v xml:space="preserve"> </v>
      </c>
      <c r="F497" t="str">
        <v/>
      </c>
    </row>
    <row r="498" spans="1:6" x14ac:dyDescent="0.25">
      <c r="A498" t="str">
        <v/>
      </c>
      <c r="B498" t="str">
        <v/>
      </c>
      <c r="C498" t="str">
        <v/>
      </c>
      <c r="D498" t="str">
        <v xml:space="preserve"> </v>
      </c>
      <c r="E498" s="64" t="str">
        <v xml:space="preserve"> </v>
      </c>
      <c r="F498" t="str">
        <v/>
      </c>
    </row>
    <row r="499" spans="1:6" x14ac:dyDescent="0.25">
      <c r="A499" t="str">
        <v/>
      </c>
      <c r="B499" t="str">
        <v/>
      </c>
      <c r="C499" t="str">
        <v/>
      </c>
      <c r="D499" t="str">
        <v xml:space="preserve"> </v>
      </c>
      <c r="E499" s="64" t="str">
        <v xml:space="preserve"> </v>
      </c>
      <c r="F499" t="str">
        <v/>
      </c>
    </row>
    <row r="500" spans="1:6" x14ac:dyDescent="0.25">
      <c r="A500" t="str">
        <v/>
      </c>
      <c r="B500" t="str">
        <v/>
      </c>
      <c r="C500" t="str">
        <v/>
      </c>
      <c r="D500" t="str">
        <v xml:space="preserve"> </v>
      </c>
      <c r="E500" s="64" t="str">
        <v xml:space="preserve"> </v>
      </c>
      <c r="F500" t="str">
        <v/>
      </c>
    </row>
    <row r="501" spans="1:6" x14ac:dyDescent="0.25">
      <c r="A501" t="str">
        <v/>
      </c>
      <c r="B501" t="str">
        <v/>
      </c>
      <c r="C501" t="str">
        <v/>
      </c>
      <c r="D501" t="str">
        <v xml:space="preserve"> </v>
      </c>
      <c r="E501" s="64" t="str">
        <v xml:space="preserve"> </v>
      </c>
      <c r="F501" t="str">
        <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16">
    <tabColor rgb="FF034B45"/>
  </sheetPr>
  <dimension ref="A1:G1200"/>
  <sheetViews>
    <sheetView showGridLines="0" zoomScale="81" zoomScaleNormal="81" workbookViewId="0">
      <selection activeCell="A2" sqref="A2"/>
    </sheetView>
  </sheetViews>
  <sheetFormatPr baseColWidth="10" defaultColWidth="11.42578125" defaultRowHeight="17.25" x14ac:dyDescent="0.35"/>
  <cols>
    <col min="1" max="1" width="7.42578125" style="279" customWidth="1"/>
    <col min="2" max="2" width="16.140625" style="280" customWidth="1"/>
    <col min="3" max="3" width="67.85546875" style="276" customWidth="1"/>
    <col min="4" max="4" width="23.5703125" style="281" customWidth="1"/>
    <col min="5" max="5" width="40.140625" style="276" customWidth="1"/>
    <col min="6" max="6" width="18.140625" style="276" customWidth="1"/>
    <col min="7" max="16384" width="11.42578125" style="72"/>
  </cols>
  <sheetData>
    <row r="1" spans="1:7" s="275" customFormat="1" ht="39.6" customHeight="1" x14ac:dyDescent="0.25">
      <c r="A1" s="282" t="s">
        <v>233</v>
      </c>
      <c r="B1" s="283" t="s">
        <v>234</v>
      </c>
      <c r="C1" s="284" t="s">
        <v>235</v>
      </c>
      <c r="D1" s="285" t="s">
        <v>236</v>
      </c>
      <c r="E1" s="286" t="s">
        <v>237</v>
      </c>
      <c r="F1" s="287" t="s">
        <v>238</v>
      </c>
    </row>
    <row r="2" spans="1:7" s="277" customFormat="1" x14ac:dyDescent="0.25">
      <c r="A2" s="276"/>
      <c r="B2" s="276"/>
      <c r="C2" s="276"/>
      <c r="D2" s="276"/>
      <c r="E2" s="276"/>
      <c r="F2" s="276"/>
      <c r="G2" s="276"/>
    </row>
    <row r="3" spans="1:7" s="277" customFormat="1" x14ac:dyDescent="0.25">
      <c r="A3" s="276"/>
      <c r="B3" s="276"/>
      <c r="C3" s="276"/>
      <c r="D3" s="276"/>
      <c r="E3" s="276"/>
      <c r="F3" s="276"/>
      <c r="G3" s="276"/>
    </row>
    <row r="4" spans="1:7" s="277" customFormat="1" x14ac:dyDescent="0.25">
      <c r="A4" s="276"/>
      <c r="B4" s="276"/>
      <c r="C4" s="276"/>
      <c r="D4" s="276"/>
      <c r="E4" s="276"/>
      <c r="F4" s="276"/>
      <c r="G4" s="276"/>
    </row>
    <row r="5" spans="1:7" s="277" customFormat="1" x14ac:dyDescent="0.25">
      <c r="A5" s="276"/>
      <c r="B5" s="276"/>
      <c r="C5" s="276"/>
      <c r="D5" s="276"/>
      <c r="E5" s="276"/>
      <c r="F5" s="276"/>
      <c r="G5" s="276"/>
    </row>
    <row r="6" spans="1:7" s="277" customFormat="1" x14ac:dyDescent="0.25">
      <c r="A6" s="276"/>
      <c r="B6" s="276"/>
      <c r="C6" s="276"/>
      <c r="D6" s="276"/>
      <c r="E6" s="276"/>
      <c r="F6" s="276"/>
      <c r="G6" s="276"/>
    </row>
    <row r="7" spans="1:7" s="277" customFormat="1" x14ac:dyDescent="0.25">
      <c r="A7" s="276"/>
      <c r="B7" s="276"/>
      <c r="C7" s="276"/>
      <c r="D7" s="276"/>
      <c r="E7" s="276"/>
      <c r="F7" s="276"/>
      <c r="G7" s="276"/>
    </row>
    <row r="8" spans="1:7" s="277" customFormat="1" x14ac:dyDescent="0.25">
      <c r="A8" s="276"/>
      <c r="B8" s="276"/>
      <c r="C8" s="276"/>
      <c r="D8" s="276"/>
      <c r="E8" s="276"/>
      <c r="F8" s="276"/>
      <c r="G8" s="276"/>
    </row>
    <row r="9" spans="1:7" s="277" customFormat="1" x14ac:dyDescent="0.25">
      <c r="A9" s="276"/>
      <c r="B9" s="276"/>
      <c r="C9" s="276"/>
      <c r="D9" s="276"/>
      <c r="E9" s="276"/>
      <c r="F9" s="276"/>
      <c r="G9" s="276"/>
    </row>
    <row r="10" spans="1:7" s="277" customFormat="1" x14ac:dyDescent="0.25">
      <c r="A10" s="276"/>
      <c r="B10" s="276"/>
      <c r="C10" s="276"/>
      <c r="D10" s="276"/>
      <c r="E10" s="276"/>
      <c r="F10" s="276"/>
      <c r="G10" s="276"/>
    </row>
    <row r="11" spans="1:7" s="277" customFormat="1" x14ac:dyDescent="0.25">
      <c r="A11" s="276"/>
      <c r="B11" s="276"/>
      <c r="C11" s="276"/>
      <c r="D11" s="276"/>
      <c r="E11" s="276"/>
      <c r="F11" s="276"/>
      <c r="G11" s="276"/>
    </row>
    <row r="12" spans="1:7" s="277" customFormat="1" x14ac:dyDescent="0.25">
      <c r="A12" s="276"/>
      <c r="B12" s="276"/>
      <c r="C12" s="276"/>
      <c r="D12" s="276"/>
      <c r="E12" s="276"/>
      <c r="F12" s="276"/>
      <c r="G12" s="276"/>
    </row>
    <row r="13" spans="1:7" s="277" customFormat="1" x14ac:dyDescent="0.25">
      <c r="A13" s="276"/>
      <c r="B13" s="276"/>
      <c r="C13" s="276"/>
      <c r="D13" s="276"/>
      <c r="E13" s="276"/>
      <c r="F13" s="276"/>
      <c r="G13" s="276"/>
    </row>
    <row r="14" spans="1:7" s="277" customFormat="1" x14ac:dyDescent="0.25">
      <c r="A14" s="276"/>
      <c r="B14" s="276"/>
      <c r="C14" s="276"/>
      <c r="D14" s="276"/>
      <c r="E14" s="276"/>
      <c r="F14" s="276"/>
      <c r="G14" s="276"/>
    </row>
    <row r="15" spans="1:7" s="277" customFormat="1" x14ac:dyDescent="0.25">
      <c r="A15" s="276"/>
      <c r="B15" s="276"/>
      <c r="C15" s="276"/>
      <c r="D15" s="276"/>
      <c r="E15" s="276"/>
      <c r="F15" s="276"/>
      <c r="G15" s="276"/>
    </row>
    <row r="16" spans="1:7" s="277" customFormat="1" x14ac:dyDescent="0.25">
      <c r="A16" s="276"/>
      <c r="B16" s="276"/>
      <c r="C16" s="276"/>
      <c r="D16" s="276"/>
      <c r="E16" s="276"/>
      <c r="F16" s="276"/>
      <c r="G16" s="276"/>
    </row>
    <row r="17" spans="1:7" s="277" customFormat="1" x14ac:dyDescent="0.25">
      <c r="A17" s="276"/>
      <c r="B17" s="276"/>
      <c r="C17" s="276"/>
      <c r="D17" s="276"/>
      <c r="E17" s="276"/>
      <c r="F17" s="276"/>
      <c r="G17" s="276"/>
    </row>
    <row r="18" spans="1:7" s="277" customFormat="1" x14ac:dyDescent="0.25">
      <c r="A18" s="276"/>
      <c r="B18" s="276"/>
      <c r="C18" s="276"/>
      <c r="D18" s="276"/>
      <c r="E18" s="276"/>
      <c r="F18" s="276"/>
      <c r="G18" s="276"/>
    </row>
    <row r="19" spans="1:7" s="277" customFormat="1" x14ac:dyDescent="0.25">
      <c r="A19" s="276"/>
      <c r="B19" s="276"/>
      <c r="C19" s="276"/>
      <c r="D19" s="276"/>
      <c r="E19" s="276"/>
      <c r="F19" s="276"/>
      <c r="G19" s="276"/>
    </row>
    <row r="20" spans="1:7" s="277" customFormat="1" x14ac:dyDescent="0.25">
      <c r="A20" s="276"/>
      <c r="B20" s="276"/>
      <c r="C20" s="276"/>
      <c r="D20" s="276"/>
      <c r="E20" s="276"/>
      <c r="F20" s="276"/>
      <c r="G20" s="276"/>
    </row>
    <row r="21" spans="1:7" s="277" customFormat="1" x14ac:dyDescent="0.25">
      <c r="A21" s="276"/>
      <c r="B21" s="276"/>
      <c r="C21" s="276"/>
      <c r="D21" s="276"/>
      <c r="E21" s="276"/>
      <c r="F21" s="276"/>
      <c r="G21" s="276"/>
    </row>
    <row r="22" spans="1:7" s="277" customFormat="1" x14ac:dyDescent="0.25">
      <c r="A22" s="276"/>
      <c r="B22" s="276"/>
      <c r="C22" s="276"/>
      <c r="D22" s="276"/>
      <c r="E22" s="276"/>
      <c r="F22" s="276"/>
      <c r="G22" s="276"/>
    </row>
    <row r="23" spans="1:7" s="277" customFormat="1" x14ac:dyDescent="0.25">
      <c r="A23" s="276"/>
      <c r="B23" s="276"/>
      <c r="C23" s="276"/>
      <c r="D23" s="276"/>
      <c r="E23" s="276"/>
      <c r="F23" s="276"/>
      <c r="G23" s="276"/>
    </row>
    <row r="24" spans="1:7" s="277" customFormat="1" x14ac:dyDescent="0.25">
      <c r="A24" s="276"/>
      <c r="B24" s="276"/>
      <c r="C24" s="276"/>
      <c r="D24" s="276"/>
      <c r="E24" s="276"/>
      <c r="F24" s="276"/>
      <c r="G24" s="276"/>
    </row>
    <row r="25" spans="1:7" s="277" customFormat="1" x14ac:dyDescent="0.25">
      <c r="A25" s="276"/>
      <c r="B25" s="276"/>
      <c r="C25" s="276"/>
      <c r="D25" s="276"/>
      <c r="E25" s="276"/>
      <c r="F25" s="276"/>
      <c r="G25" s="276"/>
    </row>
    <row r="26" spans="1:7" s="277" customFormat="1" x14ac:dyDescent="0.25">
      <c r="A26" s="276"/>
      <c r="B26" s="276"/>
      <c r="C26" s="276"/>
      <c r="D26" s="276"/>
      <c r="E26" s="276"/>
      <c r="F26" s="276"/>
      <c r="G26" s="276"/>
    </row>
    <row r="27" spans="1:7" s="277" customFormat="1" x14ac:dyDescent="0.25">
      <c r="A27" s="276"/>
      <c r="B27" s="276"/>
      <c r="C27" s="276"/>
      <c r="D27" s="276"/>
      <c r="E27" s="276"/>
      <c r="F27" s="276"/>
      <c r="G27" s="276"/>
    </row>
    <row r="28" spans="1:7" s="277" customFormat="1" x14ac:dyDescent="0.25">
      <c r="A28" s="276"/>
      <c r="B28" s="276"/>
      <c r="C28" s="276"/>
      <c r="D28" s="276"/>
      <c r="E28" s="276"/>
      <c r="F28" s="276"/>
      <c r="G28" s="276"/>
    </row>
    <row r="29" spans="1:7" s="277" customFormat="1" x14ac:dyDescent="0.25">
      <c r="A29" s="276"/>
      <c r="B29" s="276"/>
      <c r="C29" s="276"/>
      <c r="D29" s="276"/>
      <c r="E29" s="276"/>
      <c r="F29" s="276"/>
      <c r="G29" s="276"/>
    </row>
    <row r="30" spans="1:7" s="277" customFormat="1" x14ac:dyDescent="0.25">
      <c r="A30" s="276"/>
      <c r="B30" s="276"/>
      <c r="C30" s="276"/>
      <c r="D30" s="276"/>
      <c r="E30" s="276"/>
      <c r="F30" s="276"/>
      <c r="G30" s="276"/>
    </row>
    <row r="31" spans="1:7" s="277" customFormat="1" x14ac:dyDescent="0.25">
      <c r="A31" s="276"/>
      <c r="B31" s="276"/>
      <c r="C31" s="276"/>
      <c r="D31" s="276"/>
      <c r="E31" s="276"/>
      <c r="F31" s="276"/>
      <c r="G31" s="276"/>
    </row>
    <row r="32" spans="1:7" s="277" customFormat="1" x14ac:dyDescent="0.25">
      <c r="A32" s="276"/>
      <c r="B32" s="276"/>
      <c r="C32" s="276"/>
      <c r="D32" s="276"/>
      <c r="E32" s="276"/>
      <c r="F32" s="276"/>
      <c r="G32" s="276"/>
    </row>
    <row r="33" spans="1:7" s="277" customFormat="1" x14ac:dyDescent="0.25">
      <c r="A33" s="276"/>
      <c r="B33" s="276"/>
      <c r="C33" s="276"/>
      <c r="D33" s="276"/>
      <c r="E33" s="276"/>
      <c r="F33" s="276"/>
      <c r="G33" s="276"/>
    </row>
    <row r="34" spans="1:7" s="277" customFormat="1" x14ac:dyDescent="0.25">
      <c r="A34" s="276"/>
      <c r="B34" s="276"/>
      <c r="C34" s="276"/>
      <c r="D34" s="276"/>
      <c r="E34" s="276"/>
      <c r="F34" s="276"/>
      <c r="G34" s="276"/>
    </row>
    <row r="35" spans="1:7" s="277" customFormat="1" x14ac:dyDescent="0.25">
      <c r="A35" s="276"/>
      <c r="B35" s="276"/>
      <c r="C35" s="276"/>
      <c r="D35" s="276"/>
      <c r="E35" s="276"/>
      <c r="F35" s="276"/>
      <c r="G35" s="276"/>
    </row>
    <row r="36" spans="1:7" s="277" customFormat="1" x14ac:dyDescent="0.25">
      <c r="A36" s="276"/>
      <c r="B36" s="276"/>
      <c r="C36" s="276"/>
      <c r="D36" s="276"/>
      <c r="E36" s="276"/>
      <c r="F36" s="276"/>
      <c r="G36" s="276"/>
    </row>
    <row r="37" spans="1:7" s="277" customFormat="1" x14ac:dyDescent="0.25">
      <c r="A37" s="276"/>
      <c r="B37" s="276"/>
      <c r="C37" s="276"/>
      <c r="D37" s="276"/>
      <c r="E37" s="276"/>
      <c r="F37" s="276"/>
      <c r="G37" s="276"/>
    </row>
    <row r="38" spans="1:7" s="277" customFormat="1" x14ac:dyDescent="0.25">
      <c r="A38" s="276"/>
      <c r="B38" s="276"/>
      <c r="C38" s="276"/>
      <c r="D38" s="276"/>
      <c r="E38" s="276"/>
      <c r="F38" s="276"/>
      <c r="G38" s="276"/>
    </row>
    <row r="39" spans="1:7" s="277" customFormat="1" x14ac:dyDescent="0.25">
      <c r="A39" s="276"/>
      <c r="B39" s="276"/>
      <c r="C39" s="276"/>
      <c r="D39" s="276"/>
      <c r="E39" s="276"/>
      <c r="F39" s="276"/>
      <c r="G39" s="276"/>
    </row>
    <row r="40" spans="1:7" s="277" customFormat="1" x14ac:dyDescent="0.25">
      <c r="A40" s="276"/>
      <c r="B40" s="276"/>
      <c r="C40" s="276"/>
      <c r="D40" s="276"/>
      <c r="E40" s="276"/>
      <c r="F40" s="276"/>
      <c r="G40" s="276"/>
    </row>
    <row r="41" spans="1:7" s="277" customFormat="1" x14ac:dyDescent="0.25">
      <c r="A41" s="276"/>
      <c r="B41" s="276"/>
      <c r="C41" s="276"/>
      <c r="D41" s="276"/>
      <c r="E41" s="276"/>
      <c r="F41" s="276"/>
      <c r="G41" s="276"/>
    </row>
    <row r="42" spans="1:7" s="277" customFormat="1" x14ac:dyDescent="0.25">
      <c r="A42" s="276"/>
      <c r="B42" s="276"/>
      <c r="C42" s="276"/>
      <c r="D42" s="276"/>
      <c r="E42" s="276"/>
      <c r="F42" s="276"/>
      <c r="G42" s="276"/>
    </row>
    <row r="43" spans="1:7" s="277" customFormat="1" x14ac:dyDescent="0.25">
      <c r="A43" s="276"/>
      <c r="B43" s="276"/>
      <c r="C43" s="276"/>
      <c r="D43" s="276"/>
      <c r="E43" s="276"/>
      <c r="F43" s="276"/>
      <c r="G43" s="276"/>
    </row>
    <row r="44" spans="1:7" s="277" customFormat="1" x14ac:dyDescent="0.25">
      <c r="A44" s="276"/>
      <c r="B44" s="276"/>
      <c r="C44" s="276"/>
      <c r="D44" s="276"/>
      <c r="E44" s="276"/>
      <c r="F44" s="276"/>
      <c r="G44" s="276"/>
    </row>
    <row r="45" spans="1:7" s="277" customFormat="1" x14ac:dyDescent="0.25">
      <c r="A45" s="276"/>
      <c r="B45" s="276"/>
      <c r="C45" s="276"/>
      <c r="D45" s="276"/>
      <c r="E45" s="276"/>
      <c r="F45" s="276"/>
      <c r="G45" s="276"/>
    </row>
    <row r="46" spans="1:7" s="277" customFormat="1" x14ac:dyDescent="0.25">
      <c r="A46" s="276"/>
      <c r="B46" s="276"/>
      <c r="C46" s="276"/>
      <c r="D46" s="276"/>
      <c r="E46" s="276"/>
      <c r="F46" s="276"/>
      <c r="G46" s="276"/>
    </row>
    <row r="47" spans="1:7" s="277" customFormat="1" x14ac:dyDescent="0.25">
      <c r="A47" s="276"/>
      <c r="B47" s="276"/>
      <c r="C47" s="276"/>
      <c r="D47" s="276"/>
      <c r="E47" s="276"/>
      <c r="F47" s="276"/>
      <c r="G47" s="276"/>
    </row>
    <row r="48" spans="1:7" s="277" customFormat="1" x14ac:dyDescent="0.25">
      <c r="A48" s="276"/>
      <c r="B48" s="276"/>
      <c r="C48" s="276"/>
      <c r="D48" s="276"/>
      <c r="E48" s="276"/>
      <c r="F48" s="276"/>
      <c r="G48" s="276"/>
    </row>
    <row r="49" spans="1:7" s="277" customFormat="1" x14ac:dyDescent="0.25">
      <c r="A49" s="276"/>
      <c r="B49" s="276"/>
      <c r="C49" s="276"/>
      <c r="D49" s="276"/>
      <c r="E49" s="276"/>
      <c r="F49" s="276"/>
      <c r="G49" s="276"/>
    </row>
    <row r="50" spans="1:7" s="277" customFormat="1" x14ac:dyDescent="0.25">
      <c r="A50" s="276"/>
      <c r="B50" s="276"/>
      <c r="C50" s="276"/>
      <c r="D50" s="276"/>
      <c r="E50" s="276"/>
      <c r="F50" s="276"/>
      <c r="G50" s="276"/>
    </row>
    <row r="51" spans="1:7" s="277" customFormat="1" x14ac:dyDescent="0.25">
      <c r="A51" s="276"/>
      <c r="B51" s="276"/>
      <c r="C51" s="276"/>
      <c r="D51" s="276"/>
      <c r="E51" s="276"/>
      <c r="F51" s="276"/>
      <c r="G51" s="276"/>
    </row>
    <row r="52" spans="1:7" s="277" customFormat="1" x14ac:dyDescent="0.25">
      <c r="A52" s="276"/>
      <c r="B52" s="276"/>
      <c r="C52" s="276"/>
      <c r="D52" s="276"/>
      <c r="E52" s="276"/>
      <c r="F52" s="276"/>
      <c r="G52" s="276"/>
    </row>
    <row r="53" spans="1:7" s="277" customFormat="1" x14ac:dyDescent="0.25">
      <c r="A53" s="276"/>
      <c r="B53" s="276"/>
      <c r="C53" s="276"/>
      <c r="D53" s="276"/>
      <c r="E53" s="276"/>
      <c r="F53" s="276"/>
      <c r="G53" s="276"/>
    </row>
    <row r="54" spans="1:7" s="277" customFormat="1" x14ac:dyDescent="0.25">
      <c r="A54" s="276"/>
      <c r="B54" s="276"/>
      <c r="C54" s="276"/>
      <c r="D54" s="276"/>
      <c r="E54" s="276"/>
      <c r="F54" s="276"/>
      <c r="G54" s="276"/>
    </row>
    <row r="55" spans="1:7" s="277" customFormat="1" x14ac:dyDescent="0.25">
      <c r="A55" s="276"/>
      <c r="B55" s="276"/>
      <c r="C55" s="276"/>
      <c r="D55" s="276"/>
      <c r="E55" s="276"/>
      <c r="F55" s="276"/>
      <c r="G55" s="276"/>
    </row>
    <row r="56" spans="1:7" s="277" customFormat="1" x14ac:dyDescent="0.25">
      <c r="A56" s="276"/>
      <c r="B56" s="276"/>
      <c r="C56" s="276"/>
      <c r="D56" s="276"/>
      <c r="E56" s="276"/>
      <c r="F56" s="276"/>
      <c r="G56" s="276"/>
    </row>
    <row r="57" spans="1:7" s="277" customFormat="1" x14ac:dyDescent="0.25">
      <c r="A57" s="276"/>
      <c r="B57" s="276"/>
      <c r="C57" s="276"/>
      <c r="D57" s="276"/>
      <c r="E57" s="276"/>
      <c r="F57" s="276"/>
      <c r="G57" s="276"/>
    </row>
    <row r="58" spans="1:7" s="277" customFormat="1" x14ac:dyDescent="0.25">
      <c r="A58" s="276"/>
      <c r="B58" s="276"/>
      <c r="C58" s="276"/>
      <c r="D58" s="276"/>
      <c r="E58" s="276"/>
      <c r="F58" s="276"/>
      <c r="G58" s="276"/>
    </row>
    <row r="59" spans="1:7" s="277" customFormat="1" x14ac:dyDescent="0.25">
      <c r="A59" s="276"/>
      <c r="B59" s="276"/>
      <c r="C59" s="276"/>
      <c r="D59" s="276"/>
      <c r="E59" s="276"/>
      <c r="F59" s="276"/>
      <c r="G59" s="276"/>
    </row>
    <row r="60" spans="1:7" s="277" customFormat="1" x14ac:dyDescent="0.25">
      <c r="A60" s="276"/>
      <c r="B60" s="276"/>
      <c r="C60" s="276"/>
      <c r="D60" s="276"/>
      <c r="E60" s="276"/>
      <c r="F60" s="276"/>
      <c r="G60" s="276"/>
    </row>
    <row r="61" spans="1:7" s="277" customFormat="1" x14ac:dyDescent="0.25">
      <c r="A61" s="276"/>
      <c r="B61" s="276"/>
      <c r="C61" s="276"/>
      <c r="D61" s="276"/>
      <c r="E61" s="276"/>
      <c r="F61" s="276"/>
      <c r="G61" s="276"/>
    </row>
    <row r="62" spans="1:7" s="277" customFormat="1" x14ac:dyDescent="0.25">
      <c r="A62" s="276"/>
      <c r="B62" s="276"/>
      <c r="C62" s="276"/>
      <c r="D62" s="276"/>
      <c r="E62" s="276"/>
      <c r="F62" s="276"/>
      <c r="G62" s="276"/>
    </row>
    <row r="63" spans="1:7" s="277" customFormat="1" x14ac:dyDescent="0.25">
      <c r="A63" s="276"/>
      <c r="B63" s="276"/>
      <c r="C63" s="276"/>
      <c r="D63" s="276"/>
      <c r="E63" s="276"/>
      <c r="F63" s="276"/>
      <c r="G63" s="276"/>
    </row>
    <row r="64" spans="1:7" s="277" customFormat="1" x14ac:dyDescent="0.25">
      <c r="A64" s="276"/>
      <c r="B64" s="276"/>
      <c r="C64" s="276"/>
      <c r="D64" s="276"/>
      <c r="E64" s="276"/>
      <c r="F64" s="276"/>
      <c r="G64" s="276"/>
    </row>
    <row r="65" spans="1:7" s="277" customFormat="1" x14ac:dyDescent="0.25">
      <c r="A65" s="276"/>
      <c r="B65" s="276"/>
      <c r="C65" s="276"/>
      <c r="D65" s="276"/>
      <c r="E65" s="276"/>
      <c r="F65" s="276"/>
      <c r="G65" s="276"/>
    </row>
    <row r="66" spans="1:7" s="277" customFormat="1" x14ac:dyDescent="0.25">
      <c r="A66" s="276"/>
      <c r="B66" s="276"/>
      <c r="C66" s="276"/>
      <c r="D66" s="276"/>
      <c r="E66" s="276"/>
      <c r="F66" s="276"/>
      <c r="G66" s="276"/>
    </row>
    <row r="67" spans="1:7" s="277" customFormat="1" x14ac:dyDescent="0.25">
      <c r="A67" s="276"/>
      <c r="B67" s="276"/>
      <c r="C67" s="276"/>
      <c r="D67" s="276"/>
      <c r="E67" s="276"/>
      <c r="F67" s="276"/>
      <c r="G67" s="276"/>
    </row>
    <row r="68" spans="1:7" s="277" customFormat="1" x14ac:dyDescent="0.25">
      <c r="A68" s="276"/>
      <c r="B68" s="276"/>
      <c r="C68" s="276"/>
      <c r="D68" s="276"/>
      <c r="E68" s="276"/>
      <c r="F68" s="276"/>
      <c r="G68" s="276"/>
    </row>
    <row r="69" spans="1:7" s="277" customFormat="1" x14ac:dyDescent="0.25">
      <c r="A69" s="276"/>
      <c r="B69" s="276"/>
      <c r="C69" s="276"/>
      <c r="D69" s="276"/>
      <c r="E69" s="276"/>
      <c r="F69" s="276"/>
      <c r="G69" s="276"/>
    </row>
    <row r="70" spans="1:7" s="277" customFormat="1" x14ac:dyDescent="0.25">
      <c r="A70" s="276"/>
      <c r="B70" s="276"/>
      <c r="C70" s="276"/>
      <c r="D70" s="276"/>
      <c r="E70" s="276"/>
      <c r="F70" s="276"/>
      <c r="G70" s="276"/>
    </row>
    <row r="71" spans="1:7" s="277" customFormat="1" x14ac:dyDescent="0.25">
      <c r="A71" s="276"/>
      <c r="B71" s="276"/>
      <c r="C71" s="276"/>
      <c r="D71" s="276"/>
      <c r="E71" s="276"/>
      <c r="F71" s="276"/>
      <c r="G71" s="276"/>
    </row>
    <row r="72" spans="1:7" s="277" customFormat="1" x14ac:dyDescent="0.25">
      <c r="A72" s="276"/>
      <c r="B72" s="276"/>
      <c r="C72" s="276"/>
      <c r="D72" s="276"/>
      <c r="E72" s="276"/>
      <c r="F72" s="276"/>
      <c r="G72" s="276"/>
    </row>
    <row r="73" spans="1:7" s="277" customFormat="1" x14ac:dyDescent="0.25">
      <c r="A73" s="276"/>
      <c r="B73" s="276"/>
      <c r="C73" s="276"/>
      <c r="D73" s="276"/>
      <c r="E73" s="276"/>
      <c r="F73" s="276"/>
      <c r="G73" s="276"/>
    </row>
    <row r="74" spans="1:7" s="277" customFormat="1" x14ac:dyDescent="0.25">
      <c r="A74" s="276"/>
      <c r="B74" s="276"/>
      <c r="C74" s="276"/>
      <c r="D74" s="276"/>
      <c r="E74" s="276"/>
      <c r="F74" s="276"/>
      <c r="G74" s="276"/>
    </row>
    <row r="75" spans="1:7" s="277" customFormat="1" x14ac:dyDescent="0.25">
      <c r="A75" s="276"/>
      <c r="B75" s="276"/>
      <c r="C75" s="276"/>
      <c r="D75" s="276"/>
      <c r="E75" s="276"/>
      <c r="F75" s="276"/>
      <c r="G75" s="276"/>
    </row>
    <row r="76" spans="1:7" s="277" customFormat="1" x14ac:dyDescent="0.25">
      <c r="A76" s="276"/>
      <c r="B76" s="276"/>
      <c r="C76" s="276"/>
      <c r="D76" s="276"/>
      <c r="E76" s="276"/>
      <c r="F76" s="276"/>
      <c r="G76" s="276"/>
    </row>
    <row r="77" spans="1:7" s="277" customFormat="1" x14ac:dyDescent="0.25">
      <c r="A77" s="276"/>
      <c r="B77" s="276"/>
      <c r="C77" s="276"/>
      <c r="D77" s="276"/>
      <c r="E77" s="276"/>
      <c r="F77" s="276"/>
      <c r="G77" s="276"/>
    </row>
    <row r="78" spans="1:7" s="277" customFormat="1" x14ac:dyDescent="0.25">
      <c r="A78" s="276"/>
      <c r="B78" s="276"/>
      <c r="C78" s="276"/>
      <c r="D78" s="276"/>
      <c r="E78" s="276"/>
      <c r="F78" s="276"/>
      <c r="G78" s="276"/>
    </row>
    <row r="79" spans="1:7" s="277" customFormat="1" x14ac:dyDescent="0.25">
      <c r="A79" s="276"/>
      <c r="B79" s="276"/>
      <c r="C79" s="276"/>
      <c r="D79" s="276"/>
      <c r="E79" s="276"/>
      <c r="F79" s="276"/>
      <c r="G79" s="276"/>
    </row>
    <row r="80" spans="1:7" s="277" customFormat="1" x14ac:dyDescent="0.25">
      <c r="A80" s="276"/>
      <c r="B80" s="276"/>
      <c r="C80" s="276"/>
      <c r="D80" s="276"/>
      <c r="E80" s="276"/>
      <c r="F80" s="276"/>
      <c r="G80" s="276"/>
    </row>
    <row r="81" spans="1:7" s="277" customFormat="1" x14ac:dyDescent="0.25">
      <c r="A81" s="276"/>
      <c r="B81" s="276"/>
      <c r="C81" s="276"/>
      <c r="D81" s="276"/>
      <c r="E81" s="276"/>
      <c r="F81" s="276"/>
      <c r="G81" s="276"/>
    </row>
    <row r="82" spans="1:7" s="277" customFormat="1" x14ac:dyDescent="0.25">
      <c r="A82" s="276"/>
      <c r="B82" s="276"/>
      <c r="C82" s="276"/>
      <c r="D82" s="276"/>
      <c r="E82" s="276"/>
      <c r="F82" s="276"/>
      <c r="G82" s="276"/>
    </row>
    <row r="83" spans="1:7" s="277" customFormat="1" x14ac:dyDescent="0.25">
      <c r="A83" s="276"/>
      <c r="B83" s="276"/>
      <c r="C83" s="276"/>
      <c r="D83" s="276"/>
      <c r="E83" s="276"/>
      <c r="F83" s="276"/>
      <c r="G83" s="276"/>
    </row>
    <row r="84" spans="1:7" s="277" customFormat="1" x14ac:dyDescent="0.25">
      <c r="A84" s="276"/>
      <c r="B84" s="276"/>
      <c r="C84" s="276"/>
      <c r="D84" s="276"/>
      <c r="E84" s="276"/>
      <c r="F84" s="276"/>
      <c r="G84" s="276"/>
    </row>
    <row r="85" spans="1:7" s="277" customFormat="1" x14ac:dyDescent="0.25">
      <c r="A85" s="276"/>
      <c r="B85" s="276"/>
      <c r="C85" s="276"/>
      <c r="D85" s="276"/>
      <c r="E85" s="276"/>
      <c r="F85" s="276"/>
      <c r="G85" s="276"/>
    </row>
    <row r="86" spans="1:7" s="277" customFormat="1" x14ac:dyDescent="0.25">
      <c r="A86" s="276"/>
      <c r="B86" s="276"/>
      <c r="C86" s="276"/>
      <c r="D86" s="276"/>
      <c r="E86" s="276"/>
      <c r="F86" s="276"/>
      <c r="G86" s="276"/>
    </row>
    <row r="87" spans="1:7" s="277" customFormat="1" x14ac:dyDescent="0.25">
      <c r="A87" s="276"/>
      <c r="B87" s="276"/>
      <c r="C87" s="276"/>
      <c r="D87" s="276"/>
      <c r="E87" s="276"/>
      <c r="F87" s="276"/>
      <c r="G87" s="276"/>
    </row>
    <row r="88" spans="1:7" s="277" customFormat="1" x14ac:dyDescent="0.25">
      <c r="A88" s="276"/>
      <c r="B88" s="276"/>
      <c r="C88" s="276"/>
      <c r="D88" s="276"/>
      <c r="E88" s="276"/>
      <c r="F88" s="276"/>
      <c r="G88" s="276"/>
    </row>
    <row r="89" spans="1:7" s="277" customFormat="1" x14ac:dyDescent="0.25">
      <c r="A89" s="276"/>
      <c r="B89" s="276"/>
      <c r="C89" s="276"/>
      <c r="D89" s="276"/>
      <c r="E89" s="276"/>
      <c r="F89" s="276"/>
      <c r="G89" s="276"/>
    </row>
    <row r="90" spans="1:7" s="277" customFormat="1" x14ac:dyDescent="0.25">
      <c r="A90" s="276"/>
      <c r="B90" s="276"/>
      <c r="C90" s="276"/>
      <c r="D90" s="276"/>
      <c r="E90" s="276"/>
      <c r="F90" s="276"/>
      <c r="G90" s="276"/>
    </row>
    <row r="91" spans="1:7" s="277" customFormat="1" x14ac:dyDescent="0.25">
      <c r="A91" s="276"/>
      <c r="B91" s="276"/>
      <c r="C91" s="276"/>
      <c r="D91" s="276"/>
      <c r="E91" s="276"/>
      <c r="F91" s="276"/>
      <c r="G91" s="276"/>
    </row>
    <row r="92" spans="1:7" s="277" customFormat="1" x14ac:dyDescent="0.25">
      <c r="A92" s="276"/>
      <c r="B92" s="276"/>
      <c r="C92" s="276"/>
      <c r="D92" s="276"/>
      <c r="E92" s="276"/>
      <c r="F92" s="276"/>
      <c r="G92" s="276"/>
    </row>
    <row r="93" spans="1:7" s="277" customFormat="1" x14ac:dyDescent="0.25">
      <c r="A93" s="276"/>
      <c r="B93" s="276"/>
      <c r="C93" s="276"/>
      <c r="D93" s="276"/>
      <c r="E93" s="276"/>
      <c r="F93" s="276"/>
      <c r="G93" s="276"/>
    </row>
    <row r="94" spans="1:7" s="277" customFormat="1" x14ac:dyDescent="0.25">
      <c r="A94" s="276"/>
      <c r="B94" s="276"/>
      <c r="C94" s="276"/>
      <c r="D94" s="276"/>
      <c r="E94" s="276"/>
      <c r="F94" s="276"/>
      <c r="G94" s="276"/>
    </row>
    <row r="95" spans="1:7" s="277" customFormat="1" x14ac:dyDescent="0.25">
      <c r="A95" s="276"/>
      <c r="B95" s="276"/>
      <c r="C95" s="276"/>
      <c r="D95" s="276"/>
      <c r="E95" s="276"/>
      <c r="F95" s="276"/>
      <c r="G95" s="276"/>
    </row>
    <row r="96" spans="1:7" s="277" customFormat="1" x14ac:dyDescent="0.25">
      <c r="A96" s="276"/>
      <c r="B96" s="276"/>
      <c r="C96" s="276"/>
      <c r="D96" s="276"/>
      <c r="E96" s="276"/>
      <c r="F96" s="276"/>
      <c r="G96" s="276"/>
    </row>
    <row r="97" spans="1:7" s="277" customFormat="1" x14ac:dyDescent="0.25">
      <c r="A97" s="276"/>
      <c r="B97" s="276"/>
      <c r="C97" s="276"/>
      <c r="D97" s="276"/>
      <c r="E97" s="276"/>
      <c r="F97" s="276"/>
      <c r="G97" s="276"/>
    </row>
    <row r="98" spans="1:7" s="277" customFormat="1" x14ac:dyDescent="0.25">
      <c r="A98" s="276"/>
      <c r="B98" s="276"/>
      <c r="C98" s="276"/>
      <c r="D98" s="276"/>
      <c r="E98" s="276"/>
      <c r="F98" s="276"/>
      <c r="G98" s="276"/>
    </row>
    <row r="99" spans="1:7" s="277" customFormat="1" x14ac:dyDescent="0.25">
      <c r="A99" s="276"/>
      <c r="B99" s="276"/>
      <c r="C99" s="276"/>
      <c r="D99" s="276"/>
      <c r="E99" s="276"/>
      <c r="F99" s="276"/>
      <c r="G99" s="276"/>
    </row>
    <row r="100" spans="1:7" s="277" customFormat="1" x14ac:dyDescent="0.25">
      <c r="A100" s="276"/>
      <c r="B100" s="276"/>
      <c r="C100" s="276"/>
      <c r="D100" s="276"/>
      <c r="E100" s="276"/>
      <c r="F100" s="276"/>
      <c r="G100" s="276"/>
    </row>
    <row r="101" spans="1:7" s="277" customFormat="1" x14ac:dyDescent="0.25">
      <c r="A101" s="276"/>
      <c r="B101" s="276"/>
      <c r="C101" s="276"/>
      <c r="D101" s="276"/>
      <c r="E101" s="276"/>
      <c r="F101" s="276"/>
      <c r="G101" s="276"/>
    </row>
    <row r="102" spans="1:7" s="277" customFormat="1" x14ac:dyDescent="0.25">
      <c r="A102" s="276"/>
      <c r="B102" s="276"/>
      <c r="C102" s="276"/>
      <c r="D102" s="276"/>
      <c r="E102" s="276"/>
      <c r="F102" s="276"/>
      <c r="G102" s="276"/>
    </row>
    <row r="103" spans="1:7" s="277" customFormat="1" x14ac:dyDescent="0.25">
      <c r="A103" s="276"/>
      <c r="B103" s="276"/>
      <c r="C103" s="276"/>
      <c r="D103" s="276"/>
      <c r="E103" s="276"/>
      <c r="F103" s="276"/>
      <c r="G103" s="276"/>
    </row>
    <row r="104" spans="1:7" s="277" customFormat="1" x14ac:dyDescent="0.25">
      <c r="A104" s="276"/>
      <c r="B104" s="276"/>
      <c r="C104" s="276"/>
      <c r="D104" s="276"/>
      <c r="E104" s="276"/>
      <c r="F104" s="276"/>
      <c r="G104" s="276"/>
    </row>
    <row r="105" spans="1:7" s="277" customFormat="1" x14ac:dyDescent="0.25">
      <c r="A105" s="276"/>
      <c r="B105" s="276"/>
      <c r="C105" s="276"/>
      <c r="D105" s="276"/>
      <c r="E105" s="276"/>
      <c r="F105" s="276"/>
      <c r="G105" s="276"/>
    </row>
    <row r="106" spans="1:7" s="277" customFormat="1" x14ac:dyDescent="0.25">
      <c r="A106" s="276"/>
      <c r="B106" s="276"/>
      <c r="C106" s="276"/>
      <c r="D106" s="276"/>
      <c r="E106" s="276"/>
      <c r="F106" s="276"/>
      <c r="G106" s="276"/>
    </row>
    <row r="107" spans="1:7" s="277" customFormat="1" x14ac:dyDescent="0.25">
      <c r="A107" s="276"/>
      <c r="B107" s="276"/>
      <c r="C107" s="276"/>
      <c r="D107" s="276"/>
      <c r="E107" s="276"/>
      <c r="F107" s="276"/>
      <c r="G107" s="276"/>
    </row>
    <row r="108" spans="1:7" s="277" customFormat="1" x14ac:dyDescent="0.25">
      <c r="A108" s="276"/>
      <c r="B108" s="276"/>
      <c r="C108" s="276"/>
      <c r="D108" s="276"/>
      <c r="E108" s="276"/>
      <c r="F108" s="276"/>
      <c r="G108" s="276"/>
    </row>
    <row r="109" spans="1:7" s="277" customFormat="1" x14ac:dyDescent="0.25">
      <c r="A109" s="276"/>
      <c r="B109" s="276"/>
      <c r="C109" s="276"/>
      <c r="D109" s="276"/>
      <c r="E109" s="276"/>
      <c r="F109" s="276"/>
      <c r="G109" s="276"/>
    </row>
    <row r="110" spans="1:7" s="277" customFormat="1" x14ac:dyDescent="0.25">
      <c r="A110" s="276"/>
      <c r="B110" s="276"/>
      <c r="C110" s="276"/>
      <c r="D110" s="276"/>
      <c r="E110" s="276"/>
      <c r="F110" s="276"/>
      <c r="G110" s="276"/>
    </row>
    <row r="111" spans="1:7" s="277" customFormat="1" x14ac:dyDescent="0.25">
      <c r="A111" s="276"/>
      <c r="B111" s="276"/>
      <c r="C111" s="276"/>
      <c r="D111" s="276"/>
      <c r="E111" s="276"/>
      <c r="F111" s="276"/>
      <c r="G111" s="276"/>
    </row>
    <row r="112" spans="1:7" s="277" customFormat="1" x14ac:dyDescent="0.25">
      <c r="A112" s="276"/>
      <c r="B112" s="276"/>
      <c r="C112" s="276"/>
      <c r="D112" s="276"/>
      <c r="E112" s="276"/>
      <c r="F112" s="276"/>
      <c r="G112" s="276"/>
    </row>
    <row r="113" spans="1:7" s="277" customFormat="1" x14ac:dyDescent="0.25">
      <c r="A113" s="276"/>
      <c r="B113" s="276"/>
      <c r="C113" s="276"/>
      <c r="D113" s="276"/>
      <c r="E113" s="276"/>
      <c r="F113" s="276"/>
      <c r="G113" s="276"/>
    </row>
    <row r="114" spans="1:7" s="277" customFormat="1" x14ac:dyDescent="0.25">
      <c r="A114" s="276"/>
      <c r="B114" s="276"/>
      <c r="C114" s="276"/>
      <c r="D114" s="276"/>
      <c r="E114" s="276"/>
      <c r="F114" s="276"/>
      <c r="G114" s="276"/>
    </row>
    <row r="115" spans="1:7" s="277" customFormat="1" x14ac:dyDescent="0.25">
      <c r="A115" s="276"/>
      <c r="B115" s="276"/>
      <c r="C115" s="276"/>
      <c r="D115" s="276"/>
      <c r="E115" s="276"/>
      <c r="F115" s="276"/>
      <c r="G115" s="276"/>
    </row>
    <row r="116" spans="1:7" s="277" customFormat="1" x14ac:dyDescent="0.25">
      <c r="A116" s="276"/>
      <c r="B116" s="276"/>
      <c r="C116" s="276"/>
      <c r="D116" s="276"/>
      <c r="E116" s="276"/>
      <c r="F116" s="276"/>
      <c r="G116" s="276"/>
    </row>
    <row r="117" spans="1:7" s="277" customFormat="1" x14ac:dyDescent="0.25">
      <c r="A117" s="276"/>
      <c r="B117" s="276"/>
      <c r="C117" s="276"/>
      <c r="D117" s="276"/>
      <c r="E117" s="276"/>
      <c r="F117" s="276"/>
      <c r="G117" s="276"/>
    </row>
    <row r="118" spans="1:7" s="277" customFormat="1" x14ac:dyDescent="0.25">
      <c r="A118" s="276"/>
      <c r="B118" s="276"/>
      <c r="C118" s="276"/>
      <c r="D118" s="276"/>
      <c r="E118" s="276"/>
      <c r="F118" s="276"/>
      <c r="G118" s="276"/>
    </row>
    <row r="119" spans="1:7" s="277" customFormat="1" x14ac:dyDescent="0.25">
      <c r="A119" s="276"/>
      <c r="B119" s="276"/>
      <c r="C119" s="276"/>
      <c r="D119" s="276"/>
      <c r="E119" s="276"/>
      <c r="F119" s="276"/>
      <c r="G119" s="276"/>
    </row>
    <row r="120" spans="1:7" s="277" customFormat="1" x14ac:dyDescent="0.25">
      <c r="A120" s="276"/>
      <c r="B120" s="276"/>
      <c r="C120" s="276"/>
      <c r="D120" s="276"/>
      <c r="E120" s="276"/>
      <c r="F120" s="276"/>
      <c r="G120" s="276"/>
    </row>
    <row r="121" spans="1:7" s="277" customFormat="1" x14ac:dyDescent="0.25">
      <c r="A121" s="276"/>
      <c r="B121" s="276"/>
      <c r="C121" s="276"/>
      <c r="D121" s="276"/>
      <c r="E121" s="276"/>
      <c r="F121" s="276"/>
      <c r="G121" s="276"/>
    </row>
    <row r="122" spans="1:7" s="277" customFormat="1" x14ac:dyDescent="0.25">
      <c r="A122" s="276"/>
      <c r="B122" s="276"/>
      <c r="C122" s="276"/>
      <c r="D122" s="276"/>
      <c r="E122" s="276"/>
      <c r="F122" s="276"/>
      <c r="G122" s="276"/>
    </row>
    <row r="123" spans="1:7" s="277" customFormat="1" x14ac:dyDescent="0.25">
      <c r="A123" s="276"/>
      <c r="B123" s="276"/>
      <c r="C123" s="276"/>
      <c r="D123" s="276"/>
      <c r="E123" s="276"/>
      <c r="F123" s="276"/>
      <c r="G123" s="276"/>
    </row>
    <row r="124" spans="1:7" s="277" customFormat="1" x14ac:dyDescent="0.25">
      <c r="A124" s="276"/>
      <c r="B124" s="276"/>
      <c r="C124" s="276"/>
      <c r="D124" s="276"/>
      <c r="E124" s="276"/>
      <c r="F124" s="276"/>
      <c r="G124" s="276"/>
    </row>
    <row r="125" spans="1:7" s="277" customFormat="1" x14ac:dyDescent="0.25">
      <c r="A125" s="276"/>
      <c r="B125" s="276"/>
      <c r="C125" s="276"/>
      <c r="D125" s="276"/>
      <c r="E125" s="276"/>
      <c r="F125" s="276"/>
      <c r="G125" s="276"/>
    </row>
    <row r="126" spans="1:7" s="277" customFormat="1" x14ac:dyDescent="0.25">
      <c r="A126" s="276"/>
      <c r="B126" s="276"/>
      <c r="C126" s="276"/>
      <c r="D126" s="276"/>
      <c r="E126" s="276"/>
      <c r="F126" s="276"/>
      <c r="G126" s="276"/>
    </row>
    <row r="127" spans="1:7" s="277" customFormat="1" x14ac:dyDescent="0.25">
      <c r="A127" s="276"/>
      <c r="B127" s="276"/>
      <c r="C127" s="276"/>
      <c r="D127" s="276"/>
      <c r="E127" s="276"/>
      <c r="F127" s="276"/>
      <c r="G127" s="276"/>
    </row>
    <row r="128" spans="1:7" s="277" customFormat="1" x14ac:dyDescent="0.25">
      <c r="A128" s="276"/>
      <c r="B128" s="276"/>
      <c r="C128" s="276"/>
      <c r="D128" s="276"/>
      <c r="E128" s="276"/>
      <c r="F128" s="276"/>
      <c r="G128" s="276"/>
    </row>
    <row r="129" spans="1:7" s="277" customFormat="1" x14ac:dyDescent="0.25">
      <c r="A129" s="276"/>
      <c r="B129" s="276"/>
      <c r="C129" s="276"/>
      <c r="D129" s="276"/>
      <c r="E129" s="276"/>
      <c r="F129" s="276"/>
      <c r="G129" s="276"/>
    </row>
    <row r="130" spans="1:7" s="277" customFormat="1" x14ac:dyDescent="0.25">
      <c r="A130" s="276"/>
      <c r="B130" s="276"/>
      <c r="C130" s="276"/>
      <c r="D130" s="276"/>
      <c r="E130" s="276"/>
      <c r="F130" s="276"/>
      <c r="G130" s="276"/>
    </row>
    <row r="131" spans="1:7" s="277" customFormat="1" x14ac:dyDescent="0.25">
      <c r="A131" s="276"/>
      <c r="B131" s="276"/>
      <c r="C131" s="276"/>
      <c r="D131" s="276"/>
      <c r="E131" s="276"/>
      <c r="F131" s="276"/>
      <c r="G131" s="276"/>
    </row>
    <row r="132" spans="1:7" s="277" customFormat="1" x14ac:dyDescent="0.25">
      <c r="A132" s="276"/>
      <c r="B132" s="276"/>
      <c r="C132" s="276"/>
      <c r="D132" s="276"/>
      <c r="E132" s="276"/>
      <c r="F132" s="276"/>
      <c r="G132" s="276"/>
    </row>
    <row r="133" spans="1:7" s="277" customFormat="1" x14ac:dyDescent="0.25">
      <c r="A133" s="276"/>
      <c r="B133" s="276"/>
      <c r="C133" s="276"/>
      <c r="D133" s="276"/>
      <c r="E133" s="276"/>
      <c r="F133" s="276"/>
      <c r="G133" s="276"/>
    </row>
    <row r="134" spans="1:7" s="277" customFormat="1" x14ac:dyDescent="0.25">
      <c r="A134" s="276"/>
      <c r="B134" s="276"/>
      <c r="C134" s="276"/>
      <c r="D134" s="276"/>
      <c r="E134" s="276"/>
      <c r="F134" s="276"/>
      <c r="G134" s="276"/>
    </row>
    <row r="135" spans="1:7" s="277" customFormat="1" x14ac:dyDescent="0.25">
      <c r="A135" s="276"/>
      <c r="B135" s="276"/>
      <c r="C135" s="276"/>
      <c r="D135" s="276"/>
      <c r="E135" s="276"/>
      <c r="F135" s="276"/>
      <c r="G135" s="276"/>
    </row>
    <row r="136" spans="1:7" s="277" customFormat="1" x14ac:dyDescent="0.25">
      <c r="A136" s="276"/>
      <c r="B136" s="276"/>
      <c r="C136" s="276"/>
      <c r="D136" s="276"/>
      <c r="E136" s="276"/>
      <c r="F136" s="276"/>
      <c r="G136" s="276"/>
    </row>
    <row r="137" spans="1:7" s="277" customFormat="1" x14ac:dyDescent="0.25">
      <c r="A137" s="276"/>
      <c r="B137" s="276"/>
      <c r="C137" s="276"/>
      <c r="D137" s="276"/>
      <c r="E137" s="276"/>
      <c r="F137" s="276"/>
      <c r="G137" s="276"/>
    </row>
    <row r="138" spans="1:7" s="277" customFormat="1" x14ac:dyDescent="0.25">
      <c r="A138" s="276"/>
      <c r="B138" s="276"/>
      <c r="C138" s="276"/>
      <c r="D138" s="276"/>
      <c r="E138" s="276"/>
      <c r="F138" s="276"/>
      <c r="G138" s="276"/>
    </row>
    <row r="139" spans="1:7" s="277" customFormat="1" x14ac:dyDescent="0.25">
      <c r="A139" s="276"/>
      <c r="B139" s="276"/>
      <c r="C139" s="276"/>
      <c r="D139" s="276"/>
      <c r="E139" s="276"/>
      <c r="F139" s="276"/>
      <c r="G139" s="276"/>
    </row>
    <row r="140" spans="1:7" s="277" customFormat="1" x14ac:dyDescent="0.25">
      <c r="A140" s="276"/>
      <c r="B140" s="276"/>
      <c r="C140" s="276"/>
      <c r="D140" s="276"/>
      <c r="E140" s="276"/>
      <c r="F140" s="276"/>
      <c r="G140" s="276"/>
    </row>
    <row r="141" spans="1:7" s="277" customFormat="1" x14ac:dyDescent="0.25">
      <c r="A141" s="276"/>
      <c r="B141" s="276"/>
      <c r="C141" s="276"/>
      <c r="D141" s="276"/>
      <c r="E141" s="276"/>
      <c r="F141" s="276"/>
      <c r="G141" s="276"/>
    </row>
    <row r="142" spans="1:7" s="277" customFormat="1" x14ac:dyDescent="0.25">
      <c r="A142" s="276"/>
      <c r="B142" s="276"/>
      <c r="C142" s="276"/>
      <c r="D142" s="276"/>
      <c r="E142" s="276"/>
      <c r="F142" s="276"/>
      <c r="G142" s="276"/>
    </row>
    <row r="143" spans="1:7" s="277" customFormat="1" x14ac:dyDescent="0.25">
      <c r="A143" s="276"/>
      <c r="B143" s="276"/>
      <c r="C143" s="276"/>
      <c r="D143" s="276"/>
      <c r="E143" s="276"/>
      <c r="F143" s="276"/>
      <c r="G143" s="276"/>
    </row>
    <row r="144" spans="1:7" s="277" customFormat="1" x14ac:dyDescent="0.25">
      <c r="A144" s="276"/>
      <c r="B144" s="276"/>
      <c r="C144" s="276"/>
      <c r="D144" s="276"/>
      <c r="E144" s="276"/>
      <c r="F144" s="276"/>
      <c r="G144" s="276"/>
    </row>
    <row r="145" spans="1:7" s="277" customFormat="1" x14ac:dyDescent="0.25">
      <c r="A145" s="276"/>
      <c r="B145" s="276"/>
      <c r="C145" s="276"/>
      <c r="D145" s="276"/>
      <c r="E145" s="276"/>
      <c r="F145" s="276"/>
      <c r="G145" s="276"/>
    </row>
    <row r="146" spans="1:7" s="277" customFormat="1" x14ac:dyDescent="0.25">
      <c r="A146" s="276"/>
      <c r="B146" s="276"/>
      <c r="C146" s="276"/>
      <c r="D146" s="276"/>
      <c r="E146" s="276"/>
      <c r="F146" s="276"/>
      <c r="G146" s="276"/>
    </row>
    <row r="147" spans="1:7" s="277" customFormat="1" x14ac:dyDescent="0.25">
      <c r="A147" s="276"/>
      <c r="B147" s="276"/>
      <c r="C147" s="276"/>
      <c r="D147" s="276"/>
      <c r="E147" s="276"/>
      <c r="F147" s="276"/>
      <c r="G147" s="276"/>
    </row>
    <row r="148" spans="1:7" s="277" customFormat="1" x14ac:dyDescent="0.25">
      <c r="A148" s="276"/>
      <c r="B148" s="276"/>
      <c r="C148" s="276"/>
      <c r="D148" s="276"/>
      <c r="E148" s="276"/>
      <c r="F148" s="276"/>
      <c r="G148" s="276"/>
    </row>
    <row r="149" spans="1:7" s="277" customFormat="1" x14ac:dyDescent="0.25">
      <c r="A149" s="276"/>
      <c r="B149" s="276"/>
      <c r="C149" s="276"/>
      <c r="D149" s="276"/>
      <c r="E149" s="276"/>
      <c r="F149" s="276"/>
      <c r="G149" s="276"/>
    </row>
    <row r="150" spans="1:7" s="277" customFormat="1" x14ac:dyDescent="0.25">
      <c r="A150" s="276"/>
      <c r="B150" s="276"/>
      <c r="C150" s="276"/>
      <c r="D150" s="276"/>
      <c r="E150" s="276"/>
      <c r="F150" s="276"/>
      <c r="G150" s="276"/>
    </row>
    <row r="151" spans="1:7" s="277" customFormat="1" x14ac:dyDescent="0.25">
      <c r="A151" s="276"/>
      <c r="B151" s="276"/>
      <c r="C151" s="276"/>
      <c r="D151" s="276"/>
      <c r="E151" s="276"/>
      <c r="F151" s="276"/>
      <c r="G151" s="276"/>
    </row>
    <row r="152" spans="1:7" s="277" customFormat="1" x14ac:dyDescent="0.25">
      <c r="A152" s="276"/>
      <c r="B152" s="276"/>
      <c r="C152" s="276"/>
      <c r="D152" s="276"/>
      <c r="E152" s="276"/>
      <c r="F152" s="276"/>
      <c r="G152" s="276"/>
    </row>
    <row r="153" spans="1:7" s="277" customFormat="1" x14ac:dyDescent="0.25">
      <c r="A153" s="276"/>
      <c r="B153" s="276"/>
      <c r="C153" s="276"/>
      <c r="D153" s="276"/>
      <c r="E153" s="276"/>
      <c r="F153" s="276"/>
      <c r="G153" s="276"/>
    </row>
    <row r="154" spans="1:7" s="277" customFormat="1" x14ac:dyDescent="0.25">
      <c r="A154" s="276"/>
      <c r="B154" s="276"/>
      <c r="C154" s="276"/>
      <c r="D154" s="276"/>
      <c r="E154" s="276"/>
      <c r="F154" s="276"/>
      <c r="G154" s="276"/>
    </row>
    <row r="155" spans="1:7" s="277" customFormat="1" x14ac:dyDescent="0.25">
      <c r="A155" s="276"/>
      <c r="B155" s="276"/>
      <c r="C155" s="276"/>
      <c r="D155" s="276"/>
      <c r="E155" s="276"/>
      <c r="F155" s="276"/>
      <c r="G155" s="276"/>
    </row>
    <row r="156" spans="1:7" s="277" customFormat="1" x14ac:dyDescent="0.25">
      <c r="A156" s="276"/>
      <c r="B156" s="276"/>
      <c r="C156" s="276"/>
      <c r="D156" s="276"/>
      <c r="E156" s="276"/>
      <c r="F156" s="276"/>
      <c r="G156" s="276"/>
    </row>
    <row r="157" spans="1:7" s="277" customFormat="1" x14ac:dyDescent="0.25">
      <c r="A157" s="276"/>
      <c r="B157" s="276"/>
      <c r="C157" s="276"/>
      <c r="D157" s="276"/>
      <c r="E157" s="276"/>
      <c r="F157" s="276"/>
      <c r="G157" s="276"/>
    </row>
    <row r="158" spans="1:7" s="277" customFormat="1" x14ac:dyDescent="0.25">
      <c r="A158" s="276"/>
      <c r="B158" s="276"/>
      <c r="C158" s="276"/>
      <c r="D158" s="276"/>
      <c r="E158" s="276"/>
      <c r="F158" s="276"/>
      <c r="G158" s="276"/>
    </row>
    <row r="159" spans="1:7" s="277" customFormat="1" x14ac:dyDescent="0.25">
      <c r="A159" s="276"/>
      <c r="B159" s="276"/>
      <c r="C159" s="276"/>
      <c r="D159" s="276"/>
      <c r="E159" s="276"/>
      <c r="F159" s="276"/>
      <c r="G159" s="276"/>
    </row>
    <row r="160" spans="1:7" s="277" customFormat="1" x14ac:dyDescent="0.25">
      <c r="A160" s="276"/>
      <c r="B160" s="276"/>
      <c r="C160" s="276"/>
      <c r="D160" s="276"/>
      <c r="E160" s="276"/>
      <c r="F160" s="276"/>
      <c r="G160" s="276"/>
    </row>
    <row r="161" spans="1:7" s="277" customFormat="1" x14ac:dyDescent="0.25">
      <c r="A161" s="276"/>
      <c r="B161" s="276"/>
      <c r="C161" s="276"/>
      <c r="D161" s="276"/>
      <c r="E161" s="276"/>
      <c r="F161" s="276"/>
      <c r="G161" s="276"/>
    </row>
    <row r="162" spans="1:7" s="277" customFormat="1" x14ac:dyDescent="0.25">
      <c r="A162" s="276"/>
      <c r="B162" s="276"/>
      <c r="C162" s="276"/>
      <c r="D162" s="276"/>
      <c r="E162" s="276"/>
      <c r="F162" s="276"/>
      <c r="G162" s="276"/>
    </row>
    <row r="163" spans="1:7" s="277" customFormat="1" x14ac:dyDescent="0.25">
      <c r="A163" s="276"/>
      <c r="B163" s="276"/>
      <c r="C163" s="276"/>
      <c r="D163" s="276"/>
      <c r="E163" s="276"/>
      <c r="F163" s="276"/>
      <c r="G163" s="276"/>
    </row>
    <row r="164" spans="1:7" s="277" customFormat="1" x14ac:dyDescent="0.25">
      <c r="A164" s="276"/>
      <c r="B164" s="276"/>
      <c r="C164" s="276"/>
      <c r="D164" s="276"/>
      <c r="E164" s="276"/>
      <c r="F164" s="276"/>
      <c r="G164" s="276"/>
    </row>
    <row r="165" spans="1:7" s="277" customFormat="1" x14ac:dyDescent="0.25">
      <c r="A165" s="276"/>
      <c r="B165" s="276"/>
      <c r="C165" s="276"/>
      <c r="D165" s="276"/>
      <c r="E165" s="276"/>
      <c r="F165" s="276"/>
      <c r="G165" s="276"/>
    </row>
    <row r="166" spans="1:7" s="277" customFormat="1" x14ac:dyDescent="0.25">
      <c r="A166" s="276"/>
      <c r="B166" s="276"/>
      <c r="C166" s="276"/>
      <c r="D166" s="276"/>
      <c r="E166" s="276"/>
      <c r="F166" s="276"/>
      <c r="G166" s="276"/>
    </row>
    <row r="167" spans="1:7" s="277" customFormat="1" x14ac:dyDescent="0.25">
      <c r="A167" s="276"/>
      <c r="B167" s="276"/>
      <c r="C167" s="276"/>
      <c r="D167" s="276"/>
      <c r="E167" s="276"/>
      <c r="F167" s="276"/>
      <c r="G167" s="276"/>
    </row>
    <row r="168" spans="1:7" s="277" customFormat="1" x14ac:dyDescent="0.25">
      <c r="A168" s="276"/>
      <c r="B168" s="276"/>
      <c r="C168" s="276"/>
      <c r="D168" s="276"/>
      <c r="E168" s="276"/>
      <c r="F168" s="276"/>
      <c r="G168" s="276"/>
    </row>
    <row r="169" spans="1:7" s="277" customFormat="1" x14ac:dyDescent="0.25">
      <c r="A169" s="276"/>
      <c r="B169" s="276"/>
      <c r="C169" s="276"/>
      <c r="D169" s="276"/>
      <c r="E169" s="276"/>
      <c r="F169" s="276"/>
      <c r="G169" s="276"/>
    </row>
    <row r="170" spans="1:7" s="277" customFormat="1" x14ac:dyDescent="0.25">
      <c r="A170" s="276"/>
      <c r="B170" s="276"/>
      <c r="C170" s="276"/>
      <c r="D170" s="276"/>
      <c r="E170" s="276"/>
      <c r="F170" s="276"/>
      <c r="G170" s="276"/>
    </row>
    <row r="171" spans="1:7" s="277" customFormat="1" x14ac:dyDescent="0.25">
      <c r="A171" s="276"/>
      <c r="B171" s="276"/>
      <c r="C171" s="276"/>
      <c r="D171" s="276"/>
      <c r="E171" s="276"/>
      <c r="F171" s="276"/>
      <c r="G171" s="276"/>
    </row>
    <row r="172" spans="1:7" s="277" customFormat="1" x14ac:dyDescent="0.25">
      <c r="A172" s="276"/>
      <c r="B172" s="276"/>
      <c r="C172" s="276"/>
      <c r="D172" s="276"/>
      <c r="E172" s="276"/>
      <c r="F172" s="276"/>
      <c r="G172" s="276"/>
    </row>
    <row r="173" spans="1:7" s="277" customFormat="1" x14ac:dyDescent="0.25">
      <c r="A173" s="276"/>
      <c r="B173" s="276"/>
      <c r="C173" s="276"/>
      <c r="D173" s="276"/>
      <c r="E173" s="276"/>
      <c r="F173" s="276"/>
      <c r="G173" s="276"/>
    </row>
    <row r="174" spans="1:7" s="277" customFormat="1" x14ac:dyDescent="0.25">
      <c r="A174" s="276"/>
      <c r="B174" s="276"/>
      <c r="C174" s="276"/>
      <c r="D174" s="276"/>
      <c r="E174" s="276"/>
      <c r="F174" s="276"/>
      <c r="G174" s="276"/>
    </row>
    <row r="175" spans="1:7" s="277" customFormat="1" x14ac:dyDescent="0.25">
      <c r="A175" s="276"/>
      <c r="B175" s="276"/>
      <c r="C175" s="276"/>
      <c r="D175" s="276"/>
      <c r="E175" s="276"/>
      <c r="F175" s="276"/>
      <c r="G175" s="276"/>
    </row>
    <row r="176" spans="1:7" s="277" customFormat="1" x14ac:dyDescent="0.25">
      <c r="A176" s="276"/>
      <c r="B176" s="276"/>
      <c r="C176" s="276"/>
      <c r="D176" s="276"/>
      <c r="E176" s="276"/>
      <c r="F176" s="276"/>
      <c r="G176" s="276"/>
    </row>
    <row r="177" spans="1:7" s="277" customFormat="1" x14ac:dyDescent="0.25">
      <c r="A177" s="276"/>
      <c r="B177" s="276"/>
      <c r="C177" s="276"/>
      <c r="D177" s="276"/>
      <c r="E177" s="276"/>
      <c r="F177" s="276"/>
      <c r="G177" s="276"/>
    </row>
    <row r="178" spans="1:7" s="277" customFormat="1" x14ac:dyDescent="0.25">
      <c r="A178" s="276"/>
      <c r="B178" s="276"/>
      <c r="C178" s="276"/>
      <c r="D178" s="276"/>
      <c r="E178" s="276"/>
      <c r="F178" s="276"/>
      <c r="G178" s="276"/>
    </row>
    <row r="179" spans="1:7" s="277" customFormat="1" x14ac:dyDescent="0.25">
      <c r="A179" s="276"/>
      <c r="B179" s="276"/>
      <c r="C179" s="276"/>
      <c r="D179" s="276"/>
      <c r="E179" s="276"/>
      <c r="F179" s="276"/>
      <c r="G179" s="276"/>
    </row>
    <row r="180" spans="1:7" s="277" customFormat="1" x14ac:dyDescent="0.25">
      <c r="A180" s="276"/>
      <c r="B180" s="276"/>
      <c r="C180" s="276"/>
      <c r="D180" s="276"/>
      <c r="E180" s="276"/>
      <c r="F180" s="276"/>
      <c r="G180" s="276"/>
    </row>
    <row r="181" spans="1:7" s="277" customFormat="1" x14ac:dyDescent="0.25">
      <c r="A181" s="276"/>
      <c r="B181" s="276"/>
      <c r="C181" s="276"/>
      <c r="D181" s="276"/>
      <c r="E181" s="276"/>
      <c r="F181" s="276"/>
      <c r="G181" s="276"/>
    </row>
    <row r="182" spans="1:7" s="277" customFormat="1" x14ac:dyDescent="0.25">
      <c r="A182" s="276"/>
      <c r="B182" s="276"/>
      <c r="C182" s="276"/>
      <c r="D182" s="276"/>
      <c r="E182" s="276"/>
      <c r="F182" s="276"/>
      <c r="G182" s="276"/>
    </row>
    <row r="183" spans="1:7" s="277" customFormat="1" x14ac:dyDescent="0.25">
      <c r="A183" s="276"/>
      <c r="B183" s="276"/>
      <c r="C183" s="276"/>
      <c r="D183" s="276"/>
      <c r="E183" s="276"/>
      <c r="F183" s="276"/>
      <c r="G183" s="276"/>
    </row>
    <row r="184" spans="1:7" s="277" customFormat="1" x14ac:dyDescent="0.25">
      <c r="A184" s="276"/>
      <c r="B184" s="276"/>
      <c r="C184" s="276"/>
      <c r="D184" s="276"/>
      <c r="E184" s="276"/>
      <c r="F184" s="276"/>
      <c r="G184" s="276"/>
    </row>
    <row r="185" spans="1:7" s="277" customFormat="1" x14ac:dyDescent="0.25">
      <c r="A185" s="276"/>
      <c r="B185" s="276"/>
      <c r="C185" s="276"/>
      <c r="D185" s="276"/>
      <c r="E185" s="276"/>
      <c r="F185" s="276"/>
      <c r="G185" s="276"/>
    </row>
    <row r="186" spans="1:7" s="277" customFormat="1" x14ac:dyDescent="0.25">
      <c r="A186" s="276"/>
      <c r="B186" s="276"/>
      <c r="C186" s="276"/>
      <c r="D186" s="276"/>
      <c r="E186" s="276"/>
      <c r="F186" s="276"/>
      <c r="G186" s="276"/>
    </row>
    <row r="187" spans="1:7" s="277" customFormat="1" x14ac:dyDescent="0.25">
      <c r="A187" s="276"/>
      <c r="B187" s="276"/>
      <c r="C187" s="276"/>
      <c r="D187" s="276"/>
      <c r="E187" s="276"/>
      <c r="F187" s="276"/>
      <c r="G187" s="276"/>
    </row>
    <row r="188" spans="1:7" s="277" customFormat="1" x14ac:dyDescent="0.25">
      <c r="A188" s="276"/>
      <c r="B188" s="276"/>
      <c r="C188" s="276"/>
      <c r="D188" s="276"/>
      <c r="E188" s="276"/>
      <c r="F188" s="276"/>
      <c r="G188" s="276"/>
    </row>
    <row r="189" spans="1:7" s="277" customFormat="1" x14ac:dyDescent="0.25">
      <c r="A189" s="276"/>
      <c r="B189" s="276"/>
      <c r="C189" s="276"/>
      <c r="D189" s="276"/>
      <c r="E189" s="276"/>
      <c r="F189" s="276"/>
      <c r="G189" s="276"/>
    </row>
    <row r="190" spans="1:7" s="277" customFormat="1" x14ac:dyDescent="0.25">
      <c r="A190" s="276"/>
      <c r="B190" s="276"/>
      <c r="C190" s="276"/>
      <c r="D190" s="276"/>
      <c r="E190" s="276"/>
      <c r="F190" s="276"/>
      <c r="G190" s="276"/>
    </row>
    <row r="191" spans="1:7" s="277" customFormat="1" x14ac:dyDescent="0.25">
      <c r="A191" s="276"/>
      <c r="B191" s="276"/>
      <c r="C191" s="276"/>
      <c r="D191" s="276"/>
      <c r="E191" s="276"/>
      <c r="F191" s="276"/>
      <c r="G191" s="276"/>
    </row>
    <row r="192" spans="1:7" s="277" customFormat="1" x14ac:dyDescent="0.25">
      <c r="A192" s="276"/>
      <c r="B192" s="276"/>
      <c r="C192" s="276"/>
      <c r="D192" s="276"/>
      <c r="E192" s="276"/>
      <c r="F192" s="276"/>
      <c r="G192" s="276"/>
    </row>
    <row r="193" spans="1:7" s="277" customFormat="1" x14ac:dyDescent="0.25">
      <c r="A193" s="276"/>
      <c r="B193" s="276"/>
      <c r="C193" s="276"/>
      <c r="D193" s="276"/>
      <c r="E193" s="276"/>
      <c r="F193" s="276"/>
      <c r="G193" s="276"/>
    </row>
    <row r="194" spans="1:7" s="277" customFormat="1" x14ac:dyDescent="0.25">
      <c r="A194" s="276"/>
      <c r="B194" s="276"/>
      <c r="C194" s="276"/>
      <c r="D194" s="276"/>
      <c r="E194" s="276"/>
      <c r="F194" s="276"/>
      <c r="G194" s="276"/>
    </row>
    <row r="195" spans="1:7" s="277" customFormat="1" x14ac:dyDescent="0.25">
      <c r="A195" s="276"/>
      <c r="B195" s="276"/>
      <c r="C195" s="276"/>
      <c r="D195" s="276"/>
      <c r="E195" s="276"/>
      <c r="F195" s="276"/>
      <c r="G195" s="276"/>
    </row>
    <row r="196" spans="1:7" s="277" customFormat="1" x14ac:dyDescent="0.25">
      <c r="A196" s="276"/>
      <c r="B196" s="276"/>
      <c r="C196" s="276"/>
      <c r="D196" s="276"/>
      <c r="E196" s="276"/>
      <c r="F196" s="276"/>
      <c r="G196" s="276"/>
    </row>
    <row r="197" spans="1:7" s="277" customFormat="1" x14ac:dyDescent="0.25">
      <c r="A197" s="276"/>
      <c r="B197" s="276"/>
      <c r="C197" s="276"/>
      <c r="D197" s="276"/>
      <c r="E197" s="276"/>
      <c r="F197" s="276"/>
      <c r="G197" s="276"/>
    </row>
    <row r="198" spans="1:7" s="277" customFormat="1" x14ac:dyDescent="0.25">
      <c r="A198" s="276"/>
      <c r="B198" s="276"/>
      <c r="C198" s="276"/>
      <c r="D198" s="276"/>
      <c r="E198" s="276"/>
      <c r="F198" s="276"/>
      <c r="G198" s="276"/>
    </row>
    <row r="199" spans="1:7" s="277" customFormat="1" x14ac:dyDescent="0.25">
      <c r="A199" s="276"/>
      <c r="B199" s="276"/>
      <c r="C199" s="276"/>
      <c r="D199" s="276"/>
      <c r="E199" s="276"/>
      <c r="F199" s="276"/>
      <c r="G199" s="276"/>
    </row>
    <row r="200" spans="1:7" s="277" customFormat="1" x14ac:dyDescent="0.25">
      <c r="A200" s="276"/>
      <c r="B200" s="276"/>
      <c r="C200" s="276"/>
      <c r="D200" s="276"/>
      <c r="E200" s="276"/>
      <c r="F200" s="278"/>
      <c r="G200" s="276"/>
    </row>
    <row r="201" spans="1:7" s="277" customFormat="1" x14ac:dyDescent="0.25">
      <c r="A201" s="276"/>
      <c r="B201" s="276"/>
      <c r="C201" s="276"/>
      <c r="D201" s="276"/>
      <c r="E201" s="276"/>
      <c r="F201" s="276"/>
      <c r="G201" s="276"/>
    </row>
    <row r="202" spans="1:7" s="277" customFormat="1" x14ac:dyDescent="0.25">
      <c r="A202" s="276"/>
      <c r="B202" s="276"/>
      <c r="C202" s="276"/>
      <c r="D202" s="276"/>
      <c r="E202" s="276"/>
      <c r="F202" s="276"/>
      <c r="G202" s="276"/>
    </row>
    <row r="203" spans="1:7" s="277" customFormat="1" x14ac:dyDescent="0.25">
      <c r="A203" s="276"/>
      <c r="B203" s="276"/>
      <c r="C203" s="276"/>
      <c r="D203" s="276"/>
      <c r="E203" s="276"/>
      <c r="F203" s="276"/>
      <c r="G203" s="276"/>
    </row>
    <row r="204" spans="1:7" s="277" customFormat="1" x14ac:dyDescent="0.25">
      <c r="A204" s="276"/>
      <c r="B204" s="276"/>
      <c r="C204" s="276"/>
      <c r="D204" s="276"/>
      <c r="E204" s="276"/>
      <c r="F204" s="276"/>
      <c r="G204" s="276"/>
    </row>
    <row r="205" spans="1:7" s="277" customFormat="1" x14ac:dyDescent="0.25">
      <c r="A205" s="276"/>
      <c r="B205" s="276"/>
      <c r="C205" s="276"/>
      <c r="D205" s="276"/>
      <c r="E205" s="276"/>
      <c r="F205" s="276"/>
      <c r="G205" s="276"/>
    </row>
    <row r="206" spans="1:7" s="277" customFormat="1" x14ac:dyDescent="0.25">
      <c r="A206" s="276"/>
      <c r="B206" s="276"/>
      <c r="C206" s="276"/>
      <c r="D206" s="276"/>
      <c r="E206" s="276"/>
      <c r="F206" s="276"/>
      <c r="G206" s="276"/>
    </row>
    <row r="207" spans="1:7" s="277" customFormat="1" x14ac:dyDescent="0.25">
      <c r="A207" s="276"/>
      <c r="B207" s="276"/>
      <c r="C207" s="276"/>
      <c r="D207" s="276"/>
      <c r="E207" s="276"/>
      <c r="F207" s="276"/>
      <c r="G207" s="276"/>
    </row>
    <row r="208" spans="1:7" s="277" customFormat="1" x14ac:dyDescent="0.25">
      <c r="A208" s="276"/>
      <c r="B208" s="276"/>
      <c r="C208" s="276"/>
      <c r="D208" s="276"/>
      <c r="E208" s="276"/>
      <c r="F208" s="276"/>
      <c r="G208" s="276"/>
    </row>
    <row r="209" spans="1:7" s="277" customFormat="1" x14ac:dyDescent="0.25">
      <c r="A209" s="276"/>
      <c r="B209" s="276"/>
      <c r="C209" s="276"/>
      <c r="D209" s="276"/>
      <c r="E209" s="276"/>
      <c r="F209" s="276"/>
      <c r="G209" s="276"/>
    </row>
    <row r="210" spans="1:7" s="277" customFormat="1" x14ac:dyDescent="0.25">
      <c r="A210" s="276"/>
      <c r="B210" s="276"/>
      <c r="C210" s="276"/>
      <c r="D210" s="276"/>
      <c r="E210" s="276"/>
      <c r="F210" s="276"/>
      <c r="G210" s="276"/>
    </row>
    <row r="211" spans="1:7" s="277" customFormat="1" x14ac:dyDescent="0.25">
      <c r="A211" s="276"/>
      <c r="B211" s="276"/>
      <c r="C211" s="276"/>
      <c r="D211" s="276"/>
      <c r="E211" s="276"/>
      <c r="F211" s="276"/>
      <c r="G211" s="276"/>
    </row>
    <row r="212" spans="1:7" s="277" customFormat="1" x14ac:dyDescent="0.25">
      <c r="A212" s="276"/>
      <c r="B212" s="276"/>
      <c r="C212" s="276"/>
      <c r="D212" s="276"/>
      <c r="E212" s="276"/>
      <c r="F212" s="276"/>
      <c r="G212" s="276"/>
    </row>
    <row r="213" spans="1:7" s="277" customFormat="1" x14ac:dyDescent="0.25">
      <c r="A213" s="276"/>
      <c r="B213" s="276"/>
      <c r="C213" s="276"/>
      <c r="D213" s="276"/>
      <c r="E213" s="276"/>
      <c r="F213" s="276"/>
      <c r="G213" s="276"/>
    </row>
    <row r="214" spans="1:7" s="277" customFormat="1" x14ac:dyDescent="0.25">
      <c r="A214" s="276"/>
      <c r="B214" s="276"/>
      <c r="C214" s="276"/>
      <c r="D214" s="276"/>
      <c r="E214" s="276"/>
      <c r="F214" s="276"/>
      <c r="G214" s="276"/>
    </row>
    <row r="215" spans="1:7" s="277" customFormat="1" x14ac:dyDescent="0.25">
      <c r="A215" s="276"/>
      <c r="B215" s="276"/>
      <c r="C215" s="276"/>
      <c r="D215" s="276"/>
      <c r="E215" s="276"/>
      <c r="F215" s="276"/>
      <c r="G215" s="276"/>
    </row>
    <row r="216" spans="1:7" s="277" customFormat="1" x14ac:dyDescent="0.25">
      <c r="A216" s="276"/>
      <c r="B216" s="276"/>
      <c r="C216" s="276"/>
      <c r="D216" s="276"/>
      <c r="E216" s="276"/>
      <c r="F216" s="276"/>
      <c r="G216" s="276"/>
    </row>
    <row r="217" spans="1:7" s="277" customFormat="1" x14ac:dyDescent="0.25">
      <c r="A217" s="276"/>
      <c r="B217" s="276"/>
      <c r="C217" s="276"/>
      <c r="D217" s="276"/>
      <c r="E217" s="276"/>
      <c r="F217" s="276"/>
      <c r="G217" s="276"/>
    </row>
    <row r="218" spans="1:7" s="277" customFormat="1" x14ac:dyDescent="0.25">
      <c r="A218" s="276"/>
      <c r="B218" s="276"/>
      <c r="C218" s="276"/>
      <c r="D218" s="276"/>
      <c r="E218" s="276"/>
      <c r="F218" s="276"/>
      <c r="G218" s="276"/>
    </row>
    <row r="219" spans="1:7" s="277" customFormat="1" x14ac:dyDescent="0.25">
      <c r="A219" s="276"/>
      <c r="B219" s="276"/>
      <c r="C219" s="276"/>
      <c r="D219" s="276"/>
      <c r="E219" s="276"/>
      <c r="F219" s="276"/>
      <c r="G219" s="276"/>
    </row>
    <row r="220" spans="1:7" s="277" customFormat="1" x14ac:dyDescent="0.25">
      <c r="A220" s="276"/>
      <c r="B220" s="276"/>
      <c r="C220" s="276"/>
      <c r="D220" s="276"/>
      <c r="E220" s="276"/>
      <c r="F220" s="276"/>
      <c r="G220" s="276"/>
    </row>
    <row r="221" spans="1:7" s="277" customFormat="1" x14ac:dyDescent="0.25">
      <c r="A221" s="276"/>
      <c r="B221" s="276"/>
      <c r="C221" s="276"/>
      <c r="D221" s="276"/>
      <c r="E221" s="276"/>
      <c r="F221" s="276"/>
      <c r="G221" s="276"/>
    </row>
    <row r="222" spans="1:7" s="277" customFormat="1" x14ac:dyDescent="0.25">
      <c r="A222" s="276"/>
      <c r="B222" s="276"/>
      <c r="C222" s="276"/>
      <c r="D222" s="276"/>
      <c r="E222" s="276"/>
      <c r="F222" s="276"/>
      <c r="G222" s="276"/>
    </row>
    <row r="223" spans="1:7" s="277" customFormat="1" x14ac:dyDescent="0.25">
      <c r="A223" s="276"/>
      <c r="B223" s="276"/>
      <c r="C223" s="276"/>
      <c r="D223" s="276"/>
      <c r="E223" s="276"/>
      <c r="F223" s="276"/>
      <c r="G223" s="276"/>
    </row>
    <row r="224" spans="1:7" s="277" customFormat="1" x14ac:dyDescent="0.25">
      <c r="A224" s="276"/>
      <c r="B224" s="276"/>
      <c r="C224" s="276"/>
      <c r="D224" s="276"/>
      <c r="E224" s="276"/>
      <c r="F224" s="276"/>
      <c r="G224" s="276"/>
    </row>
    <row r="225" spans="1:7" s="277" customFormat="1" x14ac:dyDescent="0.25">
      <c r="A225" s="276"/>
      <c r="B225" s="276"/>
      <c r="C225" s="276"/>
      <c r="D225" s="276"/>
      <c r="E225" s="276"/>
      <c r="F225" s="276"/>
      <c r="G225" s="276"/>
    </row>
    <row r="226" spans="1:7" s="277" customFormat="1" x14ac:dyDescent="0.25">
      <c r="A226" s="276"/>
      <c r="B226" s="276"/>
      <c r="C226" s="276"/>
      <c r="D226" s="276"/>
      <c r="E226" s="276"/>
      <c r="F226" s="276"/>
      <c r="G226" s="276"/>
    </row>
    <row r="227" spans="1:7" s="277" customFormat="1" x14ac:dyDescent="0.25">
      <c r="A227" s="276"/>
      <c r="B227" s="276"/>
      <c r="C227" s="276"/>
      <c r="D227" s="276"/>
      <c r="E227" s="276"/>
      <c r="F227" s="276"/>
      <c r="G227" s="276"/>
    </row>
    <row r="228" spans="1:7" s="277" customFormat="1" x14ac:dyDescent="0.25">
      <c r="A228" s="276"/>
      <c r="B228" s="276"/>
      <c r="C228" s="276"/>
      <c r="D228" s="276"/>
      <c r="E228" s="276"/>
      <c r="F228" s="276"/>
      <c r="G228" s="276"/>
    </row>
    <row r="229" spans="1:7" s="277" customFormat="1" x14ac:dyDescent="0.25">
      <c r="A229" s="276"/>
      <c r="B229" s="276"/>
      <c r="C229" s="276"/>
      <c r="D229" s="276"/>
      <c r="E229" s="276"/>
      <c r="F229" s="276"/>
      <c r="G229" s="276"/>
    </row>
    <row r="230" spans="1:7" s="277" customFormat="1" x14ac:dyDescent="0.25">
      <c r="A230" s="276"/>
      <c r="B230" s="276"/>
      <c r="C230" s="276"/>
      <c r="D230" s="276"/>
      <c r="E230" s="276"/>
      <c r="F230" s="276"/>
      <c r="G230" s="276"/>
    </row>
    <row r="231" spans="1:7" s="277" customFormat="1" x14ac:dyDescent="0.25">
      <c r="A231" s="276"/>
      <c r="B231" s="276"/>
      <c r="C231" s="276"/>
      <c r="D231" s="276"/>
      <c r="E231" s="276"/>
      <c r="F231" s="276"/>
      <c r="G231" s="276"/>
    </row>
    <row r="232" spans="1:7" s="277" customFormat="1" x14ac:dyDescent="0.25">
      <c r="A232" s="276"/>
      <c r="B232" s="276"/>
      <c r="C232" s="276"/>
      <c r="D232" s="276"/>
      <c r="E232" s="276"/>
      <c r="F232" s="276"/>
      <c r="G232" s="276"/>
    </row>
    <row r="233" spans="1:7" s="277" customFormat="1" x14ac:dyDescent="0.25">
      <c r="A233" s="276"/>
      <c r="B233" s="276"/>
      <c r="C233" s="276"/>
      <c r="D233" s="276"/>
      <c r="E233" s="276"/>
      <c r="F233" s="276"/>
      <c r="G233" s="276"/>
    </row>
    <row r="234" spans="1:7" s="277" customFormat="1" x14ac:dyDescent="0.25">
      <c r="A234" s="276"/>
      <c r="B234" s="276"/>
      <c r="C234" s="276"/>
      <c r="D234" s="276"/>
      <c r="E234" s="276"/>
      <c r="F234" s="276"/>
      <c r="G234" s="276"/>
    </row>
    <row r="235" spans="1:7" s="277" customFormat="1" x14ac:dyDescent="0.25">
      <c r="A235" s="276"/>
      <c r="B235" s="276"/>
      <c r="C235" s="276"/>
      <c r="D235" s="276"/>
      <c r="E235" s="276"/>
      <c r="F235" s="276"/>
      <c r="G235" s="276"/>
    </row>
    <row r="236" spans="1:7" s="277" customFormat="1" x14ac:dyDescent="0.25">
      <c r="A236" s="276"/>
      <c r="B236" s="276"/>
      <c r="C236" s="276"/>
      <c r="D236" s="276"/>
      <c r="E236" s="276"/>
      <c r="F236" s="276"/>
      <c r="G236" s="276"/>
    </row>
    <row r="237" spans="1:7" s="277" customFormat="1" x14ac:dyDescent="0.25">
      <c r="A237" s="276"/>
      <c r="B237" s="276"/>
      <c r="C237" s="276"/>
      <c r="D237" s="276"/>
      <c r="E237" s="276"/>
      <c r="F237" s="276"/>
      <c r="G237" s="276"/>
    </row>
    <row r="238" spans="1:7" s="277" customFormat="1" x14ac:dyDescent="0.25">
      <c r="A238" s="276"/>
      <c r="B238" s="276"/>
      <c r="C238" s="276"/>
      <c r="D238" s="276"/>
      <c r="E238" s="276"/>
      <c r="F238" s="276"/>
      <c r="G238" s="276"/>
    </row>
    <row r="239" spans="1:7" s="277" customFormat="1" x14ac:dyDescent="0.25">
      <c r="A239" s="276"/>
      <c r="B239" s="276"/>
      <c r="C239" s="276"/>
      <c r="D239" s="276"/>
      <c r="E239" s="276"/>
      <c r="F239" s="276"/>
      <c r="G239" s="276"/>
    </row>
    <row r="240" spans="1:7" s="277" customFormat="1" x14ac:dyDescent="0.25">
      <c r="A240" s="276"/>
      <c r="B240" s="276"/>
      <c r="C240" s="276"/>
      <c r="D240" s="276"/>
      <c r="E240" s="276"/>
      <c r="F240" s="276"/>
      <c r="G240" s="276"/>
    </row>
    <row r="241" spans="1:7" s="277" customFormat="1" x14ac:dyDescent="0.25">
      <c r="A241" s="276"/>
      <c r="B241" s="276"/>
      <c r="C241" s="276"/>
      <c r="D241" s="276"/>
      <c r="E241" s="276"/>
      <c r="F241" s="276"/>
      <c r="G241" s="276"/>
    </row>
    <row r="242" spans="1:7" s="277" customFormat="1" x14ac:dyDescent="0.25">
      <c r="A242" s="276"/>
      <c r="B242" s="276"/>
      <c r="C242" s="276"/>
      <c r="D242" s="276"/>
      <c r="E242" s="276"/>
      <c r="F242" s="276"/>
      <c r="G242" s="276"/>
    </row>
    <row r="243" spans="1:7" s="277" customFormat="1" x14ac:dyDescent="0.25">
      <c r="A243" s="276"/>
      <c r="B243" s="276"/>
      <c r="C243" s="276"/>
      <c r="D243" s="276"/>
      <c r="E243" s="276"/>
      <c r="F243" s="276"/>
      <c r="G243" s="276"/>
    </row>
    <row r="244" spans="1:7" s="277" customFormat="1" x14ac:dyDescent="0.25">
      <c r="A244" s="276"/>
      <c r="B244" s="276"/>
      <c r="C244" s="276"/>
      <c r="D244" s="276"/>
      <c r="E244" s="276"/>
      <c r="F244" s="276"/>
      <c r="G244" s="276"/>
    </row>
    <row r="245" spans="1:7" s="277" customFormat="1" x14ac:dyDescent="0.25">
      <c r="A245" s="276"/>
      <c r="B245" s="276"/>
      <c r="C245" s="276"/>
      <c r="D245" s="276"/>
      <c r="E245" s="276"/>
      <c r="F245" s="276"/>
      <c r="G245" s="276"/>
    </row>
    <row r="246" spans="1:7" s="277" customFormat="1" x14ac:dyDescent="0.25">
      <c r="A246" s="276"/>
      <c r="B246" s="276"/>
      <c r="C246" s="276"/>
      <c r="D246" s="276"/>
      <c r="E246" s="276"/>
      <c r="F246" s="276"/>
      <c r="G246" s="276"/>
    </row>
    <row r="247" spans="1:7" s="277" customFormat="1" x14ac:dyDescent="0.25">
      <c r="A247" s="276"/>
      <c r="B247" s="276"/>
      <c r="C247" s="276"/>
      <c r="D247" s="276"/>
      <c r="E247" s="276"/>
      <c r="F247" s="276"/>
      <c r="G247" s="276"/>
    </row>
    <row r="248" spans="1:7" s="277" customFormat="1" x14ac:dyDescent="0.25">
      <c r="A248" s="276"/>
      <c r="B248" s="276"/>
      <c r="C248" s="276"/>
      <c r="D248" s="276"/>
      <c r="E248" s="276"/>
      <c r="F248" s="276"/>
      <c r="G248" s="276"/>
    </row>
    <row r="249" spans="1:7" s="277" customFormat="1" x14ac:dyDescent="0.25">
      <c r="A249" s="276"/>
      <c r="B249" s="276"/>
      <c r="C249" s="276"/>
      <c r="D249" s="276"/>
      <c r="E249" s="276"/>
      <c r="F249" s="276"/>
      <c r="G249" s="276"/>
    </row>
    <row r="250" spans="1:7" s="277" customFormat="1" x14ac:dyDescent="0.25">
      <c r="A250" s="276"/>
      <c r="B250" s="276"/>
      <c r="C250" s="276"/>
      <c r="D250" s="276"/>
      <c r="E250" s="276"/>
      <c r="F250" s="276"/>
      <c r="G250" s="276"/>
    </row>
    <row r="251" spans="1:7" s="277" customFormat="1" x14ac:dyDescent="0.25">
      <c r="A251" s="276"/>
      <c r="B251" s="276"/>
      <c r="C251" s="276"/>
      <c r="D251" s="276"/>
      <c r="E251" s="276"/>
      <c r="F251" s="276"/>
      <c r="G251" s="276"/>
    </row>
    <row r="252" spans="1:7" s="277" customFormat="1" x14ac:dyDescent="0.25">
      <c r="A252" s="276"/>
      <c r="B252" s="276"/>
      <c r="C252" s="276"/>
      <c r="D252" s="276"/>
      <c r="E252" s="276"/>
      <c r="F252" s="276"/>
      <c r="G252" s="276"/>
    </row>
    <row r="253" spans="1:7" s="277" customFormat="1" x14ac:dyDescent="0.25">
      <c r="A253" s="276"/>
      <c r="B253" s="276"/>
      <c r="C253" s="276"/>
      <c r="D253" s="276"/>
      <c r="E253" s="276"/>
      <c r="F253" s="276"/>
      <c r="G253" s="276"/>
    </row>
    <row r="254" spans="1:7" s="277" customFormat="1" x14ac:dyDescent="0.25">
      <c r="A254" s="276"/>
      <c r="B254" s="276"/>
      <c r="C254" s="276"/>
      <c r="D254" s="276"/>
      <c r="E254" s="276"/>
      <c r="F254" s="276"/>
      <c r="G254" s="276"/>
    </row>
    <row r="255" spans="1:7" s="277" customFormat="1" x14ac:dyDescent="0.25">
      <c r="A255" s="276"/>
      <c r="B255" s="276"/>
      <c r="C255" s="276"/>
      <c r="D255" s="276"/>
      <c r="E255" s="276"/>
      <c r="F255" s="276"/>
      <c r="G255" s="276"/>
    </row>
    <row r="256" spans="1:7" s="277" customFormat="1" x14ac:dyDescent="0.25">
      <c r="A256" s="276"/>
      <c r="B256" s="276"/>
      <c r="C256" s="276"/>
      <c r="D256" s="276"/>
      <c r="E256" s="276"/>
      <c r="F256" s="276"/>
      <c r="G256" s="276"/>
    </row>
    <row r="257" spans="1:7" s="277" customFormat="1" x14ac:dyDescent="0.25">
      <c r="A257" s="276"/>
      <c r="B257" s="276"/>
      <c r="C257" s="276"/>
      <c r="D257" s="276"/>
      <c r="E257" s="276"/>
      <c r="F257" s="276"/>
      <c r="G257" s="276"/>
    </row>
    <row r="258" spans="1:7" s="277" customFormat="1" x14ac:dyDescent="0.25">
      <c r="A258" s="276"/>
      <c r="B258" s="276"/>
      <c r="C258" s="276"/>
      <c r="D258" s="276"/>
      <c r="E258" s="276"/>
      <c r="F258" s="276"/>
      <c r="G258" s="276"/>
    </row>
    <row r="259" spans="1:7" s="277" customFormat="1" x14ac:dyDescent="0.25">
      <c r="A259" s="276"/>
      <c r="B259" s="276"/>
      <c r="C259" s="276"/>
      <c r="D259" s="276"/>
      <c r="E259" s="276"/>
      <c r="F259" s="276"/>
      <c r="G259" s="276"/>
    </row>
    <row r="260" spans="1:7" s="277" customFormat="1" x14ac:dyDescent="0.25">
      <c r="A260" s="276"/>
      <c r="B260" s="276"/>
      <c r="C260" s="276"/>
      <c r="D260" s="276"/>
      <c r="E260" s="276"/>
      <c r="F260" s="276"/>
      <c r="G260" s="276"/>
    </row>
    <row r="261" spans="1:7" s="277" customFormat="1" x14ac:dyDescent="0.25">
      <c r="A261" s="276"/>
      <c r="B261" s="276"/>
      <c r="C261" s="276"/>
      <c r="D261" s="276"/>
      <c r="E261" s="276"/>
      <c r="F261" s="276"/>
      <c r="G261" s="276"/>
    </row>
    <row r="262" spans="1:7" s="277" customFormat="1" x14ac:dyDescent="0.25">
      <c r="A262" s="276"/>
      <c r="B262" s="276"/>
      <c r="C262" s="276"/>
      <c r="D262" s="276"/>
      <c r="E262" s="276"/>
      <c r="F262" s="276"/>
      <c r="G262" s="276"/>
    </row>
    <row r="263" spans="1:7" s="277" customFormat="1" x14ac:dyDescent="0.25">
      <c r="A263" s="276"/>
      <c r="B263" s="276"/>
      <c r="C263" s="276"/>
      <c r="D263" s="276"/>
      <c r="E263" s="276"/>
      <c r="F263" s="276"/>
      <c r="G263" s="276"/>
    </row>
    <row r="264" spans="1:7" s="277" customFormat="1" x14ac:dyDescent="0.25">
      <c r="A264" s="276"/>
      <c r="B264" s="276"/>
      <c r="C264" s="276"/>
      <c r="D264" s="276"/>
      <c r="E264" s="276"/>
      <c r="F264" s="276"/>
      <c r="G264" s="276"/>
    </row>
    <row r="265" spans="1:7" s="277" customFormat="1" x14ac:dyDescent="0.25">
      <c r="A265" s="276"/>
      <c r="B265" s="276"/>
      <c r="C265" s="276"/>
      <c r="D265" s="276"/>
      <c r="E265" s="276"/>
      <c r="F265" s="276"/>
      <c r="G265" s="276"/>
    </row>
    <row r="266" spans="1:7" s="277" customFormat="1" x14ac:dyDescent="0.25">
      <c r="A266" s="276"/>
      <c r="B266" s="276"/>
      <c r="C266" s="276"/>
      <c r="D266" s="276"/>
      <c r="E266" s="276"/>
      <c r="F266" s="276"/>
      <c r="G266" s="276"/>
    </row>
    <row r="267" spans="1:7" s="277" customFormat="1" x14ac:dyDescent="0.25">
      <c r="A267" s="276"/>
      <c r="B267" s="276"/>
      <c r="C267" s="276"/>
      <c r="D267" s="276"/>
      <c r="E267" s="276"/>
      <c r="F267" s="276"/>
      <c r="G267" s="276"/>
    </row>
    <row r="268" spans="1:7" s="277" customFormat="1" x14ac:dyDescent="0.25">
      <c r="A268" s="276"/>
      <c r="B268" s="276"/>
      <c r="C268" s="276"/>
      <c r="D268" s="276"/>
      <c r="E268" s="276"/>
      <c r="F268" s="276"/>
      <c r="G268" s="276"/>
    </row>
    <row r="269" spans="1:7" s="277" customFormat="1" x14ac:dyDescent="0.25">
      <c r="A269" s="276"/>
      <c r="B269" s="276"/>
      <c r="C269" s="276"/>
      <c r="D269" s="276"/>
      <c r="E269" s="276"/>
      <c r="F269" s="276"/>
      <c r="G269" s="276"/>
    </row>
    <row r="270" spans="1:7" s="277" customFormat="1" x14ac:dyDescent="0.25">
      <c r="A270" s="276"/>
      <c r="B270" s="276"/>
      <c r="C270" s="276"/>
      <c r="D270" s="276"/>
      <c r="E270" s="276"/>
      <c r="F270" s="276"/>
      <c r="G270" s="276"/>
    </row>
    <row r="271" spans="1:7" s="277" customFormat="1" x14ac:dyDescent="0.25">
      <c r="A271" s="276"/>
      <c r="B271" s="276"/>
      <c r="C271" s="276"/>
      <c r="D271" s="276"/>
      <c r="E271" s="276"/>
      <c r="F271" s="276"/>
      <c r="G271" s="276"/>
    </row>
    <row r="272" spans="1:7" s="277" customFormat="1" x14ac:dyDescent="0.25">
      <c r="A272" s="276"/>
      <c r="B272" s="276"/>
      <c r="C272" s="276"/>
      <c r="D272" s="276"/>
      <c r="E272" s="276"/>
      <c r="F272" s="276"/>
      <c r="G272" s="276"/>
    </row>
    <row r="273" spans="1:7" s="277" customFormat="1" x14ac:dyDescent="0.25">
      <c r="A273" s="276"/>
      <c r="B273" s="276"/>
      <c r="C273" s="276"/>
      <c r="D273" s="276"/>
      <c r="E273" s="276"/>
      <c r="F273" s="276"/>
      <c r="G273" s="276"/>
    </row>
    <row r="274" spans="1:7" s="277" customFormat="1" x14ac:dyDescent="0.25">
      <c r="A274" s="276"/>
      <c r="B274" s="276"/>
      <c r="C274" s="276"/>
      <c r="D274" s="276"/>
      <c r="E274" s="276"/>
      <c r="F274" s="276"/>
      <c r="G274" s="276"/>
    </row>
    <row r="275" spans="1:7" s="277" customFormat="1" x14ac:dyDescent="0.25">
      <c r="A275" s="276"/>
      <c r="B275" s="276"/>
      <c r="C275" s="276"/>
      <c r="D275" s="276"/>
      <c r="E275" s="276"/>
      <c r="F275" s="276"/>
      <c r="G275" s="276"/>
    </row>
    <row r="276" spans="1:7" s="277" customFormat="1" x14ac:dyDescent="0.25">
      <c r="A276" s="276"/>
      <c r="B276" s="276"/>
      <c r="C276" s="276"/>
      <c r="D276" s="276"/>
      <c r="E276" s="276"/>
      <c r="F276" s="276"/>
      <c r="G276" s="276"/>
    </row>
    <row r="277" spans="1:7" s="277" customFormat="1" x14ac:dyDescent="0.25">
      <c r="A277" s="276"/>
      <c r="B277" s="276"/>
      <c r="C277" s="276"/>
      <c r="D277" s="276"/>
      <c r="E277" s="276"/>
      <c r="F277" s="276"/>
      <c r="G277" s="276"/>
    </row>
    <row r="278" spans="1:7" s="277" customFormat="1" x14ac:dyDescent="0.25">
      <c r="A278" s="276"/>
      <c r="B278" s="276"/>
      <c r="C278" s="276"/>
      <c r="D278" s="276"/>
      <c r="E278" s="276"/>
      <c r="F278" s="276"/>
      <c r="G278" s="276"/>
    </row>
    <row r="279" spans="1:7" s="277" customFormat="1" x14ac:dyDescent="0.25">
      <c r="A279" s="276"/>
      <c r="B279" s="276"/>
      <c r="C279" s="276"/>
      <c r="D279" s="276"/>
      <c r="E279" s="276"/>
      <c r="F279" s="276"/>
      <c r="G279" s="276"/>
    </row>
    <row r="280" spans="1:7" s="277" customFormat="1" x14ac:dyDescent="0.25">
      <c r="A280" s="276"/>
      <c r="B280" s="276"/>
      <c r="C280" s="276"/>
      <c r="D280" s="276"/>
      <c r="E280" s="276"/>
      <c r="F280" s="276"/>
      <c r="G280" s="276"/>
    </row>
    <row r="281" spans="1:7" s="277" customFormat="1" x14ac:dyDescent="0.25">
      <c r="A281" s="276"/>
      <c r="B281" s="276"/>
      <c r="C281" s="276"/>
      <c r="D281" s="276"/>
      <c r="E281" s="276"/>
      <c r="F281" s="276"/>
      <c r="G281" s="276"/>
    </row>
    <row r="282" spans="1:7" s="277" customFormat="1" x14ac:dyDescent="0.25">
      <c r="A282" s="276"/>
      <c r="B282" s="276"/>
      <c r="C282" s="276"/>
      <c r="D282" s="276"/>
      <c r="E282" s="276"/>
      <c r="F282" s="276"/>
      <c r="G282" s="276"/>
    </row>
    <row r="283" spans="1:7" s="277" customFormat="1" x14ac:dyDescent="0.25">
      <c r="A283" s="276"/>
      <c r="B283" s="276"/>
      <c r="C283" s="276"/>
      <c r="D283" s="276"/>
      <c r="E283" s="276"/>
      <c r="F283" s="276"/>
      <c r="G283" s="276"/>
    </row>
    <row r="284" spans="1:7" s="277" customFormat="1" x14ac:dyDescent="0.25">
      <c r="A284" s="276"/>
      <c r="B284" s="276"/>
      <c r="C284" s="276"/>
      <c r="D284" s="276"/>
      <c r="E284" s="276"/>
      <c r="F284" s="276"/>
      <c r="G284" s="276"/>
    </row>
    <row r="285" spans="1:7" s="277" customFormat="1" x14ac:dyDescent="0.25">
      <c r="A285" s="276"/>
      <c r="B285" s="276"/>
      <c r="C285" s="276"/>
      <c r="D285" s="276"/>
      <c r="E285" s="276"/>
      <c r="F285" s="276"/>
      <c r="G285" s="276"/>
    </row>
    <row r="286" spans="1:7" s="277" customFormat="1" x14ac:dyDescent="0.25">
      <c r="A286" s="276"/>
      <c r="B286" s="276"/>
      <c r="C286" s="276"/>
      <c r="D286" s="276"/>
      <c r="E286" s="276"/>
      <c r="F286" s="276"/>
      <c r="G286" s="276"/>
    </row>
    <row r="287" spans="1:7" s="277" customFormat="1" x14ac:dyDescent="0.25">
      <c r="A287" s="276"/>
      <c r="B287" s="276"/>
      <c r="C287" s="276"/>
      <c r="D287" s="276"/>
      <c r="E287" s="276"/>
      <c r="F287" s="276"/>
      <c r="G287" s="276"/>
    </row>
    <row r="288" spans="1:7" s="277" customFormat="1" x14ac:dyDescent="0.25">
      <c r="A288" s="276"/>
      <c r="B288" s="276"/>
      <c r="C288" s="276"/>
      <c r="D288" s="276"/>
      <c r="E288" s="276"/>
      <c r="F288" s="276"/>
      <c r="G288" s="276"/>
    </row>
    <row r="289" spans="1:7" s="277" customFormat="1" x14ac:dyDescent="0.25">
      <c r="A289" s="276"/>
      <c r="B289" s="276"/>
      <c r="C289" s="276"/>
      <c r="D289" s="276"/>
      <c r="E289" s="276"/>
      <c r="F289" s="276"/>
      <c r="G289" s="276"/>
    </row>
    <row r="290" spans="1:7" s="277" customFormat="1" x14ac:dyDescent="0.25">
      <c r="A290" s="276"/>
      <c r="B290" s="276"/>
      <c r="C290" s="276"/>
      <c r="D290" s="276"/>
      <c r="E290" s="276"/>
      <c r="F290" s="276"/>
      <c r="G290" s="276"/>
    </row>
    <row r="291" spans="1:7" s="277" customFormat="1" x14ac:dyDescent="0.25">
      <c r="A291" s="276"/>
      <c r="B291" s="276"/>
      <c r="C291" s="276"/>
      <c r="D291" s="276"/>
      <c r="E291" s="276"/>
      <c r="F291" s="276"/>
      <c r="G291" s="276"/>
    </row>
    <row r="292" spans="1:7" s="277" customFormat="1" x14ac:dyDescent="0.25">
      <c r="A292" s="276"/>
      <c r="B292" s="276"/>
      <c r="C292" s="276"/>
      <c r="D292" s="276"/>
      <c r="E292" s="276"/>
      <c r="F292" s="276"/>
      <c r="G292" s="276"/>
    </row>
    <row r="293" spans="1:7" s="277" customFormat="1" x14ac:dyDescent="0.25">
      <c r="A293" s="276"/>
      <c r="B293" s="276"/>
      <c r="C293" s="276"/>
      <c r="D293" s="276"/>
      <c r="E293" s="276"/>
      <c r="F293" s="276"/>
      <c r="G293" s="276"/>
    </row>
    <row r="294" spans="1:7" s="277" customFormat="1" x14ac:dyDescent="0.25">
      <c r="A294" s="276"/>
      <c r="B294" s="276"/>
      <c r="C294" s="276"/>
      <c r="D294" s="276"/>
      <c r="E294" s="276"/>
      <c r="F294" s="276"/>
      <c r="G294" s="276"/>
    </row>
    <row r="295" spans="1:7" s="277" customFormat="1" x14ac:dyDescent="0.25">
      <c r="A295" s="276"/>
      <c r="B295" s="276"/>
      <c r="C295" s="276"/>
      <c r="D295" s="276"/>
      <c r="E295" s="276"/>
      <c r="F295" s="276"/>
      <c r="G295" s="276"/>
    </row>
    <row r="296" spans="1:7" s="277" customFormat="1" x14ac:dyDescent="0.25">
      <c r="A296" s="276"/>
      <c r="B296" s="276"/>
      <c r="C296" s="276"/>
      <c r="D296" s="276"/>
      <c r="E296" s="276"/>
      <c r="F296" s="276"/>
      <c r="G296" s="276"/>
    </row>
    <row r="297" spans="1:7" s="277" customFormat="1" x14ac:dyDescent="0.25">
      <c r="A297" s="276"/>
      <c r="B297" s="276"/>
      <c r="C297" s="276"/>
      <c r="D297" s="276"/>
      <c r="E297" s="276"/>
      <c r="F297" s="276"/>
      <c r="G297" s="276"/>
    </row>
    <row r="298" spans="1:7" s="277" customFormat="1" x14ac:dyDescent="0.25">
      <c r="A298" s="276"/>
      <c r="B298" s="276"/>
      <c r="C298" s="276"/>
      <c r="D298" s="276"/>
      <c r="E298" s="276"/>
      <c r="F298" s="276"/>
      <c r="G298" s="276"/>
    </row>
    <row r="299" spans="1:7" s="277" customFormat="1" x14ac:dyDescent="0.25">
      <c r="A299" s="276"/>
      <c r="B299" s="276"/>
      <c r="C299" s="276"/>
      <c r="D299" s="276"/>
      <c r="E299" s="276"/>
      <c r="F299" s="276"/>
      <c r="G299" s="276"/>
    </row>
    <row r="300" spans="1:7" s="277" customFormat="1" x14ac:dyDescent="0.25">
      <c r="A300" s="276"/>
      <c r="B300" s="276"/>
      <c r="C300" s="276"/>
      <c r="D300" s="276"/>
      <c r="E300" s="276"/>
      <c r="F300" s="276"/>
      <c r="G300" s="276"/>
    </row>
    <row r="301" spans="1:7" s="277" customFormat="1" x14ac:dyDescent="0.25">
      <c r="A301" s="276"/>
      <c r="B301" s="276"/>
      <c r="C301" s="276"/>
      <c r="D301" s="276"/>
      <c r="E301" s="276"/>
      <c r="F301" s="276"/>
      <c r="G301" s="276"/>
    </row>
    <row r="302" spans="1:7" s="277" customFormat="1" x14ac:dyDescent="0.25">
      <c r="A302" s="276"/>
      <c r="B302" s="276"/>
      <c r="C302" s="276"/>
      <c r="D302" s="276"/>
      <c r="E302" s="276"/>
      <c r="F302" s="276"/>
      <c r="G302" s="276"/>
    </row>
    <row r="303" spans="1:7" s="277" customFormat="1" x14ac:dyDescent="0.25">
      <c r="A303" s="276"/>
      <c r="B303" s="276"/>
      <c r="C303" s="276"/>
      <c r="D303" s="276"/>
      <c r="E303" s="276"/>
      <c r="F303" s="276"/>
      <c r="G303" s="276"/>
    </row>
    <row r="304" spans="1:7" s="277" customFormat="1" x14ac:dyDescent="0.25">
      <c r="A304" s="276"/>
      <c r="B304" s="276"/>
      <c r="C304" s="276"/>
      <c r="D304" s="276"/>
      <c r="E304" s="276"/>
      <c r="F304" s="276"/>
      <c r="G304" s="276"/>
    </row>
    <row r="305" spans="1:7" s="277" customFormat="1" x14ac:dyDescent="0.25">
      <c r="A305" s="276"/>
      <c r="B305" s="276"/>
      <c r="C305" s="276"/>
      <c r="D305" s="276"/>
      <c r="E305" s="276"/>
      <c r="F305" s="276"/>
      <c r="G305" s="276"/>
    </row>
    <row r="306" spans="1:7" s="277" customFormat="1" x14ac:dyDescent="0.25">
      <c r="A306" s="276"/>
      <c r="B306" s="276"/>
      <c r="C306" s="276"/>
      <c r="D306" s="276"/>
      <c r="E306" s="276"/>
      <c r="F306" s="276"/>
      <c r="G306" s="276"/>
    </row>
    <row r="307" spans="1:7" s="277" customFormat="1" x14ac:dyDescent="0.25">
      <c r="A307" s="276"/>
      <c r="B307" s="276"/>
      <c r="C307" s="276"/>
      <c r="D307" s="276"/>
      <c r="E307" s="276"/>
      <c r="F307" s="276"/>
      <c r="G307" s="276"/>
    </row>
    <row r="308" spans="1:7" s="277" customFormat="1" x14ac:dyDescent="0.25">
      <c r="A308" s="276"/>
      <c r="B308" s="276"/>
      <c r="C308" s="276"/>
      <c r="D308" s="276"/>
      <c r="E308" s="276"/>
      <c r="F308" s="276"/>
      <c r="G308" s="276"/>
    </row>
    <row r="309" spans="1:7" s="277" customFormat="1" x14ac:dyDescent="0.25">
      <c r="A309" s="276"/>
      <c r="B309" s="276"/>
      <c r="C309" s="276"/>
      <c r="D309" s="276"/>
      <c r="E309" s="276"/>
      <c r="F309" s="276"/>
      <c r="G309" s="276"/>
    </row>
    <row r="310" spans="1:7" s="277" customFormat="1" x14ac:dyDescent="0.25">
      <c r="A310" s="276"/>
      <c r="B310" s="276"/>
      <c r="C310" s="276"/>
      <c r="D310" s="276"/>
      <c r="E310" s="276"/>
      <c r="F310" s="276"/>
      <c r="G310" s="276"/>
    </row>
    <row r="311" spans="1:7" s="277" customFormat="1" x14ac:dyDescent="0.25">
      <c r="A311" s="276"/>
      <c r="B311" s="276"/>
      <c r="C311" s="276"/>
      <c r="D311" s="276"/>
      <c r="E311" s="276"/>
      <c r="F311" s="276"/>
      <c r="G311" s="276"/>
    </row>
    <row r="312" spans="1:7" s="277" customFormat="1" x14ac:dyDescent="0.25">
      <c r="A312" s="276"/>
      <c r="B312" s="276"/>
      <c r="C312" s="276"/>
      <c r="D312" s="276"/>
      <c r="E312" s="276"/>
      <c r="F312" s="276"/>
      <c r="G312" s="276"/>
    </row>
    <row r="313" spans="1:7" s="277" customFormat="1" x14ac:dyDescent="0.25">
      <c r="A313" s="276"/>
      <c r="B313" s="276"/>
      <c r="C313" s="276"/>
      <c r="D313" s="276"/>
      <c r="E313" s="276"/>
      <c r="F313" s="276"/>
      <c r="G313" s="276"/>
    </row>
    <row r="314" spans="1:7" s="277" customFormat="1" x14ac:dyDescent="0.25">
      <c r="A314" s="276"/>
      <c r="B314" s="276"/>
      <c r="C314" s="276"/>
      <c r="D314" s="276"/>
      <c r="E314" s="276"/>
      <c r="F314" s="276"/>
      <c r="G314" s="276"/>
    </row>
    <row r="315" spans="1:7" s="277" customFormat="1" x14ac:dyDescent="0.25">
      <c r="A315" s="276"/>
      <c r="B315" s="276"/>
      <c r="C315" s="276"/>
      <c r="D315" s="276"/>
      <c r="E315" s="276"/>
      <c r="F315" s="276"/>
      <c r="G315" s="276"/>
    </row>
    <row r="316" spans="1:7" s="277" customFormat="1" x14ac:dyDescent="0.25">
      <c r="A316" s="276"/>
      <c r="B316" s="276"/>
      <c r="C316" s="276"/>
      <c r="D316" s="276"/>
      <c r="E316" s="276"/>
      <c r="F316" s="276"/>
      <c r="G316" s="276"/>
    </row>
    <row r="317" spans="1:7" s="277" customFormat="1" x14ac:dyDescent="0.25">
      <c r="A317" s="276"/>
      <c r="B317" s="276"/>
      <c r="C317" s="276"/>
      <c r="D317" s="276"/>
      <c r="E317" s="276"/>
      <c r="F317" s="276"/>
      <c r="G317" s="276"/>
    </row>
    <row r="318" spans="1:7" s="277" customFormat="1" x14ac:dyDescent="0.25">
      <c r="A318" s="276"/>
      <c r="B318" s="276"/>
      <c r="C318" s="276"/>
      <c r="D318" s="276"/>
      <c r="E318" s="276"/>
      <c r="F318" s="276"/>
      <c r="G318" s="276"/>
    </row>
    <row r="319" spans="1:7" s="277" customFormat="1" x14ac:dyDescent="0.25">
      <c r="A319" s="276"/>
      <c r="B319" s="276"/>
      <c r="C319" s="276"/>
      <c r="D319" s="276"/>
      <c r="E319" s="276"/>
      <c r="F319" s="276"/>
      <c r="G319" s="276"/>
    </row>
    <row r="320" spans="1:7" s="277" customFormat="1" x14ac:dyDescent="0.25">
      <c r="A320" s="276"/>
      <c r="B320" s="276"/>
      <c r="C320" s="276"/>
      <c r="D320" s="276"/>
      <c r="E320" s="276"/>
      <c r="F320" s="276"/>
      <c r="G320" s="276"/>
    </row>
    <row r="321" spans="1:7" s="277" customFormat="1" x14ac:dyDescent="0.25">
      <c r="A321" s="276"/>
      <c r="B321" s="276"/>
      <c r="C321" s="276"/>
      <c r="D321" s="276"/>
      <c r="E321" s="276"/>
      <c r="F321" s="276"/>
      <c r="G321" s="276"/>
    </row>
    <row r="322" spans="1:7" s="277" customFormat="1" x14ac:dyDescent="0.25">
      <c r="A322" s="276"/>
      <c r="B322" s="276"/>
      <c r="C322" s="276"/>
      <c r="D322" s="276"/>
      <c r="E322" s="276"/>
      <c r="F322" s="276"/>
      <c r="G322" s="276"/>
    </row>
    <row r="323" spans="1:7" s="277" customFormat="1" x14ac:dyDescent="0.25">
      <c r="A323" s="276"/>
      <c r="B323" s="276"/>
      <c r="C323" s="276"/>
      <c r="D323" s="276"/>
      <c r="E323" s="276"/>
      <c r="F323" s="276"/>
      <c r="G323" s="276"/>
    </row>
    <row r="324" spans="1:7" s="277" customFormat="1" x14ac:dyDescent="0.25">
      <c r="A324" s="276"/>
      <c r="B324" s="276"/>
      <c r="C324" s="276"/>
      <c r="D324" s="276"/>
      <c r="E324" s="276"/>
      <c r="F324" s="276"/>
      <c r="G324" s="276"/>
    </row>
    <row r="325" spans="1:7" s="277" customFormat="1" x14ac:dyDescent="0.25">
      <c r="A325" s="276"/>
      <c r="B325" s="276"/>
      <c r="C325" s="276"/>
      <c r="D325" s="276"/>
      <c r="E325" s="276"/>
      <c r="F325" s="276"/>
      <c r="G325" s="276"/>
    </row>
    <row r="326" spans="1:7" s="277" customFormat="1" x14ac:dyDescent="0.25">
      <c r="A326" s="276"/>
      <c r="B326" s="276"/>
      <c r="C326" s="276"/>
      <c r="D326" s="276"/>
      <c r="E326" s="276"/>
      <c r="F326" s="276"/>
      <c r="G326" s="276"/>
    </row>
    <row r="327" spans="1:7" s="277" customFormat="1" x14ac:dyDescent="0.25">
      <c r="A327" s="276"/>
      <c r="B327" s="276"/>
      <c r="C327" s="276"/>
      <c r="D327" s="276"/>
      <c r="E327" s="276"/>
      <c r="F327" s="276"/>
      <c r="G327" s="276"/>
    </row>
    <row r="328" spans="1:7" s="277" customFormat="1" x14ac:dyDescent="0.25">
      <c r="A328" s="276"/>
      <c r="B328" s="276"/>
      <c r="C328" s="276"/>
      <c r="D328" s="276"/>
      <c r="E328" s="276"/>
      <c r="F328" s="276"/>
      <c r="G328" s="276"/>
    </row>
    <row r="329" spans="1:7" s="277" customFormat="1" x14ac:dyDescent="0.25">
      <c r="A329" s="276"/>
      <c r="B329" s="276"/>
      <c r="C329" s="276"/>
      <c r="D329" s="276"/>
      <c r="E329" s="276"/>
      <c r="F329" s="276"/>
      <c r="G329" s="276"/>
    </row>
    <row r="330" spans="1:7" s="277" customFormat="1" x14ac:dyDescent="0.25">
      <c r="A330" s="276"/>
      <c r="B330" s="276"/>
      <c r="C330" s="276"/>
      <c r="D330" s="276"/>
      <c r="E330" s="276"/>
      <c r="F330" s="276"/>
      <c r="G330" s="276"/>
    </row>
    <row r="331" spans="1:7" s="277" customFormat="1" x14ac:dyDescent="0.25">
      <c r="A331" s="276"/>
      <c r="B331" s="276"/>
      <c r="C331" s="276"/>
      <c r="D331" s="276"/>
      <c r="E331" s="276"/>
      <c r="F331" s="276"/>
      <c r="G331" s="276"/>
    </row>
    <row r="332" spans="1:7" s="277" customFormat="1" x14ac:dyDescent="0.25">
      <c r="A332" s="276"/>
      <c r="B332" s="276"/>
      <c r="C332" s="276"/>
      <c r="D332" s="276"/>
      <c r="E332" s="276"/>
      <c r="F332" s="276"/>
      <c r="G332" s="276"/>
    </row>
    <row r="333" spans="1:7" s="277" customFormat="1" x14ac:dyDescent="0.25">
      <c r="A333" s="276"/>
      <c r="B333" s="276"/>
      <c r="C333" s="276"/>
      <c r="D333" s="276"/>
      <c r="E333" s="276"/>
      <c r="F333" s="276"/>
      <c r="G333" s="276"/>
    </row>
    <row r="334" spans="1:7" s="277" customFormat="1" x14ac:dyDescent="0.25">
      <c r="A334" s="276"/>
      <c r="B334" s="276"/>
      <c r="C334" s="276"/>
      <c r="D334" s="276"/>
      <c r="E334" s="276"/>
      <c r="F334" s="276"/>
      <c r="G334" s="276"/>
    </row>
    <row r="335" spans="1:7" s="277" customFormat="1" x14ac:dyDescent="0.25">
      <c r="A335" s="276"/>
      <c r="B335" s="276"/>
      <c r="C335" s="276"/>
      <c r="D335" s="276"/>
      <c r="E335" s="276"/>
      <c r="F335" s="276"/>
      <c r="G335" s="276"/>
    </row>
    <row r="336" spans="1:7" s="277" customFormat="1" x14ac:dyDescent="0.25">
      <c r="A336" s="276"/>
      <c r="B336" s="276"/>
      <c r="C336" s="276"/>
      <c r="D336" s="276"/>
      <c r="E336" s="276"/>
      <c r="F336" s="276"/>
      <c r="G336" s="276"/>
    </row>
    <row r="337" spans="1:7" s="277" customFormat="1" x14ac:dyDescent="0.25">
      <c r="A337" s="276"/>
      <c r="B337" s="276"/>
      <c r="C337" s="276"/>
      <c r="D337" s="276"/>
      <c r="E337" s="276"/>
      <c r="F337" s="276"/>
      <c r="G337" s="276"/>
    </row>
    <row r="338" spans="1:7" s="277" customFormat="1" x14ac:dyDescent="0.25">
      <c r="A338" s="276"/>
      <c r="B338" s="276"/>
      <c r="C338" s="276"/>
      <c r="D338" s="276"/>
      <c r="E338" s="276"/>
      <c r="F338" s="276"/>
      <c r="G338" s="276"/>
    </row>
    <row r="339" spans="1:7" s="277" customFormat="1" x14ac:dyDescent="0.25">
      <c r="A339" s="276"/>
      <c r="B339" s="276"/>
      <c r="C339" s="276"/>
      <c r="D339" s="276"/>
      <c r="E339" s="276"/>
      <c r="F339" s="276"/>
      <c r="G339" s="276"/>
    </row>
    <row r="340" spans="1:7" s="277" customFormat="1" x14ac:dyDescent="0.25">
      <c r="A340" s="276"/>
      <c r="B340" s="276"/>
      <c r="C340" s="276"/>
      <c r="D340" s="276"/>
      <c r="E340" s="276"/>
      <c r="F340" s="276"/>
      <c r="G340" s="276"/>
    </row>
    <row r="341" spans="1:7" s="277" customFormat="1" x14ac:dyDescent="0.25">
      <c r="A341" s="276"/>
      <c r="B341" s="276"/>
      <c r="C341" s="276"/>
      <c r="D341" s="276"/>
      <c r="E341" s="276"/>
      <c r="F341" s="276"/>
      <c r="G341" s="276"/>
    </row>
    <row r="342" spans="1:7" s="277" customFormat="1" x14ac:dyDescent="0.25">
      <c r="A342" s="276"/>
      <c r="B342" s="276"/>
      <c r="C342" s="276"/>
      <c r="D342" s="276"/>
      <c r="E342" s="276"/>
      <c r="F342" s="276"/>
      <c r="G342" s="276"/>
    </row>
    <row r="343" spans="1:7" s="277" customFormat="1" x14ac:dyDescent="0.25">
      <c r="A343" s="276"/>
      <c r="B343" s="276"/>
      <c r="C343" s="276"/>
      <c r="D343" s="276"/>
      <c r="E343" s="276"/>
      <c r="F343" s="276"/>
      <c r="G343" s="276"/>
    </row>
    <row r="344" spans="1:7" s="277" customFormat="1" x14ac:dyDescent="0.25">
      <c r="A344" s="276"/>
      <c r="B344" s="276"/>
      <c r="C344" s="276"/>
      <c r="D344" s="276"/>
      <c r="E344" s="276"/>
      <c r="F344" s="276"/>
      <c r="G344" s="276"/>
    </row>
    <row r="345" spans="1:7" s="277" customFormat="1" x14ac:dyDescent="0.25">
      <c r="A345" s="276"/>
      <c r="B345" s="276"/>
      <c r="C345" s="276"/>
      <c r="D345" s="276"/>
      <c r="E345" s="276"/>
      <c r="F345" s="276"/>
      <c r="G345" s="276"/>
    </row>
    <row r="346" spans="1:7" s="277" customFormat="1" x14ac:dyDescent="0.25">
      <c r="A346" s="276"/>
      <c r="B346" s="276"/>
      <c r="C346" s="276"/>
      <c r="D346" s="276"/>
      <c r="E346" s="276"/>
      <c r="F346" s="276"/>
      <c r="G346" s="276"/>
    </row>
    <row r="347" spans="1:7" s="277" customFormat="1" x14ac:dyDescent="0.25">
      <c r="A347" s="276"/>
      <c r="B347" s="276"/>
      <c r="C347" s="276"/>
      <c r="D347" s="276"/>
      <c r="E347" s="276"/>
      <c r="F347" s="276"/>
      <c r="G347" s="276"/>
    </row>
    <row r="348" spans="1:7" s="277" customFormat="1" x14ac:dyDescent="0.25">
      <c r="A348" s="276"/>
      <c r="B348" s="276"/>
      <c r="C348" s="276"/>
      <c r="D348" s="276"/>
      <c r="E348" s="276"/>
      <c r="F348" s="276"/>
      <c r="G348" s="276"/>
    </row>
    <row r="349" spans="1:7" s="277" customFormat="1" x14ac:dyDescent="0.25">
      <c r="A349" s="276"/>
      <c r="B349" s="276"/>
      <c r="C349" s="276"/>
      <c r="D349" s="276"/>
      <c r="E349" s="276"/>
      <c r="F349" s="276"/>
      <c r="G349" s="276"/>
    </row>
    <row r="350" spans="1:7" s="277" customFormat="1" x14ac:dyDescent="0.25">
      <c r="A350" s="276"/>
      <c r="B350" s="276"/>
      <c r="C350" s="276"/>
      <c r="D350" s="276"/>
      <c r="E350" s="276"/>
      <c r="F350" s="276"/>
      <c r="G350" s="276"/>
    </row>
    <row r="351" spans="1:7" s="277" customFormat="1" x14ac:dyDescent="0.25">
      <c r="A351" s="276"/>
      <c r="B351" s="276"/>
      <c r="C351" s="276"/>
      <c r="D351" s="276"/>
      <c r="E351" s="276"/>
      <c r="F351" s="276"/>
      <c r="G351" s="276"/>
    </row>
    <row r="352" spans="1:7" s="277" customFormat="1" x14ac:dyDescent="0.25">
      <c r="A352" s="276"/>
      <c r="B352" s="276"/>
      <c r="C352" s="276"/>
      <c r="D352" s="276"/>
      <c r="E352" s="276"/>
      <c r="F352" s="276"/>
      <c r="G352" s="276"/>
    </row>
    <row r="353" spans="1:7" s="277" customFormat="1" x14ac:dyDescent="0.25">
      <c r="A353" s="276"/>
      <c r="B353" s="276"/>
      <c r="C353" s="276"/>
      <c r="D353" s="276"/>
      <c r="E353" s="276"/>
      <c r="F353" s="276"/>
      <c r="G353" s="276"/>
    </row>
    <row r="354" spans="1:7" s="277" customFormat="1" x14ac:dyDescent="0.25">
      <c r="A354" s="276"/>
      <c r="B354" s="276"/>
      <c r="C354" s="276"/>
      <c r="D354" s="276"/>
      <c r="E354" s="276"/>
      <c r="F354" s="276"/>
      <c r="G354" s="276"/>
    </row>
    <row r="355" spans="1:7" s="277" customFormat="1" x14ac:dyDescent="0.25">
      <c r="A355" s="276"/>
      <c r="B355" s="276"/>
      <c r="C355" s="276"/>
      <c r="D355" s="276"/>
      <c r="E355" s="276"/>
      <c r="F355" s="276"/>
      <c r="G355" s="276"/>
    </row>
    <row r="356" spans="1:7" s="277" customFormat="1" x14ac:dyDescent="0.25">
      <c r="A356" s="276"/>
      <c r="B356" s="276"/>
      <c r="C356" s="276"/>
      <c r="D356" s="276"/>
      <c r="E356" s="276"/>
      <c r="F356" s="276"/>
      <c r="G356" s="276"/>
    </row>
    <row r="357" spans="1:7" s="277" customFormat="1" x14ac:dyDescent="0.25">
      <c r="A357" s="276"/>
      <c r="B357" s="276"/>
      <c r="C357" s="276"/>
      <c r="D357" s="276"/>
      <c r="E357" s="276"/>
      <c r="F357" s="276"/>
      <c r="G357" s="276"/>
    </row>
    <row r="358" spans="1:7" x14ac:dyDescent="0.35">
      <c r="A358" s="276"/>
      <c r="B358" s="276"/>
      <c r="D358" s="276"/>
      <c r="G358" s="276"/>
    </row>
    <row r="359" spans="1:7" x14ac:dyDescent="0.35">
      <c r="A359" s="276"/>
      <c r="B359" s="276"/>
      <c r="D359" s="276"/>
      <c r="G359" s="276"/>
    </row>
    <row r="360" spans="1:7" x14ac:dyDescent="0.35">
      <c r="A360" s="276"/>
      <c r="B360" s="276"/>
      <c r="D360" s="276"/>
      <c r="G360" s="276"/>
    </row>
    <row r="361" spans="1:7" x14ac:dyDescent="0.35">
      <c r="A361" s="276"/>
      <c r="B361" s="276"/>
      <c r="D361" s="276"/>
      <c r="G361" s="276"/>
    </row>
    <row r="362" spans="1:7" x14ac:dyDescent="0.35">
      <c r="A362" s="276"/>
      <c r="B362" s="276"/>
      <c r="D362" s="276"/>
      <c r="G362" s="276"/>
    </row>
    <row r="363" spans="1:7" x14ac:dyDescent="0.35">
      <c r="A363" s="276"/>
      <c r="B363" s="276"/>
      <c r="D363" s="276"/>
      <c r="G363" s="276"/>
    </row>
    <row r="364" spans="1:7" x14ac:dyDescent="0.35">
      <c r="A364" s="276"/>
      <c r="B364" s="276"/>
      <c r="D364" s="276"/>
      <c r="G364" s="276"/>
    </row>
    <row r="365" spans="1:7" x14ac:dyDescent="0.35">
      <c r="A365" s="276"/>
      <c r="B365" s="276"/>
      <c r="D365" s="276"/>
      <c r="G365" s="276"/>
    </row>
    <row r="366" spans="1:7" x14ac:dyDescent="0.35">
      <c r="A366" s="276"/>
      <c r="B366" s="276"/>
      <c r="D366" s="276"/>
      <c r="G366" s="276"/>
    </row>
    <row r="367" spans="1:7" x14ac:dyDescent="0.35">
      <c r="A367" s="276"/>
      <c r="B367" s="276"/>
      <c r="D367" s="276"/>
      <c r="G367" s="276"/>
    </row>
    <row r="368" spans="1:7" x14ac:dyDescent="0.35">
      <c r="A368" s="276"/>
      <c r="B368" s="276"/>
      <c r="D368" s="276"/>
      <c r="G368" s="276"/>
    </row>
    <row r="369" spans="1:7" x14ac:dyDescent="0.35">
      <c r="A369" s="276"/>
      <c r="B369" s="276"/>
      <c r="D369" s="276"/>
      <c r="G369" s="276"/>
    </row>
    <row r="370" spans="1:7" x14ac:dyDescent="0.35">
      <c r="A370" s="276"/>
      <c r="B370" s="276"/>
      <c r="D370" s="276"/>
      <c r="G370" s="276"/>
    </row>
    <row r="371" spans="1:7" x14ac:dyDescent="0.35">
      <c r="A371" s="276"/>
      <c r="B371" s="276"/>
      <c r="D371" s="276"/>
      <c r="G371" s="276"/>
    </row>
    <row r="372" spans="1:7" x14ac:dyDescent="0.35">
      <c r="A372" s="276"/>
      <c r="B372" s="276"/>
      <c r="D372" s="276"/>
      <c r="G372" s="276"/>
    </row>
    <row r="373" spans="1:7" x14ac:dyDescent="0.35">
      <c r="A373" s="276"/>
      <c r="B373" s="276"/>
      <c r="D373" s="276"/>
      <c r="G373" s="276"/>
    </row>
    <row r="374" spans="1:7" x14ac:dyDescent="0.35">
      <c r="A374" s="276"/>
      <c r="B374" s="276"/>
      <c r="D374" s="276"/>
      <c r="G374" s="276"/>
    </row>
    <row r="375" spans="1:7" x14ac:dyDescent="0.35">
      <c r="A375" s="276"/>
      <c r="B375" s="276"/>
      <c r="D375" s="276"/>
      <c r="G375" s="276"/>
    </row>
    <row r="376" spans="1:7" x14ac:dyDescent="0.35">
      <c r="A376" s="276"/>
      <c r="B376" s="276"/>
      <c r="D376" s="276"/>
      <c r="G376" s="276"/>
    </row>
    <row r="377" spans="1:7" x14ac:dyDescent="0.35">
      <c r="A377" s="276"/>
      <c r="B377" s="276"/>
      <c r="D377" s="276"/>
      <c r="G377" s="276"/>
    </row>
    <row r="378" spans="1:7" x14ac:dyDescent="0.35">
      <c r="A378" s="276"/>
      <c r="B378" s="276"/>
      <c r="D378" s="276"/>
      <c r="G378" s="276"/>
    </row>
    <row r="379" spans="1:7" x14ac:dyDescent="0.35">
      <c r="A379" s="276"/>
      <c r="B379" s="276"/>
      <c r="D379" s="276"/>
      <c r="G379" s="276"/>
    </row>
    <row r="380" spans="1:7" x14ac:dyDescent="0.35">
      <c r="A380" s="276"/>
      <c r="B380" s="276"/>
      <c r="D380" s="276"/>
      <c r="G380" s="276"/>
    </row>
    <row r="381" spans="1:7" x14ac:dyDescent="0.35">
      <c r="A381" s="276"/>
      <c r="B381" s="276"/>
      <c r="D381" s="276"/>
      <c r="G381" s="276"/>
    </row>
    <row r="382" spans="1:7" x14ac:dyDescent="0.35">
      <c r="A382" s="276"/>
      <c r="B382" s="276"/>
      <c r="D382" s="276"/>
      <c r="G382" s="276"/>
    </row>
    <row r="383" spans="1:7" x14ac:dyDescent="0.35">
      <c r="A383" s="276"/>
      <c r="B383" s="276"/>
      <c r="D383" s="276"/>
      <c r="G383" s="276"/>
    </row>
    <row r="384" spans="1:7" x14ac:dyDescent="0.35">
      <c r="A384" s="276"/>
      <c r="B384" s="276"/>
      <c r="D384" s="276"/>
      <c r="G384" s="276"/>
    </row>
    <row r="385" spans="1:7" x14ac:dyDescent="0.35">
      <c r="A385" s="276"/>
      <c r="B385" s="276"/>
      <c r="D385" s="276"/>
      <c r="G385" s="276"/>
    </row>
    <row r="386" spans="1:7" x14ac:dyDescent="0.35">
      <c r="A386" s="276"/>
      <c r="B386" s="276"/>
      <c r="D386" s="276"/>
      <c r="G386" s="276"/>
    </row>
    <row r="387" spans="1:7" x14ac:dyDescent="0.35">
      <c r="A387" s="276"/>
      <c r="B387" s="276"/>
      <c r="D387" s="276"/>
      <c r="G387" s="276"/>
    </row>
    <row r="388" spans="1:7" x14ac:dyDescent="0.35">
      <c r="A388" s="276"/>
      <c r="B388" s="276"/>
      <c r="D388" s="276"/>
      <c r="G388" s="276"/>
    </row>
    <row r="389" spans="1:7" x14ac:dyDescent="0.35">
      <c r="A389" s="276"/>
      <c r="B389" s="276"/>
      <c r="D389" s="276"/>
      <c r="G389" s="276"/>
    </row>
    <row r="390" spans="1:7" x14ac:dyDescent="0.35">
      <c r="A390" s="276"/>
      <c r="B390" s="276"/>
      <c r="D390" s="276"/>
      <c r="G390" s="276"/>
    </row>
    <row r="391" spans="1:7" x14ac:dyDescent="0.35">
      <c r="A391" s="276"/>
      <c r="B391" s="276"/>
      <c r="D391" s="276"/>
      <c r="G391" s="276"/>
    </row>
    <row r="392" spans="1:7" x14ac:dyDescent="0.35">
      <c r="A392" s="276"/>
      <c r="B392" s="276"/>
      <c r="D392" s="276"/>
      <c r="G392" s="276"/>
    </row>
    <row r="393" spans="1:7" x14ac:dyDescent="0.35">
      <c r="A393" s="276"/>
      <c r="B393" s="276"/>
      <c r="D393" s="276"/>
      <c r="G393" s="276"/>
    </row>
    <row r="394" spans="1:7" x14ac:dyDescent="0.35">
      <c r="A394" s="276"/>
      <c r="B394" s="276"/>
      <c r="D394" s="276"/>
      <c r="G394" s="276"/>
    </row>
    <row r="395" spans="1:7" x14ac:dyDescent="0.35">
      <c r="A395" s="276"/>
      <c r="B395" s="276"/>
      <c r="D395" s="276"/>
      <c r="G395" s="276"/>
    </row>
    <row r="396" spans="1:7" x14ac:dyDescent="0.35">
      <c r="A396" s="276"/>
      <c r="B396" s="276"/>
      <c r="D396" s="276"/>
      <c r="G396" s="276"/>
    </row>
    <row r="397" spans="1:7" x14ac:dyDescent="0.35">
      <c r="A397" s="276"/>
      <c r="B397" s="276"/>
      <c r="D397" s="276"/>
      <c r="G397" s="276"/>
    </row>
    <row r="398" spans="1:7" x14ac:dyDescent="0.35">
      <c r="A398" s="276"/>
      <c r="B398" s="276"/>
      <c r="D398" s="276"/>
      <c r="G398" s="276"/>
    </row>
    <row r="399" spans="1:7" x14ac:dyDescent="0.35">
      <c r="A399" s="276"/>
      <c r="B399" s="276"/>
      <c r="D399" s="276"/>
      <c r="G399" s="276"/>
    </row>
    <row r="400" spans="1:7" x14ac:dyDescent="0.35">
      <c r="A400" s="276"/>
      <c r="B400" s="276"/>
      <c r="D400" s="276"/>
      <c r="G400" s="276"/>
    </row>
    <row r="401" spans="1:7" x14ac:dyDescent="0.35">
      <c r="A401" s="276"/>
      <c r="B401" s="276"/>
      <c r="D401" s="276"/>
      <c r="G401" s="276"/>
    </row>
    <row r="402" spans="1:7" x14ac:dyDescent="0.35">
      <c r="A402" s="276"/>
      <c r="B402" s="276"/>
      <c r="D402" s="276"/>
      <c r="G402" s="276"/>
    </row>
    <row r="403" spans="1:7" x14ac:dyDescent="0.35">
      <c r="A403" s="276"/>
      <c r="B403" s="276"/>
      <c r="D403" s="276"/>
      <c r="G403" s="276"/>
    </row>
    <row r="404" spans="1:7" x14ac:dyDescent="0.35">
      <c r="A404" s="276"/>
      <c r="B404" s="276"/>
      <c r="D404" s="276"/>
      <c r="G404" s="276"/>
    </row>
    <row r="405" spans="1:7" x14ac:dyDescent="0.35">
      <c r="A405" s="276"/>
      <c r="B405" s="276"/>
      <c r="D405" s="276"/>
      <c r="G405" s="276"/>
    </row>
    <row r="406" spans="1:7" x14ac:dyDescent="0.35">
      <c r="A406" s="276"/>
      <c r="B406" s="276"/>
      <c r="D406" s="276"/>
      <c r="G406" s="276"/>
    </row>
    <row r="407" spans="1:7" x14ac:dyDescent="0.35">
      <c r="A407" s="276"/>
      <c r="B407" s="276"/>
      <c r="D407" s="276"/>
      <c r="G407" s="276"/>
    </row>
    <row r="408" spans="1:7" x14ac:dyDescent="0.35">
      <c r="A408" s="276"/>
      <c r="B408" s="276"/>
      <c r="D408" s="276"/>
      <c r="G408" s="276"/>
    </row>
    <row r="409" spans="1:7" x14ac:dyDescent="0.35">
      <c r="A409" s="276"/>
      <c r="B409" s="276"/>
      <c r="D409" s="276"/>
      <c r="G409" s="276"/>
    </row>
    <row r="410" spans="1:7" x14ac:dyDescent="0.35">
      <c r="A410" s="276"/>
      <c r="B410" s="276"/>
      <c r="D410" s="276"/>
      <c r="G410" s="276"/>
    </row>
    <row r="411" spans="1:7" x14ac:dyDescent="0.35">
      <c r="A411" s="276"/>
      <c r="B411" s="276"/>
      <c r="D411" s="276"/>
      <c r="G411" s="276"/>
    </row>
    <row r="412" spans="1:7" x14ac:dyDescent="0.35">
      <c r="A412" s="276"/>
      <c r="B412" s="276"/>
      <c r="D412" s="276"/>
      <c r="G412" s="276"/>
    </row>
    <row r="413" spans="1:7" x14ac:dyDescent="0.35">
      <c r="A413" s="276"/>
      <c r="B413" s="276"/>
      <c r="D413" s="276"/>
      <c r="G413" s="276"/>
    </row>
    <row r="414" spans="1:7" x14ac:dyDescent="0.35">
      <c r="A414" s="276"/>
      <c r="B414" s="276"/>
      <c r="D414" s="276"/>
      <c r="G414" s="276"/>
    </row>
    <row r="415" spans="1:7" x14ac:dyDescent="0.35">
      <c r="A415" s="276"/>
      <c r="B415" s="276"/>
      <c r="D415" s="276"/>
      <c r="G415" s="276"/>
    </row>
    <row r="416" spans="1:7" x14ac:dyDescent="0.35">
      <c r="A416" s="276"/>
      <c r="B416" s="276"/>
      <c r="D416" s="276"/>
      <c r="G416" s="276"/>
    </row>
    <row r="417" spans="1:7" x14ac:dyDescent="0.35">
      <c r="A417" s="276"/>
      <c r="B417" s="276"/>
      <c r="D417" s="276"/>
      <c r="G417" s="276"/>
    </row>
    <row r="418" spans="1:7" x14ac:dyDescent="0.35">
      <c r="A418" s="276"/>
      <c r="B418" s="276"/>
      <c r="D418" s="276"/>
      <c r="G418" s="276"/>
    </row>
    <row r="419" spans="1:7" x14ac:dyDescent="0.35">
      <c r="A419" s="276"/>
      <c r="B419" s="276"/>
      <c r="D419" s="276"/>
      <c r="G419" s="276"/>
    </row>
    <row r="420" spans="1:7" x14ac:dyDescent="0.35">
      <c r="A420" s="276"/>
      <c r="B420" s="276"/>
      <c r="D420" s="276"/>
      <c r="G420" s="276"/>
    </row>
    <row r="421" spans="1:7" x14ac:dyDescent="0.35">
      <c r="A421" s="276"/>
      <c r="B421" s="276"/>
      <c r="D421" s="276"/>
      <c r="G421" s="276"/>
    </row>
    <row r="422" spans="1:7" x14ac:dyDescent="0.35">
      <c r="A422" s="276"/>
      <c r="B422" s="276"/>
      <c r="D422" s="276"/>
      <c r="G422" s="276"/>
    </row>
    <row r="423" spans="1:7" x14ac:dyDescent="0.35">
      <c r="A423" s="276"/>
      <c r="B423" s="276"/>
      <c r="D423" s="276"/>
      <c r="G423" s="276"/>
    </row>
    <row r="424" spans="1:7" x14ac:dyDescent="0.35">
      <c r="A424" s="276"/>
      <c r="B424" s="276"/>
      <c r="D424" s="276"/>
      <c r="G424" s="276"/>
    </row>
    <row r="425" spans="1:7" x14ac:dyDescent="0.35">
      <c r="A425" s="276"/>
      <c r="B425" s="276"/>
      <c r="D425" s="276"/>
      <c r="G425" s="276"/>
    </row>
    <row r="426" spans="1:7" x14ac:dyDescent="0.35">
      <c r="A426" s="276"/>
      <c r="B426" s="276"/>
      <c r="D426" s="276"/>
      <c r="G426" s="276"/>
    </row>
    <row r="427" spans="1:7" x14ac:dyDescent="0.35">
      <c r="A427" s="276"/>
      <c r="B427" s="276"/>
      <c r="D427" s="276"/>
      <c r="G427" s="276"/>
    </row>
    <row r="428" spans="1:7" x14ac:dyDescent="0.35">
      <c r="A428" s="276"/>
      <c r="B428" s="276"/>
      <c r="D428" s="276"/>
      <c r="G428" s="276"/>
    </row>
    <row r="429" spans="1:7" x14ac:dyDescent="0.35">
      <c r="A429" s="276"/>
      <c r="B429" s="276"/>
      <c r="D429" s="276"/>
      <c r="G429" s="276"/>
    </row>
    <row r="430" spans="1:7" x14ac:dyDescent="0.35">
      <c r="A430" s="276"/>
      <c r="B430" s="276"/>
      <c r="D430" s="276"/>
      <c r="G430" s="276"/>
    </row>
    <row r="431" spans="1:7" x14ac:dyDescent="0.35">
      <c r="A431" s="276"/>
      <c r="B431" s="276"/>
      <c r="D431" s="276"/>
      <c r="G431" s="276"/>
    </row>
    <row r="432" spans="1:7" x14ac:dyDescent="0.35">
      <c r="A432" s="276"/>
      <c r="B432" s="276"/>
      <c r="D432" s="276"/>
      <c r="G432" s="276"/>
    </row>
    <row r="433" spans="1:7" x14ac:dyDescent="0.35">
      <c r="A433" s="276"/>
      <c r="B433" s="276"/>
      <c r="D433" s="276"/>
      <c r="G433" s="276"/>
    </row>
    <row r="434" spans="1:7" x14ac:dyDescent="0.35">
      <c r="A434" s="276"/>
      <c r="B434" s="276"/>
      <c r="D434" s="276"/>
      <c r="G434" s="276"/>
    </row>
    <row r="435" spans="1:7" x14ac:dyDescent="0.35">
      <c r="A435" s="276"/>
      <c r="B435" s="276"/>
      <c r="D435" s="276"/>
      <c r="G435" s="276"/>
    </row>
    <row r="436" spans="1:7" x14ac:dyDescent="0.35">
      <c r="A436" s="276"/>
      <c r="B436" s="276"/>
      <c r="D436" s="276"/>
      <c r="G436" s="276"/>
    </row>
    <row r="437" spans="1:7" x14ac:dyDescent="0.35">
      <c r="A437" s="276"/>
      <c r="B437" s="276"/>
      <c r="D437" s="276"/>
      <c r="G437" s="276"/>
    </row>
    <row r="438" spans="1:7" x14ac:dyDescent="0.35">
      <c r="A438" s="276"/>
      <c r="B438" s="276"/>
      <c r="D438" s="276"/>
      <c r="G438" s="276"/>
    </row>
    <row r="439" spans="1:7" x14ac:dyDescent="0.35">
      <c r="A439" s="276"/>
      <c r="B439" s="276"/>
      <c r="D439" s="276"/>
      <c r="G439" s="276"/>
    </row>
    <row r="440" spans="1:7" x14ac:dyDescent="0.35">
      <c r="A440" s="276"/>
      <c r="B440" s="276"/>
      <c r="D440" s="276"/>
      <c r="G440" s="276"/>
    </row>
    <row r="441" spans="1:7" x14ac:dyDescent="0.35">
      <c r="A441" s="276"/>
      <c r="B441" s="276"/>
      <c r="D441" s="276"/>
      <c r="G441" s="276"/>
    </row>
    <row r="442" spans="1:7" x14ac:dyDescent="0.35">
      <c r="A442" s="276"/>
      <c r="B442" s="276"/>
      <c r="D442" s="276"/>
      <c r="G442" s="276"/>
    </row>
    <row r="443" spans="1:7" x14ac:dyDescent="0.35">
      <c r="A443" s="276"/>
      <c r="B443" s="276"/>
      <c r="D443" s="276"/>
      <c r="G443" s="276"/>
    </row>
    <row r="444" spans="1:7" x14ac:dyDescent="0.35">
      <c r="A444" s="276"/>
      <c r="B444" s="276"/>
      <c r="D444" s="276"/>
      <c r="G444" s="276"/>
    </row>
    <row r="445" spans="1:7" x14ac:dyDescent="0.35">
      <c r="A445" s="276"/>
      <c r="B445" s="276"/>
      <c r="D445" s="276"/>
      <c r="G445" s="276"/>
    </row>
    <row r="446" spans="1:7" x14ac:dyDescent="0.35">
      <c r="A446" s="276"/>
      <c r="B446" s="276"/>
      <c r="D446" s="276"/>
      <c r="G446" s="276"/>
    </row>
    <row r="447" spans="1:7" x14ac:dyDescent="0.35">
      <c r="A447" s="276"/>
      <c r="B447" s="276"/>
      <c r="D447" s="276"/>
      <c r="G447" s="276"/>
    </row>
    <row r="448" spans="1:7" x14ac:dyDescent="0.35">
      <c r="A448" s="276"/>
      <c r="B448" s="276"/>
      <c r="D448" s="276"/>
      <c r="G448" s="276"/>
    </row>
    <row r="449" spans="1:7" x14ac:dyDescent="0.35">
      <c r="A449" s="276"/>
      <c r="B449" s="276"/>
      <c r="D449" s="276"/>
      <c r="G449" s="276"/>
    </row>
    <row r="450" spans="1:7" x14ac:dyDescent="0.35">
      <c r="A450" s="276"/>
      <c r="B450" s="276"/>
      <c r="D450" s="276"/>
      <c r="G450" s="276"/>
    </row>
    <row r="451" spans="1:7" x14ac:dyDescent="0.35">
      <c r="A451" s="276"/>
      <c r="B451" s="276"/>
      <c r="D451" s="276"/>
      <c r="G451" s="276"/>
    </row>
    <row r="452" spans="1:7" x14ac:dyDescent="0.35">
      <c r="A452" s="276"/>
      <c r="B452" s="276"/>
      <c r="D452" s="276"/>
      <c r="G452" s="276"/>
    </row>
    <row r="453" spans="1:7" x14ac:dyDescent="0.35">
      <c r="A453" s="276"/>
      <c r="B453" s="276"/>
      <c r="D453" s="276"/>
      <c r="G453" s="276"/>
    </row>
    <row r="454" spans="1:7" x14ac:dyDescent="0.35">
      <c r="A454" s="276"/>
      <c r="B454" s="276"/>
      <c r="D454" s="276"/>
      <c r="G454" s="276"/>
    </row>
    <row r="455" spans="1:7" x14ac:dyDescent="0.35">
      <c r="A455" s="276"/>
      <c r="B455" s="276"/>
      <c r="D455" s="276"/>
      <c r="G455" s="276"/>
    </row>
    <row r="456" spans="1:7" x14ac:dyDescent="0.35">
      <c r="A456" s="276"/>
      <c r="B456" s="276"/>
      <c r="D456" s="276"/>
      <c r="G456" s="276"/>
    </row>
    <row r="457" spans="1:7" x14ac:dyDescent="0.35">
      <c r="A457" s="276"/>
      <c r="B457" s="276"/>
      <c r="D457" s="276"/>
      <c r="G457" s="276"/>
    </row>
    <row r="458" spans="1:7" x14ac:dyDescent="0.35">
      <c r="A458" s="276"/>
      <c r="B458" s="276"/>
      <c r="D458" s="276"/>
      <c r="G458" s="276"/>
    </row>
    <row r="459" spans="1:7" x14ac:dyDescent="0.35">
      <c r="A459" s="276"/>
      <c r="B459" s="276"/>
      <c r="D459" s="276"/>
      <c r="G459" s="276"/>
    </row>
    <row r="460" spans="1:7" x14ac:dyDescent="0.35">
      <c r="A460" s="276"/>
      <c r="B460" s="276"/>
      <c r="D460" s="276"/>
      <c r="G460" s="276"/>
    </row>
    <row r="461" spans="1:7" x14ac:dyDescent="0.35">
      <c r="A461" s="276"/>
      <c r="B461" s="276"/>
      <c r="D461" s="276"/>
      <c r="G461" s="276"/>
    </row>
    <row r="462" spans="1:7" x14ac:dyDescent="0.35">
      <c r="A462" s="276"/>
      <c r="B462" s="276"/>
      <c r="D462" s="276"/>
      <c r="G462" s="276"/>
    </row>
    <row r="463" spans="1:7" x14ac:dyDescent="0.35">
      <c r="A463" s="276"/>
      <c r="B463" s="276"/>
      <c r="D463" s="276"/>
      <c r="G463" s="276"/>
    </row>
    <row r="464" spans="1:7" x14ac:dyDescent="0.35">
      <c r="A464" s="276"/>
      <c r="B464" s="276"/>
      <c r="D464" s="276"/>
      <c r="G464" s="276"/>
    </row>
    <row r="465" spans="1:7" x14ac:dyDescent="0.35">
      <c r="A465" s="276"/>
      <c r="B465" s="276"/>
      <c r="D465" s="276"/>
      <c r="G465" s="276"/>
    </row>
    <row r="466" spans="1:7" x14ac:dyDescent="0.35">
      <c r="A466" s="276"/>
      <c r="B466" s="276"/>
      <c r="D466" s="276"/>
      <c r="G466" s="276"/>
    </row>
    <row r="467" spans="1:7" x14ac:dyDescent="0.35">
      <c r="A467" s="276"/>
      <c r="B467" s="276"/>
      <c r="D467" s="276"/>
      <c r="G467" s="276"/>
    </row>
    <row r="468" spans="1:7" x14ac:dyDescent="0.35">
      <c r="A468" s="276"/>
      <c r="B468" s="276"/>
      <c r="D468" s="276"/>
      <c r="G468" s="276"/>
    </row>
    <row r="469" spans="1:7" x14ac:dyDescent="0.35">
      <c r="A469" s="276"/>
      <c r="B469" s="276"/>
      <c r="D469" s="276"/>
      <c r="G469" s="276"/>
    </row>
    <row r="470" spans="1:7" x14ac:dyDescent="0.35">
      <c r="A470" s="276"/>
      <c r="B470" s="276"/>
      <c r="D470" s="276"/>
      <c r="G470" s="276"/>
    </row>
    <row r="471" spans="1:7" x14ac:dyDescent="0.35">
      <c r="A471" s="276"/>
      <c r="B471" s="276"/>
      <c r="D471" s="276"/>
      <c r="G471" s="276"/>
    </row>
    <row r="472" spans="1:7" x14ac:dyDescent="0.35">
      <c r="A472" s="276"/>
      <c r="B472" s="276"/>
      <c r="D472" s="276"/>
      <c r="G472" s="276"/>
    </row>
    <row r="473" spans="1:7" x14ac:dyDescent="0.35">
      <c r="A473" s="276"/>
      <c r="B473" s="276"/>
      <c r="D473" s="276"/>
      <c r="G473" s="276"/>
    </row>
    <row r="474" spans="1:7" x14ac:dyDescent="0.35">
      <c r="A474" s="276"/>
      <c r="B474" s="276"/>
      <c r="D474" s="276"/>
      <c r="G474" s="276"/>
    </row>
    <row r="475" spans="1:7" x14ac:dyDescent="0.35">
      <c r="A475" s="276"/>
      <c r="B475" s="276"/>
      <c r="D475" s="276"/>
      <c r="G475" s="276"/>
    </row>
    <row r="476" spans="1:7" x14ac:dyDescent="0.35">
      <c r="A476" s="276"/>
      <c r="B476" s="276"/>
      <c r="D476" s="276"/>
      <c r="G476" s="276"/>
    </row>
    <row r="477" spans="1:7" x14ac:dyDescent="0.35">
      <c r="A477" s="276"/>
      <c r="B477" s="276"/>
      <c r="D477" s="276"/>
      <c r="G477" s="276"/>
    </row>
    <row r="478" spans="1:7" x14ac:dyDescent="0.35">
      <c r="A478" s="276"/>
      <c r="B478" s="276"/>
      <c r="D478" s="276"/>
      <c r="G478" s="276"/>
    </row>
    <row r="479" spans="1:7" x14ac:dyDescent="0.35">
      <c r="A479" s="276"/>
      <c r="B479" s="276"/>
      <c r="D479" s="276"/>
      <c r="G479" s="276"/>
    </row>
    <row r="480" spans="1:7" x14ac:dyDescent="0.35">
      <c r="A480" s="276"/>
      <c r="B480" s="276"/>
      <c r="D480" s="276"/>
      <c r="G480" s="276"/>
    </row>
    <row r="481" spans="1:7" x14ac:dyDescent="0.35">
      <c r="A481" s="276"/>
      <c r="B481" s="276"/>
      <c r="D481" s="276"/>
      <c r="G481" s="276"/>
    </row>
    <row r="482" spans="1:7" x14ac:dyDescent="0.35">
      <c r="A482" s="276"/>
      <c r="B482" s="276"/>
      <c r="D482" s="276"/>
      <c r="G482" s="276"/>
    </row>
    <row r="483" spans="1:7" x14ac:dyDescent="0.35">
      <c r="A483" s="276"/>
      <c r="B483" s="276"/>
      <c r="D483" s="276"/>
      <c r="G483" s="276"/>
    </row>
    <row r="484" spans="1:7" x14ac:dyDescent="0.35">
      <c r="A484" s="276"/>
      <c r="B484" s="276"/>
      <c r="D484" s="276"/>
      <c r="G484" s="276"/>
    </row>
    <row r="485" spans="1:7" x14ac:dyDescent="0.35">
      <c r="A485" s="276"/>
      <c r="B485" s="276"/>
      <c r="D485" s="276"/>
      <c r="G485" s="276"/>
    </row>
    <row r="486" spans="1:7" x14ac:dyDescent="0.35">
      <c r="A486" s="276"/>
      <c r="B486" s="276"/>
      <c r="D486" s="276"/>
      <c r="G486" s="276"/>
    </row>
    <row r="487" spans="1:7" x14ac:dyDescent="0.35">
      <c r="A487" s="276"/>
      <c r="B487" s="276"/>
      <c r="D487" s="276"/>
      <c r="G487" s="276"/>
    </row>
    <row r="488" spans="1:7" x14ac:dyDescent="0.35">
      <c r="A488" s="276"/>
      <c r="B488" s="276"/>
      <c r="D488" s="276"/>
      <c r="G488" s="276"/>
    </row>
    <row r="489" spans="1:7" x14ac:dyDescent="0.35">
      <c r="A489" s="276"/>
      <c r="B489" s="276"/>
      <c r="D489" s="276"/>
      <c r="G489" s="276"/>
    </row>
    <row r="490" spans="1:7" x14ac:dyDescent="0.35">
      <c r="A490" s="276"/>
      <c r="B490" s="276"/>
      <c r="D490" s="276"/>
      <c r="G490" s="276"/>
    </row>
    <row r="491" spans="1:7" x14ac:dyDescent="0.35">
      <c r="A491" s="276"/>
      <c r="B491" s="276"/>
      <c r="D491" s="276"/>
      <c r="G491" s="276"/>
    </row>
    <row r="492" spans="1:7" x14ac:dyDescent="0.35">
      <c r="A492" s="276"/>
      <c r="B492" s="276"/>
      <c r="D492" s="276"/>
      <c r="G492" s="276"/>
    </row>
    <row r="493" spans="1:7" x14ac:dyDescent="0.35">
      <c r="A493" s="276"/>
      <c r="B493" s="276"/>
      <c r="D493" s="276"/>
      <c r="G493" s="276"/>
    </row>
    <row r="494" spans="1:7" x14ac:dyDescent="0.35">
      <c r="A494" s="276"/>
      <c r="B494" s="276"/>
      <c r="D494" s="276"/>
      <c r="G494" s="276"/>
    </row>
    <row r="495" spans="1:7" x14ac:dyDescent="0.35">
      <c r="A495" s="276"/>
      <c r="B495" s="276"/>
      <c r="D495" s="276"/>
      <c r="G495" s="276"/>
    </row>
    <row r="496" spans="1:7" x14ac:dyDescent="0.35">
      <c r="A496" s="276"/>
      <c r="B496" s="276"/>
      <c r="D496" s="276"/>
      <c r="G496" s="276"/>
    </row>
    <row r="497" spans="1:7" x14ac:dyDescent="0.35">
      <c r="A497" s="276"/>
      <c r="B497" s="276"/>
      <c r="D497" s="276"/>
      <c r="G497" s="276"/>
    </row>
    <row r="498" spans="1:7" x14ac:dyDescent="0.35">
      <c r="A498" s="276"/>
      <c r="B498" s="276"/>
      <c r="D498" s="276"/>
      <c r="G498" s="276"/>
    </row>
    <row r="499" spans="1:7" x14ac:dyDescent="0.35">
      <c r="A499" s="276"/>
      <c r="B499" s="276"/>
      <c r="D499" s="276"/>
      <c r="G499" s="276"/>
    </row>
    <row r="500" spans="1:7" x14ac:dyDescent="0.35">
      <c r="A500" s="276"/>
      <c r="B500" s="276"/>
      <c r="D500" s="276"/>
      <c r="G500" s="276"/>
    </row>
    <row r="501" spans="1:7" x14ac:dyDescent="0.35">
      <c r="A501" s="276"/>
      <c r="B501" s="276"/>
      <c r="D501" s="276"/>
      <c r="G501" s="276"/>
    </row>
    <row r="502" spans="1:7" x14ac:dyDescent="0.35">
      <c r="A502" s="276"/>
      <c r="B502" s="276"/>
      <c r="D502" s="276"/>
      <c r="G502" s="276"/>
    </row>
    <row r="503" spans="1:7" x14ac:dyDescent="0.35">
      <c r="A503" s="276"/>
      <c r="B503" s="276"/>
      <c r="D503" s="276"/>
      <c r="G503" s="276"/>
    </row>
    <row r="504" spans="1:7" x14ac:dyDescent="0.35">
      <c r="A504" s="276"/>
      <c r="B504" s="276"/>
      <c r="D504" s="276"/>
      <c r="G504" s="276"/>
    </row>
    <row r="505" spans="1:7" x14ac:dyDescent="0.35">
      <c r="A505" s="276"/>
      <c r="B505" s="276"/>
      <c r="D505" s="276"/>
      <c r="G505" s="276"/>
    </row>
    <row r="506" spans="1:7" x14ac:dyDescent="0.35">
      <c r="A506" s="276"/>
      <c r="B506" s="276"/>
      <c r="D506" s="276"/>
      <c r="G506" s="276"/>
    </row>
    <row r="507" spans="1:7" x14ac:dyDescent="0.35">
      <c r="A507" s="276"/>
      <c r="B507" s="276"/>
      <c r="D507" s="276"/>
      <c r="G507" s="276"/>
    </row>
    <row r="508" spans="1:7" x14ac:dyDescent="0.35">
      <c r="A508" s="276"/>
      <c r="B508" s="276"/>
      <c r="D508" s="276"/>
      <c r="G508" s="276"/>
    </row>
    <row r="509" spans="1:7" x14ac:dyDescent="0.35">
      <c r="A509" s="276"/>
      <c r="B509" s="276"/>
      <c r="D509" s="276"/>
      <c r="G509" s="276"/>
    </row>
    <row r="510" spans="1:7" x14ac:dyDescent="0.35">
      <c r="A510" s="276"/>
      <c r="B510" s="276"/>
      <c r="D510" s="276"/>
      <c r="G510" s="276"/>
    </row>
    <row r="511" spans="1:7" x14ac:dyDescent="0.35">
      <c r="A511" s="276"/>
      <c r="B511" s="276"/>
      <c r="D511" s="276"/>
      <c r="G511" s="276"/>
    </row>
    <row r="512" spans="1:7" x14ac:dyDescent="0.35">
      <c r="A512" s="276"/>
      <c r="B512" s="276"/>
      <c r="D512" s="276"/>
      <c r="G512" s="276"/>
    </row>
    <row r="513" spans="1:7" x14ac:dyDescent="0.35">
      <c r="A513" s="276"/>
      <c r="B513" s="276"/>
      <c r="D513" s="276"/>
      <c r="G513" s="276"/>
    </row>
    <row r="514" spans="1:7" x14ac:dyDescent="0.35">
      <c r="A514" s="276"/>
      <c r="B514" s="276"/>
      <c r="D514" s="276"/>
      <c r="G514" s="276"/>
    </row>
    <row r="515" spans="1:7" x14ac:dyDescent="0.35">
      <c r="A515" s="276"/>
      <c r="B515" s="276"/>
      <c r="D515" s="276"/>
      <c r="G515" s="276"/>
    </row>
    <row r="516" spans="1:7" x14ac:dyDescent="0.35">
      <c r="A516" s="276"/>
      <c r="B516" s="276"/>
      <c r="D516" s="276"/>
      <c r="G516" s="276"/>
    </row>
    <row r="517" spans="1:7" x14ac:dyDescent="0.35">
      <c r="A517" s="276"/>
      <c r="B517" s="276"/>
      <c r="D517" s="276"/>
      <c r="G517" s="276"/>
    </row>
    <row r="518" spans="1:7" x14ac:dyDescent="0.35">
      <c r="A518" s="276"/>
      <c r="B518" s="276"/>
      <c r="D518" s="276"/>
      <c r="G518" s="276"/>
    </row>
    <row r="519" spans="1:7" x14ac:dyDescent="0.35">
      <c r="A519" s="276"/>
      <c r="B519" s="276"/>
      <c r="D519" s="276"/>
      <c r="G519" s="276"/>
    </row>
    <row r="520" spans="1:7" x14ac:dyDescent="0.35">
      <c r="A520" s="276"/>
      <c r="B520" s="276"/>
      <c r="D520" s="276"/>
      <c r="G520" s="276"/>
    </row>
    <row r="521" spans="1:7" x14ac:dyDescent="0.35">
      <c r="A521" s="276"/>
      <c r="B521" s="276"/>
      <c r="D521" s="276"/>
      <c r="G521" s="276"/>
    </row>
    <row r="522" spans="1:7" x14ac:dyDescent="0.35">
      <c r="A522" s="276"/>
      <c r="B522" s="276"/>
      <c r="D522" s="276"/>
      <c r="G522" s="276"/>
    </row>
    <row r="523" spans="1:7" x14ac:dyDescent="0.35">
      <c r="A523" s="276"/>
      <c r="B523" s="276"/>
      <c r="D523" s="276"/>
      <c r="G523" s="276"/>
    </row>
    <row r="524" spans="1:7" x14ac:dyDescent="0.35">
      <c r="A524" s="276"/>
      <c r="B524" s="276"/>
      <c r="D524" s="276"/>
      <c r="G524" s="276"/>
    </row>
    <row r="525" spans="1:7" x14ac:dyDescent="0.35">
      <c r="A525" s="276"/>
      <c r="B525" s="276"/>
      <c r="D525" s="276"/>
      <c r="G525" s="276"/>
    </row>
    <row r="526" spans="1:7" x14ac:dyDescent="0.35">
      <c r="A526" s="276"/>
      <c r="B526" s="276"/>
      <c r="D526" s="276"/>
      <c r="G526" s="276"/>
    </row>
    <row r="527" spans="1:7" x14ac:dyDescent="0.35">
      <c r="A527" s="276"/>
      <c r="B527" s="276"/>
      <c r="D527" s="276"/>
      <c r="G527" s="276"/>
    </row>
    <row r="528" spans="1:7" x14ac:dyDescent="0.35">
      <c r="A528" s="276"/>
      <c r="B528" s="276"/>
      <c r="D528" s="276"/>
      <c r="G528" s="276"/>
    </row>
    <row r="529" spans="1:7" x14ac:dyDescent="0.35">
      <c r="A529" s="276"/>
      <c r="B529" s="276"/>
      <c r="D529" s="276"/>
      <c r="G529" s="276"/>
    </row>
    <row r="530" spans="1:7" x14ac:dyDescent="0.35">
      <c r="A530" s="276"/>
      <c r="B530" s="276"/>
      <c r="D530" s="276"/>
      <c r="G530" s="276"/>
    </row>
    <row r="531" spans="1:7" x14ac:dyDescent="0.35">
      <c r="A531" s="276"/>
      <c r="B531" s="276"/>
      <c r="D531" s="276"/>
      <c r="G531" s="276"/>
    </row>
    <row r="532" spans="1:7" x14ac:dyDescent="0.35">
      <c r="A532" s="276"/>
      <c r="B532" s="276"/>
      <c r="D532" s="276"/>
      <c r="G532" s="276"/>
    </row>
    <row r="533" spans="1:7" x14ac:dyDescent="0.35">
      <c r="A533" s="276"/>
      <c r="B533" s="276"/>
      <c r="D533" s="276"/>
      <c r="G533" s="276"/>
    </row>
    <row r="534" spans="1:7" x14ac:dyDescent="0.35">
      <c r="A534" s="276"/>
      <c r="B534" s="276"/>
      <c r="D534" s="276"/>
      <c r="G534" s="276"/>
    </row>
    <row r="535" spans="1:7" x14ac:dyDescent="0.35">
      <c r="A535" s="276"/>
      <c r="B535" s="276"/>
      <c r="D535" s="276"/>
      <c r="G535" s="276"/>
    </row>
    <row r="536" spans="1:7" x14ac:dyDescent="0.35">
      <c r="A536" s="276"/>
      <c r="B536" s="276"/>
      <c r="D536" s="276"/>
      <c r="G536" s="276"/>
    </row>
    <row r="537" spans="1:7" x14ac:dyDescent="0.35">
      <c r="A537" s="276"/>
      <c r="B537" s="276"/>
      <c r="D537" s="276"/>
      <c r="G537" s="276"/>
    </row>
    <row r="538" spans="1:7" x14ac:dyDescent="0.35">
      <c r="A538" s="276"/>
      <c r="B538" s="276"/>
      <c r="D538" s="276"/>
      <c r="G538" s="276"/>
    </row>
    <row r="539" spans="1:7" x14ac:dyDescent="0.35">
      <c r="A539" s="276"/>
      <c r="B539" s="276"/>
      <c r="D539" s="276"/>
      <c r="G539" s="276"/>
    </row>
    <row r="540" spans="1:7" x14ac:dyDescent="0.35">
      <c r="A540" s="276"/>
      <c r="B540" s="276"/>
      <c r="D540" s="276"/>
      <c r="G540" s="276"/>
    </row>
    <row r="541" spans="1:7" x14ac:dyDescent="0.35">
      <c r="A541" s="276"/>
      <c r="B541" s="276"/>
      <c r="D541" s="276"/>
      <c r="G541" s="276"/>
    </row>
    <row r="542" spans="1:7" x14ac:dyDescent="0.35">
      <c r="A542" s="276"/>
      <c r="B542" s="276"/>
      <c r="D542" s="276"/>
      <c r="G542" s="276"/>
    </row>
    <row r="543" spans="1:7" x14ac:dyDescent="0.35">
      <c r="A543" s="276"/>
      <c r="B543" s="276"/>
      <c r="D543" s="276"/>
      <c r="G543" s="276"/>
    </row>
    <row r="544" spans="1:7" x14ac:dyDescent="0.35">
      <c r="A544" s="276"/>
      <c r="B544" s="276"/>
      <c r="D544" s="276"/>
      <c r="G544" s="276"/>
    </row>
    <row r="545" spans="1:7" x14ac:dyDescent="0.35">
      <c r="A545" s="276"/>
      <c r="B545" s="276"/>
      <c r="D545" s="276"/>
      <c r="G545" s="276"/>
    </row>
    <row r="546" spans="1:7" x14ac:dyDescent="0.35">
      <c r="A546" s="276"/>
      <c r="B546" s="276"/>
      <c r="D546" s="276"/>
      <c r="G546" s="276"/>
    </row>
    <row r="547" spans="1:7" x14ac:dyDescent="0.35">
      <c r="A547" s="276"/>
      <c r="B547" s="276"/>
      <c r="D547" s="276"/>
      <c r="G547" s="276"/>
    </row>
    <row r="548" spans="1:7" x14ac:dyDescent="0.35">
      <c r="A548" s="276"/>
      <c r="B548" s="276"/>
      <c r="D548" s="276"/>
      <c r="G548" s="276"/>
    </row>
    <row r="549" spans="1:7" x14ac:dyDescent="0.35">
      <c r="A549" s="276"/>
      <c r="B549" s="276"/>
      <c r="D549" s="276"/>
      <c r="G549" s="276"/>
    </row>
    <row r="550" spans="1:7" x14ac:dyDescent="0.35">
      <c r="A550" s="276"/>
      <c r="B550" s="276"/>
      <c r="D550" s="276"/>
      <c r="G550" s="276"/>
    </row>
    <row r="551" spans="1:7" x14ac:dyDescent="0.35">
      <c r="A551" s="276"/>
      <c r="B551" s="276"/>
      <c r="D551" s="276"/>
      <c r="G551" s="276"/>
    </row>
    <row r="552" spans="1:7" x14ac:dyDescent="0.35">
      <c r="A552" s="276"/>
      <c r="B552" s="276"/>
      <c r="D552" s="276"/>
      <c r="G552" s="276"/>
    </row>
    <row r="553" spans="1:7" x14ac:dyDescent="0.35">
      <c r="A553" s="276"/>
      <c r="B553" s="276"/>
      <c r="D553" s="276"/>
      <c r="G553" s="276"/>
    </row>
    <row r="554" spans="1:7" x14ac:dyDescent="0.35">
      <c r="A554" s="276"/>
      <c r="B554" s="276"/>
      <c r="D554" s="276"/>
      <c r="G554" s="276"/>
    </row>
    <row r="555" spans="1:7" x14ac:dyDescent="0.35">
      <c r="A555" s="276"/>
      <c r="B555" s="276"/>
      <c r="D555" s="276"/>
      <c r="G555" s="276"/>
    </row>
    <row r="556" spans="1:7" x14ac:dyDescent="0.35">
      <c r="A556" s="276"/>
      <c r="B556" s="276"/>
      <c r="D556" s="276"/>
      <c r="G556" s="276"/>
    </row>
    <row r="557" spans="1:7" x14ac:dyDescent="0.35">
      <c r="A557" s="276"/>
      <c r="B557" s="276"/>
      <c r="D557" s="276"/>
      <c r="G557" s="276"/>
    </row>
    <row r="558" spans="1:7" x14ac:dyDescent="0.35">
      <c r="A558" s="276"/>
      <c r="B558" s="276"/>
      <c r="D558" s="276"/>
      <c r="G558" s="276"/>
    </row>
    <row r="559" spans="1:7" x14ac:dyDescent="0.35">
      <c r="A559" s="276"/>
      <c r="B559" s="276"/>
      <c r="D559" s="276"/>
      <c r="G559" s="276"/>
    </row>
    <row r="560" spans="1:7" x14ac:dyDescent="0.35">
      <c r="A560" s="276"/>
      <c r="B560" s="276"/>
      <c r="D560" s="276"/>
      <c r="G560" s="276"/>
    </row>
    <row r="561" spans="1:7" x14ac:dyDescent="0.35">
      <c r="A561" s="276"/>
      <c r="B561" s="276"/>
      <c r="D561" s="276"/>
      <c r="G561" s="276"/>
    </row>
    <row r="562" spans="1:7" x14ac:dyDescent="0.35">
      <c r="A562" s="276"/>
      <c r="B562" s="276"/>
      <c r="D562" s="276"/>
      <c r="G562" s="276"/>
    </row>
    <row r="563" spans="1:7" x14ac:dyDescent="0.35">
      <c r="A563" s="276"/>
      <c r="B563" s="276"/>
      <c r="D563" s="276"/>
      <c r="G563" s="276"/>
    </row>
    <row r="564" spans="1:7" x14ac:dyDescent="0.35">
      <c r="A564" s="276"/>
      <c r="B564" s="276"/>
      <c r="D564" s="276"/>
      <c r="G564" s="276"/>
    </row>
    <row r="565" spans="1:7" x14ac:dyDescent="0.35">
      <c r="A565" s="276"/>
      <c r="B565" s="276"/>
      <c r="D565" s="276"/>
      <c r="G565" s="276"/>
    </row>
    <row r="566" spans="1:7" x14ac:dyDescent="0.35">
      <c r="A566" s="276"/>
      <c r="B566" s="276"/>
      <c r="D566" s="276"/>
      <c r="G566" s="276"/>
    </row>
    <row r="567" spans="1:7" x14ac:dyDescent="0.35">
      <c r="A567" s="276"/>
      <c r="B567" s="276"/>
      <c r="D567" s="276"/>
      <c r="G567" s="276"/>
    </row>
    <row r="568" spans="1:7" x14ac:dyDescent="0.35">
      <c r="A568" s="276"/>
      <c r="B568" s="276"/>
      <c r="D568" s="276"/>
      <c r="G568" s="276"/>
    </row>
    <row r="569" spans="1:7" x14ac:dyDescent="0.35">
      <c r="A569" s="276"/>
      <c r="B569" s="276"/>
      <c r="D569" s="276"/>
      <c r="G569" s="276"/>
    </row>
    <row r="570" spans="1:7" x14ac:dyDescent="0.35">
      <c r="A570" s="276"/>
      <c r="B570" s="276"/>
      <c r="D570" s="276"/>
      <c r="G570" s="276"/>
    </row>
    <row r="571" spans="1:7" x14ac:dyDescent="0.35">
      <c r="A571" s="276"/>
      <c r="B571" s="276"/>
      <c r="D571" s="276"/>
      <c r="G571" s="276"/>
    </row>
    <row r="572" spans="1:7" x14ac:dyDescent="0.35">
      <c r="A572" s="276"/>
      <c r="B572" s="276"/>
      <c r="D572" s="276"/>
      <c r="G572" s="276"/>
    </row>
    <row r="573" spans="1:7" x14ac:dyDescent="0.35">
      <c r="A573" s="276"/>
      <c r="B573" s="276"/>
      <c r="D573" s="276"/>
      <c r="G573" s="276"/>
    </row>
    <row r="574" spans="1:7" x14ac:dyDescent="0.35">
      <c r="A574" s="276"/>
      <c r="B574" s="276"/>
      <c r="D574" s="276"/>
      <c r="G574" s="276"/>
    </row>
    <row r="575" spans="1:7" x14ac:dyDescent="0.35">
      <c r="A575" s="276"/>
      <c r="B575" s="276"/>
      <c r="D575" s="276"/>
      <c r="G575" s="276"/>
    </row>
    <row r="576" spans="1:7" x14ac:dyDescent="0.35">
      <c r="A576" s="276"/>
      <c r="B576" s="276"/>
      <c r="D576" s="276"/>
      <c r="G576" s="276"/>
    </row>
    <row r="577" spans="1:7" x14ac:dyDescent="0.35">
      <c r="A577" s="276"/>
      <c r="B577" s="276"/>
      <c r="D577" s="276"/>
      <c r="G577" s="276"/>
    </row>
    <row r="578" spans="1:7" x14ac:dyDescent="0.35">
      <c r="A578" s="276"/>
      <c r="B578" s="276"/>
      <c r="D578" s="276"/>
      <c r="G578" s="276"/>
    </row>
    <row r="579" spans="1:7" x14ac:dyDescent="0.35">
      <c r="A579" s="276"/>
      <c r="B579" s="276"/>
      <c r="D579" s="276"/>
      <c r="G579" s="276"/>
    </row>
    <row r="580" spans="1:7" x14ac:dyDescent="0.35">
      <c r="A580" s="276"/>
      <c r="B580" s="276"/>
      <c r="D580" s="276"/>
      <c r="G580" s="276"/>
    </row>
    <row r="581" spans="1:7" x14ac:dyDescent="0.35">
      <c r="A581" s="276"/>
      <c r="B581" s="276"/>
      <c r="D581" s="276"/>
      <c r="G581" s="276"/>
    </row>
    <row r="582" spans="1:7" x14ac:dyDescent="0.35">
      <c r="A582" s="276"/>
      <c r="B582" s="276"/>
      <c r="D582" s="276"/>
      <c r="G582" s="276"/>
    </row>
    <row r="583" spans="1:7" x14ac:dyDescent="0.35">
      <c r="A583" s="276"/>
      <c r="B583" s="276"/>
      <c r="D583" s="276"/>
      <c r="G583" s="276"/>
    </row>
    <row r="584" spans="1:7" x14ac:dyDescent="0.35">
      <c r="A584" s="276"/>
      <c r="B584" s="276"/>
      <c r="D584" s="276"/>
      <c r="G584" s="276"/>
    </row>
    <row r="585" spans="1:7" x14ac:dyDescent="0.35">
      <c r="A585" s="276"/>
      <c r="B585" s="276"/>
      <c r="D585" s="276"/>
      <c r="G585" s="276"/>
    </row>
    <row r="586" spans="1:7" x14ac:dyDescent="0.35">
      <c r="A586" s="276"/>
      <c r="B586" s="276"/>
      <c r="D586" s="276"/>
      <c r="G586" s="276"/>
    </row>
    <row r="587" spans="1:7" x14ac:dyDescent="0.35">
      <c r="A587" s="276"/>
      <c r="B587" s="276"/>
      <c r="D587" s="276"/>
      <c r="G587" s="276"/>
    </row>
    <row r="588" spans="1:7" x14ac:dyDescent="0.35">
      <c r="A588" s="276"/>
      <c r="B588" s="276"/>
      <c r="D588" s="276"/>
      <c r="G588" s="276"/>
    </row>
    <row r="589" spans="1:7" x14ac:dyDescent="0.35">
      <c r="A589" s="276"/>
      <c r="B589" s="276"/>
      <c r="D589" s="276"/>
      <c r="G589" s="276"/>
    </row>
    <row r="590" spans="1:7" x14ac:dyDescent="0.35">
      <c r="A590" s="276"/>
      <c r="B590" s="276"/>
      <c r="D590" s="276"/>
      <c r="G590" s="276"/>
    </row>
    <row r="591" spans="1:7" x14ac:dyDescent="0.35">
      <c r="A591" s="276"/>
      <c r="B591" s="276"/>
      <c r="D591" s="276"/>
      <c r="G591" s="276"/>
    </row>
    <row r="592" spans="1:7" x14ac:dyDescent="0.35">
      <c r="A592" s="276"/>
      <c r="B592" s="276"/>
      <c r="D592" s="276"/>
      <c r="G592" s="276"/>
    </row>
    <row r="593" spans="1:7" x14ac:dyDescent="0.35">
      <c r="A593" s="276"/>
      <c r="B593" s="276"/>
      <c r="D593" s="276"/>
      <c r="G593" s="276"/>
    </row>
    <row r="594" spans="1:7" x14ac:dyDescent="0.35">
      <c r="A594" s="276"/>
      <c r="B594" s="276"/>
      <c r="D594" s="276"/>
      <c r="G594" s="276"/>
    </row>
    <row r="595" spans="1:7" x14ac:dyDescent="0.35">
      <c r="A595" s="276"/>
      <c r="B595" s="276"/>
      <c r="D595" s="276"/>
      <c r="G595" s="276"/>
    </row>
    <row r="596" spans="1:7" x14ac:dyDescent="0.35">
      <c r="A596" s="276"/>
      <c r="B596" s="276"/>
      <c r="D596" s="276"/>
      <c r="G596" s="276"/>
    </row>
    <row r="597" spans="1:7" x14ac:dyDescent="0.35">
      <c r="A597" s="276"/>
      <c r="B597" s="276"/>
      <c r="D597" s="276"/>
      <c r="G597" s="276"/>
    </row>
    <row r="598" spans="1:7" x14ac:dyDescent="0.35">
      <c r="A598" s="276"/>
      <c r="B598" s="276"/>
      <c r="D598" s="276"/>
      <c r="G598" s="276"/>
    </row>
    <row r="599" spans="1:7" x14ac:dyDescent="0.35">
      <c r="A599" s="276"/>
      <c r="B599" s="276"/>
      <c r="D599" s="276"/>
      <c r="G599" s="276"/>
    </row>
    <row r="600" spans="1:7" x14ac:dyDescent="0.35">
      <c r="A600" s="276"/>
      <c r="B600" s="276"/>
      <c r="D600" s="276"/>
      <c r="G600" s="276"/>
    </row>
    <row r="601" spans="1:7" x14ac:dyDescent="0.35">
      <c r="A601" s="276"/>
      <c r="B601" s="276"/>
      <c r="D601" s="276"/>
      <c r="G601" s="276"/>
    </row>
    <row r="602" spans="1:7" x14ac:dyDescent="0.35">
      <c r="A602" s="276"/>
      <c r="B602" s="276"/>
      <c r="D602" s="276"/>
      <c r="G602" s="276"/>
    </row>
    <row r="603" spans="1:7" x14ac:dyDescent="0.35">
      <c r="A603" s="276"/>
      <c r="B603" s="276"/>
      <c r="D603" s="276"/>
      <c r="G603" s="276"/>
    </row>
    <row r="604" spans="1:7" x14ac:dyDescent="0.35">
      <c r="A604" s="276"/>
      <c r="B604" s="276"/>
      <c r="D604" s="276"/>
      <c r="G604" s="276"/>
    </row>
    <row r="605" spans="1:7" x14ac:dyDescent="0.35">
      <c r="A605" s="276"/>
      <c r="B605" s="276"/>
      <c r="D605" s="276"/>
      <c r="G605" s="276"/>
    </row>
    <row r="606" spans="1:7" x14ac:dyDescent="0.35">
      <c r="A606" s="276"/>
      <c r="B606" s="276"/>
      <c r="D606" s="276"/>
      <c r="G606" s="276"/>
    </row>
    <row r="607" spans="1:7" x14ac:dyDescent="0.35">
      <c r="A607" s="276"/>
      <c r="B607" s="276"/>
      <c r="D607" s="276"/>
      <c r="G607" s="276"/>
    </row>
    <row r="608" spans="1:7" x14ac:dyDescent="0.35">
      <c r="A608" s="276"/>
      <c r="B608" s="276"/>
      <c r="D608" s="276"/>
      <c r="G608" s="276"/>
    </row>
    <row r="609" spans="1:7" x14ac:dyDescent="0.35">
      <c r="A609" s="276"/>
      <c r="B609" s="276"/>
      <c r="D609" s="276"/>
      <c r="G609" s="276"/>
    </row>
    <row r="610" spans="1:7" x14ac:dyDescent="0.35">
      <c r="A610" s="276"/>
      <c r="B610" s="276"/>
      <c r="D610" s="276"/>
      <c r="G610" s="276"/>
    </row>
    <row r="611" spans="1:7" x14ac:dyDescent="0.35">
      <c r="A611" s="276"/>
      <c r="B611" s="276"/>
      <c r="D611" s="276"/>
      <c r="G611" s="276"/>
    </row>
    <row r="612" spans="1:7" x14ac:dyDescent="0.35">
      <c r="A612" s="276"/>
      <c r="B612" s="276"/>
      <c r="D612" s="276"/>
      <c r="G612" s="276"/>
    </row>
    <row r="613" spans="1:7" x14ac:dyDescent="0.35">
      <c r="A613" s="276"/>
      <c r="B613" s="276"/>
      <c r="D613" s="276"/>
      <c r="G613" s="276"/>
    </row>
    <row r="614" spans="1:7" x14ac:dyDescent="0.35">
      <c r="A614" s="276"/>
      <c r="B614" s="276"/>
      <c r="D614" s="276"/>
      <c r="G614" s="276"/>
    </row>
    <row r="615" spans="1:7" x14ac:dyDescent="0.35">
      <c r="A615" s="276"/>
      <c r="B615" s="276"/>
      <c r="D615" s="276"/>
      <c r="G615" s="276"/>
    </row>
    <row r="616" spans="1:7" x14ac:dyDescent="0.35">
      <c r="A616" s="276"/>
      <c r="B616" s="276"/>
      <c r="D616" s="276"/>
      <c r="G616" s="276"/>
    </row>
    <row r="617" spans="1:7" x14ac:dyDescent="0.35">
      <c r="A617" s="276"/>
      <c r="B617" s="276"/>
      <c r="D617" s="276"/>
      <c r="G617" s="276"/>
    </row>
    <row r="618" spans="1:7" x14ac:dyDescent="0.35">
      <c r="A618" s="276"/>
      <c r="B618" s="276"/>
      <c r="D618" s="276"/>
      <c r="G618" s="276"/>
    </row>
    <row r="619" spans="1:7" x14ac:dyDescent="0.35">
      <c r="A619" s="276"/>
      <c r="B619" s="276"/>
      <c r="D619" s="276"/>
      <c r="G619" s="276"/>
    </row>
    <row r="620" spans="1:7" x14ac:dyDescent="0.35">
      <c r="A620" s="276"/>
      <c r="B620" s="276"/>
      <c r="D620" s="276"/>
      <c r="G620" s="276"/>
    </row>
    <row r="621" spans="1:7" x14ac:dyDescent="0.35">
      <c r="A621" s="276"/>
      <c r="B621" s="276"/>
      <c r="D621" s="276"/>
      <c r="G621" s="276"/>
    </row>
    <row r="622" spans="1:7" x14ac:dyDescent="0.35">
      <c r="A622" s="276"/>
      <c r="B622" s="276"/>
      <c r="D622" s="276"/>
      <c r="G622" s="276"/>
    </row>
    <row r="623" spans="1:7" x14ac:dyDescent="0.35">
      <c r="A623" s="276"/>
      <c r="B623" s="276"/>
      <c r="D623" s="276"/>
      <c r="G623" s="276"/>
    </row>
    <row r="624" spans="1:7" x14ac:dyDescent="0.35">
      <c r="A624" s="276"/>
      <c r="B624" s="276"/>
      <c r="D624" s="276"/>
      <c r="G624" s="276"/>
    </row>
    <row r="625" spans="1:7" x14ac:dyDescent="0.35">
      <c r="A625" s="276"/>
      <c r="B625" s="276"/>
      <c r="D625" s="276"/>
      <c r="G625" s="276"/>
    </row>
    <row r="626" spans="1:7" x14ac:dyDescent="0.35">
      <c r="A626" s="276"/>
      <c r="B626" s="276"/>
      <c r="D626" s="276"/>
      <c r="G626" s="276"/>
    </row>
    <row r="627" spans="1:7" x14ac:dyDescent="0.35">
      <c r="A627" s="276"/>
      <c r="B627" s="276"/>
      <c r="D627" s="276"/>
      <c r="G627" s="276"/>
    </row>
    <row r="628" spans="1:7" x14ac:dyDescent="0.35">
      <c r="A628" s="276"/>
      <c r="B628" s="276"/>
      <c r="D628" s="276"/>
      <c r="G628" s="276"/>
    </row>
    <row r="629" spans="1:7" x14ac:dyDescent="0.35">
      <c r="A629" s="276"/>
      <c r="B629" s="276"/>
      <c r="D629" s="276"/>
      <c r="G629" s="276"/>
    </row>
    <row r="630" spans="1:7" x14ac:dyDescent="0.35">
      <c r="A630" s="276"/>
      <c r="B630" s="276"/>
      <c r="D630" s="276"/>
      <c r="G630" s="276"/>
    </row>
    <row r="631" spans="1:7" x14ac:dyDescent="0.35">
      <c r="A631" s="276"/>
      <c r="B631" s="276"/>
      <c r="D631" s="276"/>
      <c r="G631" s="276"/>
    </row>
    <row r="632" spans="1:7" x14ac:dyDescent="0.35">
      <c r="A632" s="276"/>
      <c r="B632" s="276"/>
      <c r="D632" s="276"/>
      <c r="G632" s="276"/>
    </row>
    <row r="633" spans="1:7" x14ac:dyDescent="0.35">
      <c r="A633" s="276"/>
      <c r="B633" s="276"/>
      <c r="D633" s="276"/>
      <c r="G633" s="276"/>
    </row>
    <row r="634" spans="1:7" x14ac:dyDescent="0.35">
      <c r="A634" s="276"/>
      <c r="B634" s="276"/>
      <c r="D634" s="276"/>
      <c r="G634" s="276"/>
    </row>
    <row r="635" spans="1:7" x14ac:dyDescent="0.35">
      <c r="A635" s="276"/>
      <c r="B635" s="276"/>
      <c r="D635" s="276"/>
      <c r="G635" s="276"/>
    </row>
    <row r="636" spans="1:7" x14ac:dyDescent="0.35">
      <c r="A636" s="276"/>
      <c r="B636" s="276"/>
      <c r="D636" s="276"/>
      <c r="G636" s="276"/>
    </row>
    <row r="637" spans="1:7" x14ac:dyDescent="0.35">
      <c r="A637" s="276"/>
      <c r="B637" s="276"/>
      <c r="D637" s="276"/>
      <c r="G637" s="276"/>
    </row>
    <row r="638" spans="1:7" x14ac:dyDescent="0.35">
      <c r="A638" s="276"/>
      <c r="B638" s="276"/>
      <c r="D638" s="276"/>
      <c r="G638" s="276"/>
    </row>
    <row r="639" spans="1:7" x14ac:dyDescent="0.35">
      <c r="A639" s="276"/>
      <c r="B639" s="276"/>
      <c r="D639" s="276"/>
      <c r="G639" s="276"/>
    </row>
    <row r="640" spans="1:7" x14ac:dyDescent="0.35">
      <c r="A640" s="276"/>
      <c r="B640" s="276"/>
      <c r="D640" s="276"/>
      <c r="G640" s="276"/>
    </row>
    <row r="641" spans="1:7" x14ac:dyDescent="0.35">
      <c r="A641" s="276"/>
      <c r="B641" s="276"/>
      <c r="D641" s="276"/>
      <c r="G641" s="276"/>
    </row>
    <row r="642" spans="1:7" x14ac:dyDescent="0.35">
      <c r="A642" s="276"/>
      <c r="B642" s="276"/>
      <c r="D642" s="276"/>
      <c r="G642" s="276"/>
    </row>
    <row r="643" spans="1:7" x14ac:dyDescent="0.35">
      <c r="A643" s="276"/>
      <c r="B643" s="276"/>
      <c r="D643" s="276"/>
      <c r="G643" s="276"/>
    </row>
    <row r="644" spans="1:7" x14ac:dyDescent="0.35">
      <c r="A644" s="276"/>
      <c r="B644" s="276"/>
      <c r="D644" s="276"/>
      <c r="G644" s="276"/>
    </row>
    <row r="645" spans="1:7" x14ac:dyDescent="0.35">
      <c r="A645" s="276"/>
      <c r="B645" s="276"/>
      <c r="D645" s="276"/>
      <c r="G645" s="276"/>
    </row>
    <row r="646" spans="1:7" x14ac:dyDescent="0.35">
      <c r="A646" s="276"/>
      <c r="B646" s="276"/>
      <c r="D646" s="276"/>
      <c r="G646" s="276"/>
    </row>
    <row r="647" spans="1:7" x14ac:dyDescent="0.35">
      <c r="A647" s="276"/>
      <c r="B647" s="276"/>
      <c r="D647" s="276"/>
      <c r="G647" s="276"/>
    </row>
    <row r="648" spans="1:7" x14ac:dyDescent="0.35">
      <c r="A648" s="276"/>
      <c r="B648" s="276"/>
      <c r="D648" s="276"/>
      <c r="G648" s="276"/>
    </row>
    <row r="649" spans="1:7" x14ac:dyDescent="0.35">
      <c r="A649" s="276"/>
      <c r="B649" s="276"/>
      <c r="D649" s="276"/>
      <c r="G649" s="276"/>
    </row>
    <row r="650" spans="1:7" x14ac:dyDescent="0.35">
      <c r="A650" s="276"/>
      <c r="B650" s="276"/>
      <c r="D650" s="276"/>
      <c r="G650" s="276"/>
    </row>
    <row r="651" spans="1:7" x14ac:dyDescent="0.35">
      <c r="A651" s="276"/>
      <c r="B651" s="276"/>
      <c r="D651" s="276"/>
      <c r="G651" s="276"/>
    </row>
    <row r="652" spans="1:7" x14ac:dyDescent="0.35">
      <c r="A652" s="276"/>
      <c r="B652" s="276"/>
      <c r="D652" s="276"/>
      <c r="G652" s="276"/>
    </row>
    <row r="653" spans="1:7" x14ac:dyDescent="0.35">
      <c r="A653" s="276"/>
      <c r="B653" s="276"/>
      <c r="D653" s="276"/>
      <c r="G653" s="276"/>
    </row>
    <row r="654" spans="1:7" x14ac:dyDescent="0.35">
      <c r="A654" s="276"/>
      <c r="B654" s="276"/>
      <c r="D654" s="276"/>
      <c r="G654" s="276"/>
    </row>
    <row r="655" spans="1:7" x14ac:dyDescent="0.35">
      <c r="A655" s="276"/>
      <c r="B655" s="276"/>
      <c r="D655" s="276"/>
      <c r="G655" s="276"/>
    </row>
    <row r="656" spans="1:7" x14ac:dyDescent="0.35">
      <c r="A656" s="276"/>
      <c r="B656" s="276"/>
      <c r="D656" s="276"/>
      <c r="G656" s="276"/>
    </row>
    <row r="657" spans="1:7" x14ac:dyDescent="0.35">
      <c r="A657" s="276"/>
      <c r="B657" s="276"/>
      <c r="D657" s="276"/>
      <c r="G657" s="276"/>
    </row>
    <row r="658" spans="1:7" x14ac:dyDescent="0.35">
      <c r="A658" s="276"/>
      <c r="B658" s="276"/>
      <c r="D658" s="276"/>
      <c r="G658" s="276"/>
    </row>
    <row r="659" spans="1:7" x14ac:dyDescent="0.35">
      <c r="A659" s="276"/>
      <c r="B659" s="276"/>
      <c r="D659" s="276"/>
      <c r="G659" s="276"/>
    </row>
    <row r="660" spans="1:7" x14ac:dyDescent="0.35">
      <c r="A660" s="276"/>
      <c r="B660" s="276"/>
      <c r="D660" s="276"/>
      <c r="G660" s="276"/>
    </row>
    <row r="661" spans="1:7" x14ac:dyDescent="0.35">
      <c r="A661" s="276"/>
      <c r="B661" s="276"/>
      <c r="D661" s="276"/>
      <c r="G661" s="276"/>
    </row>
    <row r="662" spans="1:7" x14ac:dyDescent="0.35">
      <c r="A662" s="276"/>
      <c r="B662" s="276"/>
      <c r="D662" s="276"/>
      <c r="G662" s="276"/>
    </row>
    <row r="663" spans="1:7" x14ac:dyDescent="0.35">
      <c r="A663" s="276"/>
      <c r="B663" s="276"/>
      <c r="D663" s="276"/>
      <c r="G663" s="276"/>
    </row>
    <row r="664" spans="1:7" x14ac:dyDescent="0.35">
      <c r="A664" s="276"/>
      <c r="B664" s="276"/>
      <c r="D664" s="276"/>
      <c r="G664" s="276"/>
    </row>
    <row r="665" spans="1:7" x14ac:dyDescent="0.35">
      <c r="A665" s="276"/>
      <c r="B665" s="276"/>
      <c r="D665" s="276"/>
      <c r="G665" s="276"/>
    </row>
    <row r="666" spans="1:7" x14ac:dyDescent="0.35">
      <c r="A666" s="276"/>
      <c r="B666" s="276"/>
      <c r="D666" s="276"/>
      <c r="G666" s="276"/>
    </row>
    <row r="667" spans="1:7" x14ac:dyDescent="0.35">
      <c r="A667" s="276"/>
      <c r="B667" s="276"/>
      <c r="D667" s="276"/>
      <c r="G667" s="276"/>
    </row>
    <row r="668" spans="1:7" x14ac:dyDescent="0.35">
      <c r="A668" s="276"/>
      <c r="B668" s="276"/>
      <c r="D668" s="276"/>
      <c r="G668" s="276"/>
    </row>
    <row r="669" spans="1:7" x14ac:dyDescent="0.35">
      <c r="A669" s="276"/>
      <c r="B669" s="276"/>
      <c r="D669" s="276"/>
      <c r="G669" s="276"/>
    </row>
    <row r="670" spans="1:7" x14ac:dyDescent="0.35">
      <c r="A670" s="276"/>
      <c r="B670" s="276"/>
      <c r="D670" s="276"/>
      <c r="G670" s="276"/>
    </row>
    <row r="671" spans="1:7" x14ac:dyDescent="0.35">
      <c r="A671" s="276"/>
      <c r="B671" s="276"/>
      <c r="D671" s="276"/>
      <c r="G671" s="276"/>
    </row>
    <row r="672" spans="1:7" x14ac:dyDescent="0.35">
      <c r="A672" s="276"/>
      <c r="B672" s="276"/>
      <c r="D672" s="276"/>
      <c r="G672" s="276"/>
    </row>
    <row r="673" spans="1:7" x14ac:dyDescent="0.35">
      <c r="A673" s="276"/>
      <c r="B673" s="276"/>
      <c r="D673" s="276"/>
      <c r="G673" s="276"/>
    </row>
    <row r="674" spans="1:7" x14ac:dyDescent="0.35">
      <c r="A674" s="276"/>
      <c r="B674" s="276"/>
      <c r="D674" s="276"/>
      <c r="G674" s="276"/>
    </row>
    <row r="675" spans="1:7" x14ac:dyDescent="0.35">
      <c r="A675" s="276"/>
      <c r="B675" s="276"/>
      <c r="D675" s="276"/>
      <c r="G675" s="276"/>
    </row>
    <row r="676" spans="1:7" x14ac:dyDescent="0.35">
      <c r="A676" s="276"/>
      <c r="B676" s="276"/>
      <c r="D676" s="276"/>
      <c r="G676" s="276"/>
    </row>
    <row r="677" spans="1:7" x14ac:dyDescent="0.35">
      <c r="A677" s="276"/>
      <c r="B677" s="276"/>
      <c r="D677" s="276"/>
      <c r="G677" s="276"/>
    </row>
    <row r="678" spans="1:7" x14ac:dyDescent="0.35">
      <c r="A678" s="276"/>
      <c r="B678" s="276"/>
      <c r="D678" s="276"/>
      <c r="G678" s="276"/>
    </row>
    <row r="679" spans="1:7" x14ac:dyDescent="0.35">
      <c r="A679" s="276"/>
      <c r="B679" s="276"/>
      <c r="D679" s="276"/>
      <c r="G679" s="276"/>
    </row>
    <row r="680" spans="1:7" x14ac:dyDescent="0.35">
      <c r="A680" s="276"/>
      <c r="B680" s="276"/>
      <c r="D680" s="276"/>
      <c r="G680" s="276"/>
    </row>
    <row r="681" spans="1:7" x14ac:dyDescent="0.35">
      <c r="A681" s="276"/>
      <c r="B681" s="276"/>
      <c r="D681" s="276"/>
      <c r="G681" s="276"/>
    </row>
    <row r="682" spans="1:7" x14ac:dyDescent="0.35">
      <c r="A682" s="276"/>
      <c r="B682" s="276"/>
      <c r="D682" s="276"/>
      <c r="G682" s="276"/>
    </row>
    <row r="683" spans="1:7" x14ac:dyDescent="0.35">
      <c r="A683" s="276"/>
      <c r="B683" s="276"/>
      <c r="D683" s="276"/>
      <c r="G683" s="276"/>
    </row>
    <row r="684" spans="1:7" x14ac:dyDescent="0.35">
      <c r="A684" s="276"/>
      <c r="B684" s="276"/>
      <c r="D684" s="276"/>
      <c r="G684" s="276"/>
    </row>
    <row r="685" spans="1:7" x14ac:dyDescent="0.35">
      <c r="A685" s="276"/>
      <c r="B685" s="276"/>
      <c r="D685" s="276"/>
      <c r="G685" s="276"/>
    </row>
    <row r="686" spans="1:7" x14ac:dyDescent="0.35">
      <c r="A686" s="276"/>
      <c r="B686" s="276"/>
      <c r="D686" s="276"/>
      <c r="G686" s="276"/>
    </row>
    <row r="687" spans="1:7" x14ac:dyDescent="0.35">
      <c r="A687" s="276"/>
      <c r="B687" s="276"/>
      <c r="D687" s="276"/>
      <c r="G687" s="276"/>
    </row>
    <row r="688" spans="1:7" x14ac:dyDescent="0.35">
      <c r="A688" s="276"/>
      <c r="B688" s="276"/>
      <c r="D688" s="276"/>
      <c r="G688" s="276"/>
    </row>
    <row r="689" spans="1:7" x14ac:dyDescent="0.35">
      <c r="A689" s="276"/>
      <c r="B689" s="276"/>
      <c r="D689" s="276"/>
      <c r="G689" s="276"/>
    </row>
    <row r="690" spans="1:7" x14ac:dyDescent="0.35">
      <c r="A690" s="276"/>
      <c r="B690" s="276"/>
      <c r="D690" s="276"/>
      <c r="G690" s="276"/>
    </row>
    <row r="691" spans="1:7" x14ac:dyDescent="0.35">
      <c r="A691" s="276"/>
      <c r="B691" s="276"/>
      <c r="D691" s="276"/>
      <c r="G691" s="276"/>
    </row>
    <row r="692" spans="1:7" x14ac:dyDescent="0.35">
      <c r="A692" s="276"/>
      <c r="B692" s="276"/>
      <c r="D692" s="276"/>
      <c r="G692" s="276"/>
    </row>
    <row r="693" spans="1:7" x14ac:dyDescent="0.35">
      <c r="A693" s="276"/>
      <c r="B693" s="276"/>
      <c r="D693" s="276"/>
      <c r="G693" s="276"/>
    </row>
    <row r="694" spans="1:7" x14ac:dyDescent="0.35">
      <c r="A694" s="276"/>
      <c r="B694" s="276"/>
      <c r="D694" s="276"/>
      <c r="G694" s="276"/>
    </row>
    <row r="695" spans="1:7" x14ac:dyDescent="0.35">
      <c r="A695" s="276"/>
      <c r="B695" s="276"/>
      <c r="D695" s="276"/>
      <c r="G695" s="276"/>
    </row>
    <row r="696" spans="1:7" x14ac:dyDescent="0.35">
      <c r="A696" s="276"/>
      <c r="B696" s="276"/>
      <c r="D696" s="276"/>
      <c r="G696" s="276"/>
    </row>
    <row r="697" spans="1:7" x14ac:dyDescent="0.35">
      <c r="A697" s="276"/>
      <c r="B697" s="276"/>
      <c r="D697" s="276"/>
      <c r="G697" s="276"/>
    </row>
    <row r="698" spans="1:7" x14ac:dyDescent="0.35">
      <c r="A698" s="276"/>
      <c r="B698" s="276"/>
      <c r="D698" s="276"/>
      <c r="G698" s="276"/>
    </row>
    <row r="699" spans="1:7" x14ac:dyDescent="0.35">
      <c r="A699" s="276"/>
      <c r="B699" s="276"/>
      <c r="D699" s="276"/>
      <c r="G699" s="276"/>
    </row>
    <row r="700" spans="1:7" x14ac:dyDescent="0.35">
      <c r="A700" s="276"/>
      <c r="B700" s="276"/>
      <c r="D700" s="276"/>
      <c r="G700" s="276"/>
    </row>
    <row r="701" spans="1:7" x14ac:dyDescent="0.35">
      <c r="A701" s="276"/>
      <c r="B701" s="276"/>
      <c r="D701" s="276"/>
      <c r="G701" s="276"/>
    </row>
    <row r="702" spans="1:7" x14ac:dyDescent="0.35">
      <c r="A702" s="276"/>
      <c r="B702" s="276"/>
      <c r="D702" s="276"/>
      <c r="G702" s="276"/>
    </row>
    <row r="703" spans="1:7" x14ac:dyDescent="0.35">
      <c r="A703" s="276"/>
      <c r="B703" s="276"/>
      <c r="D703" s="276"/>
      <c r="G703" s="276"/>
    </row>
    <row r="704" spans="1:7" x14ac:dyDescent="0.35">
      <c r="A704" s="276"/>
      <c r="B704" s="276"/>
      <c r="D704" s="276"/>
      <c r="G704" s="276"/>
    </row>
    <row r="705" spans="1:7" x14ac:dyDescent="0.35">
      <c r="A705" s="276"/>
      <c r="B705" s="276"/>
      <c r="D705" s="276"/>
      <c r="G705" s="276"/>
    </row>
    <row r="706" spans="1:7" x14ac:dyDescent="0.35">
      <c r="A706" s="276"/>
      <c r="B706" s="276"/>
      <c r="D706" s="276"/>
      <c r="G706" s="276"/>
    </row>
    <row r="707" spans="1:7" x14ac:dyDescent="0.35">
      <c r="A707" s="276"/>
      <c r="B707" s="276"/>
      <c r="D707" s="276"/>
      <c r="G707" s="276"/>
    </row>
    <row r="708" spans="1:7" x14ac:dyDescent="0.35">
      <c r="A708" s="276"/>
      <c r="B708" s="276"/>
      <c r="D708" s="276"/>
      <c r="G708" s="276"/>
    </row>
    <row r="709" spans="1:7" x14ac:dyDescent="0.35">
      <c r="A709" s="276"/>
      <c r="B709" s="276"/>
      <c r="D709" s="276"/>
      <c r="G709" s="276"/>
    </row>
    <row r="710" spans="1:7" x14ac:dyDescent="0.35">
      <c r="A710" s="276"/>
      <c r="B710" s="276"/>
      <c r="D710" s="276"/>
      <c r="G710" s="276"/>
    </row>
    <row r="711" spans="1:7" x14ac:dyDescent="0.35">
      <c r="A711" s="276"/>
      <c r="B711" s="276"/>
      <c r="D711" s="276"/>
      <c r="G711" s="276"/>
    </row>
    <row r="712" spans="1:7" x14ac:dyDescent="0.35">
      <c r="A712" s="276"/>
      <c r="B712" s="276"/>
      <c r="D712" s="276"/>
      <c r="G712" s="276"/>
    </row>
    <row r="713" spans="1:7" x14ac:dyDescent="0.35">
      <c r="A713" s="276"/>
      <c r="B713" s="276"/>
      <c r="D713" s="276"/>
      <c r="G713" s="276"/>
    </row>
    <row r="714" spans="1:7" x14ac:dyDescent="0.35">
      <c r="A714" s="276"/>
      <c r="B714" s="276"/>
      <c r="D714" s="276"/>
      <c r="G714" s="276"/>
    </row>
    <row r="715" spans="1:7" x14ac:dyDescent="0.35">
      <c r="A715" s="276"/>
      <c r="B715" s="276"/>
      <c r="D715" s="276"/>
      <c r="G715" s="276"/>
    </row>
    <row r="716" spans="1:7" x14ac:dyDescent="0.35">
      <c r="A716" s="276"/>
      <c r="B716" s="276"/>
      <c r="D716" s="276"/>
      <c r="G716" s="276"/>
    </row>
    <row r="717" spans="1:7" x14ac:dyDescent="0.35">
      <c r="A717" s="276"/>
      <c r="B717" s="276"/>
      <c r="D717" s="276"/>
      <c r="G717" s="276"/>
    </row>
    <row r="718" spans="1:7" x14ac:dyDescent="0.35">
      <c r="A718" s="276"/>
      <c r="B718" s="276"/>
      <c r="D718" s="276"/>
      <c r="G718" s="276"/>
    </row>
    <row r="719" spans="1:7" x14ac:dyDescent="0.35">
      <c r="A719" s="276"/>
      <c r="B719" s="276"/>
      <c r="D719" s="276"/>
      <c r="G719" s="276"/>
    </row>
    <row r="720" spans="1:7" x14ac:dyDescent="0.35">
      <c r="A720" s="276"/>
      <c r="B720" s="276"/>
      <c r="D720" s="276"/>
      <c r="G720" s="276"/>
    </row>
    <row r="721" spans="1:7" x14ac:dyDescent="0.35">
      <c r="A721" s="276"/>
      <c r="B721" s="276"/>
      <c r="D721" s="276"/>
      <c r="G721" s="276"/>
    </row>
    <row r="722" spans="1:7" x14ac:dyDescent="0.35">
      <c r="A722" s="276"/>
      <c r="B722" s="276"/>
      <c r="D722" s="276"/>
      <c r="G722" s="276"/>
    </row>
    <row r="723" spans="1:7" x14ac:dyDescent="0.35">
      <c r="A723" s="276"/>
      <c r="B723" s="276"/>
      <c r="D723" s="276"/>
      <c r="G723" s="276"/>
    </row>
    <row r="724" spans="1:7" x14ac:dyDescent="0.35">
      <c r="A724" s="276"/>
      <c r="B724" s="276"/>
      <c r="D724" s="276"/>
      <c r="G724" s="276"/>
    </row>
    <row r="725" spans="1:7" x14ac:dyDescent="0.35">
      <c r="A725" s="276"/>
      <c r="B725" s="276"/>
      <c r="D725" s="276"/>
      <c r="G725" s="276"/>
    </row>
    <row r="726" spans="1:7" x14ac:dyDescent="0.35">
      <c r="A726" s="276"/>
      <c r="B726" s="276"/>
      <c r="D726" s="276"/>
      <c r="G726" s="276"/>
    </row>
    <row r="727" spans="1:7" x14ac:dyDescent="0.35">
      <c r="A727" s="276"/>
      <c r="B727" s="276"/>
      <c r="D727" s="276"/>
      <c r="G727" s="276"/>
    </row>
    <row r="728" spans="1:7" x14ac:dyDescent="0.35">
      <c r="A728" s="276"/>
      <c r="B728" s="276"/>
      <c r="D728" s="276"/>
      <c r="G728" s="276"/>
    </row>
    <row r="729" spans="1:7" x14ac:dyDescent="0.35">
      <c r="A729" s="276"/>
      <c r="B729" s="276"/>
      <c r="D729" s="276"/>
      <c r="G729" s="276"/>
    </row>
    <row r="730" spans="1:7" x14ac:dyDescent="0.35">
      <c r="A730" s="276"/>
      <c r="B730" s="276"/>
      <c r="D730" s="276"/>
      <c r="G730" s="276"/>
    </row>
    <row r="731" spans="1:7" x14ac:dyDescent="0.35">
      <c r="A731" s="276"/>
      <c r="B731" s="276"/>
      <c r="D731" s="276"/>
      <c r="G731" s="276"/>
    </row>
    <row r="732" spans="1:7" x14ac:dyDescent="0.35">
      <c r="A732" s="276"/>
      <c r="B732" s="276"/>
      <c r="D732" s="276"/>
      <c r="G732" s="276"/>
    </row>
    <row r="733" spans="1:7" x14ac:dyDescent="0.35">
      <c r="A733" s="276"/>
      <c r="B733" s="276"/>
      <c r="D733" s="276"/>
      <c r="G733" s="276"/>
    </row>
    <row r="734" spans="1:7" x14ac:dyDescent="0.35">
      <c r="A734" s="276"/>
      <c r="B734" s="276"/>
      <c r="D734" s="276"/>
      <c r="G734" s="276"/>
    </row>
    <row r="735" spans="1:7" x14ac:dyDescent="0.35">
      <c r="A735" s="276"/>
      <c r="B735" s="276"/>
      <c r="D735" s="276"/>
      <c r="G735" s="276"/>
    </row>
    <row r="736" spans="1:7" x14ac:dyDescent="0.35">
      <c r="A736" s="276"/>
      <c r="B736" s="276"/>
      <c r="D736" s="276"/>
      <c r="G736" s="276"/>
    </row>
    <row r="737" spans="1:7" x14ac:dyDescent="0.35">
      <c r="A737" s="276"/>
      <c r="B737" s="276"/>
      <c r="D737" s="276"/>
      <c r="G737" s="276"/>
    </row>
    <row r="738" spans="1:7" x14ac:dyDescent="0.35">
      <c r="A738" s="276"/>
      <c r="B738" s="276"/>
      <c r="D738" s="276"/>
      <c r="G738" s="276"/>
    </row>
    <row r="739" spans="1:7" x14ac:dyDescent="0.35">
      <c r="A739" s="276"/>
      <c r="B739" s="276"/>
      <c r="D739" s="276"/>
      <c r="G739" s="276"/>
    </row>
    <row r="740" spans="1:7" x14ac:dyDescent="0.35">
      <c r="A740" s="276"/>
      <c r="B740" s="276"/>
      <c r="D740" s="276"/>
      <c r="G740" s="276"/>
    </row>
    <row r="741" spans="1:7" x14ac:dyDescent="0.35">
      <c r="A741" s="276"/>
      <c r="B741" s="276"/>
      <c r="D741" s="276"/>
      <c r="G741" s="276"/>
    </row>
    <row r="742" spans="1:7" x14ac:dyDescent="0.35">
      <c r="A742" s="276"/>
      <c r="B742" s="276"/>
      <c r="D742" s="276"/>
      <c r="G742" s="276"/>
    </row>
    <row r="743" spans="1:7" x14ac:dyDescent="0.35">
      <c r="A743" s="276"/>
      <c r="B743" s="276"/>
      <c r="D743" s="276"/>
      <c r="G743" s="276"/>
    </row>
    <row r="744" spans="1:7" x14ac:dyDescent="0.35">
      <c r="A744" s="276"/>
      <c r="B744" s="276"/>
      <c r="D744" s="276"/>
      <c r="G744" s="276"/>
    </row>
    <row r="745" spans="1:7" x14ac:dyDescent="0.35">
      <c r="A745" s="276"/>
      <c r="B745" s="276"/>
      <c r="D745" s="276"/>
      <c r="G745" s="276"/>
    </row>
    <row r="746" spans="1:7" x14ac:dyDescent="0.35">
      <c r="A746" s="276"/>
      <c r="B746" s="276"/>
      <c r="D746" s="276"/>
      <c r="G746" s="276"/>
    </row>
    <row r="747" spans="1:7" x14ac:dyDescent="0.35">
      <c r="A747" s="276"/>
      <c r="B747" s="276"/>
      <c r="D747" s="276"/>
      <c r="G747" s="276"/>
    </row>
    <row r="748" spans="1:7" x14ac:dyDescent="0.35">
      <c r="A748" s="276"/>
      <c r="B748" s="276"/>
      <c r="D748" s="276"/>
      <c r="G748" s="276"/>
    </row>
    <row r="749" spans="1:7" x14ac:dyDescent="0.35">
      <c r="A749" s="276"/>
      <c r="B749" s="276"/>
      <c r="D749" s="276"/>
      <c r="G749" s="276"/>
    </row>
    <row r="750" spans="1:7" x14ac:dyDescent="0.35">
      <c r="A750" s="276"/>
      <c r="B750" s="276"/>
      <c r="D750" s="276"/>
      <c r="G750" s="276"/>
    </row>
    <row r="751" spans="1:7" x14ac:dyDescent="0.35">
      <c r="A751" s="276"/>
      <c r="B751" s="276"/>
      <c r="D751" s="276"/>
      <c r="G751" s="276"/>
    </row>
    <row r="752" spans="1:7" x14ac:dyDescent="0.35">
      <c r="A752" s="276"/>
      <c r="B752" s="276"/>
      <c r="D752" s="276"/>
      <c r="G752" s="276"/>
    </row>
    <row r="753" spans="1:7" x14ac:dyDescent="0.35">
      <c r="A753" s="276"/>
      <c r="B753" s="276"/>
      <c r="D753" s="276"/>
      <c r="G753" s="276"/>
    </row>
    <row r="754" spans="1:7" x14ac:dyDescent="0.35">
      <c r="A754" s="276"/>
      <c r="B754" s="276"/>
      <c r="D754" s="276"/>
      <c r="G754" s="276"/>
    </row>
    <row r="755" spans="1:7" x14ac:dyDescent="0.35">
      <c r="A755" s="276"/>
      <c r="B755" s="276"/>
      <c r="D755" s="276"/>
      <c r="G755" s="276"/>
    </row>
    <row r="756" spans="1:7" x14ac:dyDescent="0.35">
      <c r="A756" s="276"/>
      <c r="B756" s="276"/>
      <c r="D756" s="276"/>
      <c r="G756" s="276"/>
    </row>
    <row r="757" spans="1:7" x14ac:dyDescent="0.35">
      <c r="A757" s="276"/>
      <c r="B757" s="276"/>
      <c r="D757" s="276"/>
      <c r="G757" s="276"/>
    </row>
    <row r="758" spans="1:7" x14ac:dyDescent="0.35">
      <c r="A758" s="276"/>
      <c r="B758" s="276"/>
      <c r="D758" s="276"/>
      <c r="G758" s="276"/>
    </row>
    <row r="759" spans="1:7" x14ac:dyDescent="0.35">
      <c r="A759" s="276"/>
      <c r="B759" s="276"/>
      <c r="D759" s="276"/>
      <c r="G759" s="276"/>
    </row>
    <row r="760" spans="1:7" x14ac:dyDescent="0.35">
      <c r="A760" s="276"/>
      <c r="B760" s="276"/>
      <c r="D760" s="276"/>
      <c r="G760" s="276"/>
    </row>
    <row r="761" spans="1:7" x14ac:dyDescent="0.35">
      <c r="A761" s="276"/>
      <c r="B761" s="276"/>
      <c r="D761" s="276"/>
      <c r="G761" s="276"/>
    </row>
    <row r="762" spans="1:7" x14ac:dyDescent="0.35">
      <c r="A762" s="276"/>
      <c r="B762" s="276"/>
      <c r="D762" s="276"/>
      <c r="G762" s="276"/>
    </row>
    <row r="763" spans="1:7" x14ac:dyDescent="0.35">
      <c r="A763" s="276"/>
      <c r="B763" s="276"/>
      <c r="D763" s="276"/>
      <c r="G763" s="276"/>
    </row>
    <row r="764" spans="1:7" x14ac:dyDescent="0.35">
      <c r="A764" s="276"/>
      <c r="B764" s="276"/>
      <c r="D764" s="276"/>
      <c r="G764" s="276"/>
    </row>
    <row r="765" spans="1:7" x14ac:dyDescent="0.35">
      <c r="A765" s="276"/>
      <c r="B765" s="276"/>
      <c r="D765" s="276"/>
      <c r="G765" s="276"/>
    </row>
    <row r="766" spans="1:7" x14ac:dyDescent="0.35">
      <c r="A766" s="276"/>
      <c r="B766" s="276"/>
      <c r="D766" s="276"/>
      <c r="G766" s="276"/>
    </row>
    <row r="767" spans="1:7" x14ac:dyDescent="0.35">
      <c r="A767" s="276"/>
      <c r="B767" s="276"/>
      <c r="D767" s="276"/>
      <c r="G767" s="276"/>
    </row>
    <row r="768" spans="1:7" x14ac:dyDescent="0.35">
      <c r="A768" s="276"/>
      <c r="B768" s="276"/>
      <c r="D768" s="276"/>
      <c r="G768" s="276"/>
    </row>
    <row r="769" spans="1:7" x14ac:dyDescent="0.35">
      <c r="A769" s="276"/>
      <c r="B769" s="276"/>
      <c r="D769" s="276"/>
      <c r="G769" s="276"/>
    </row>
    <row r="770" spans="1:7" x14ac:dyDescent="0.35">
      <c r="A770" s="276"/>
      <c r="B770" s="276"/>
      <c r="D770" s="276"/>
      <c r="G770" s="276"/>
    </row>
    <row r="771" spans="1:7" x14ac:dyDescent="0.35">
      <c r="A771" s="276"/>
      <c r="B771" s="276"/>
      <c r="D771" s="276"/>
      <c r="G771" s="276"/>
    </row>
    <row r="772" spans="1:7" x14ac:dyDescent="0.35">
      <c r="A772" s="276"/>
      <c r="B772" s="276"/>
      <c r="D772" s="276"/>
      <c r="G772" s="276"/>
    </row>
    <row r="773" spans="1:7" x14ac:dyDescent="0.35">
      <c r="A773" s="276"/>
      <c r="B773" s="276"/>
      <c r="D773" s="276"/>
      <c r="G773" s="276"/>
    </row>
    <row r="774" spans="1:7" x14ac:dyDescent="0.35">
      <c r="A774" s="276"/>
      <c r="B774" s="276"/>
      <c r="D774" s="276"/>
      <c r="G774" s="276"/>
    </row>
    <row r="775" spans="1:7" x14ac:dyDescent="0.35">
      <c r="A775" s="276"/>
      <c r="B775" s="276"/>
      <c r="D775" s="276"/>
      <c r="G775" s="276"/>
    </row>
    <row r="776" spans="1:7" x14ac:dyDescent="0.35">
      <c r="A776" s="276"/>
      <c r="B776" s="276"/>
      <c r="D776" s="276"/>
      <c r="G776" s="276"/>
    </row>
    <row r="777" spans="1:7" x14ac:dyDescent="0.35">
      <c r="A777" s="276"/>
      <c r="B777" s="276"/>
      <c r="D777" s="276"/>
      <c r="G777" s="276"/>
    </row>
    <row r="778" spans="1:7" x14ac:dyDescent="0.35">
      <c r="A778" s="276"/>
      <c r="B778" s="276"/>
      <c r="D778" s="276"/>
      <c r="G778" s="276"/>
    </row>
    <row r="779" spans="1:7" x14ac:dyDescent="0.35">
      <c r="A779" s="276"/>
      <c r="B779" s="276"/>
      <c r="D779" s="276"/>
      <c r="G779" s="276"/>
    </row>
    <row r="780" spans="1:7" x14ac:dyDescent="0.35">
      <c r="A780" s="276"/>
      <c r="B780" s="276"/>
      <c r="D780" s="276"/>
      <c r="G780" s="276"/>
    </row>
    <row r="781" spans="1:7" x14ac:dyDescent="0.35">
      <c r="A781" s="276"/>
      <c r="B781" s="276"/>
      <c r="D781" s="276"/>
      <c r="G781" s="276"/>
    </row>
    <row r="782" spans="1:7" x14ac:dyDescent="0.35">
      <c r="A782" s="276"/>
      <c r="B782" s="276"/>
      <c r="D782" s="276"/>
      <c r="G782" s="276"/>
    </row>
    <row r="783" spans="1:7" x14ac:dyDescent="0.35">
      <c r="A783" s="276"/>
      <c r="B783" s="276"/>
      <c r="D783" s="276"/>
      <c r="G783" s="276"/>
    </row>
    <row r="784" spans="1:7" x14ac:dyDescent="0.35">
      <c r="A784" s="276"/>
      <c r="B784" s="276"/>
      <c r="D784" s="276"/>
      <c r="G784" s="276"/>
    </row>
    <row r="785" spans="1:7" x14ac:dyDescent="0.35">
      <c r="A785" s="276"/>
      <c r="B785" s="276"/>
      <c r="D785" s="276"/>
      <c r="G785" s="276"/>
    </row>
    <row r="786" spans="1:7" x14ac:dyDescent="0.35">
      <c r="A786" s="276"/>
      <c r="B786" s="276"/>
      <c r="D786" s="276"/>
      <c r="G786" s="276"/>
    </row>
    <row r="787" spans="1:7" x14ac:dyDescent="0.35">
      <c r="A787" s="276"/>
      <c r="B787" s="276"/>
      <c r="D787" s="276"/>
      <c r="G787" s="276"/>
    </row>
    <row r="788" spans="1:7" x14ac:dyDescent="0.35">
      <c r="A788" s="276"/>
      <c r="B788" s="276"/>
      <c r="D788" s="276"/>
      <c r="G788" s="276"/>
    </row>
    <row r="789" spans="1:7" x14ac:dyDescent="0.35">
      <c r="A789" s="276"/>
      <c r="B789" s="276"/>
      <c r="D789" s="276"/>
      <c r="G789" s="276"/>
    </row>
    <row r="790" spans="1:7" x14ac:dyDescent="0.35">
      <c r="A790" s="276"/>
      <c r="B790" s="276"/>
      <c r="D790" s="276"/>
      <c r="G790" s="276"/>
    </row>
    <row r="791" spans="1:7" x14ac:dyDescent="0.35">
      <c r="A791" s="276"/>
      <c r="B791" s="276"/>
      <c r="D791" s="276"/>
      <c r="G791" s="276"/>
    </row>
    <row r="792" spans="1:7" x14ac:dyDescent="0.35">
      <c r="A792" s="276"/>
      <c r="B792" s="276"/>
      <c r="D792" s="276"/>
      <c r="G792" s="276"/>
    </row>
    <row r="793" spans="1:7" x14ac:dyDescent="0.35">
      <c r="A793" s="276"/>
      <c r="B793" s="276"/>
      <c r="D793" s="276"/>
      <c r="G793" s="276"/>
    </row>
    <row r="794" spans="1:7" x14ac:dyDescent="0.35">
      <c r="A794" s="276"/>
      <c r="B794" s="276"/>
      <c r="D794" s="276"/>
      <c r="G794" s="276"/>
    </row>
    <row r="795" spans="1:7" x14ac:dyDescent="0.35">
      <c r="A795" s="276"/>
      <c r="B795" s="276"/>
      <c r="D795" s="276"/>
      <c r="G795" s="276"/>
    </row>
    <row r="796" spans="1:7" x14ac:dyDescent="0.35">
      <c r="A796" s="276"/>
      <c r="B796" s="276"/>
      <c r="D796" s="276"/>
      <c r="G796" s="276"/>
    </row>
    <row r="797" spans="1:7" x14ac:dyDescent="0.35">
      <c r="A797" s="276"/>
      <c r="B797" s="276"/>
      <c r="D797" s="276"/>
      <c r="G797" s="276"/>
    </row>
    <row r="798" spans="1:7" x14ac:dyDescent="0.35">
      <c r="A798" s="276"/>
      <c r="B798" s="276"/>
      <c r="D798" s="276"/>
      <c r="G798" s="276"/>
    </row>
    <row r="799" spans="1:7" x14ac:dyDescent="0.35">
      <c r="A799" s="276"/>
      <c r="B799" s="276"/>
      <c r="D799" s="276"/>
      <c r="G799" s="276"/>
    </row>
    <row r="800" spans="1:7" x14ac:dyDescent="0.35">
      <c r="A800" s="276"/>
      <c r="B800" s="276"/>
      <c r="D800" s="276"/>
      <c r="G800" s="276"/>
    </row>
    <row r="801" spans="1:7" x14ac:dyDescent="0.35">
      <c r="A801" s="276"/>
      <c r="B801" s="276"/>
      <c r="D801" s="276"/>
      <c r="G801" s="276"/>
    </row>
    <row r="802" spans="1:7" x14ac:dyDescent="0.35">
      <c r="A802" s="276"/>
      <c r="B802" s="276"/>
      <c r="D802" s="276"/>
      <c r="G802" s="276"/>
    </row>
    <row r="803" spans="1:7" x14ac:dyDescent="0.35">
      <c r="A803" s="276"/>
      <c r="B803" s="276"/>
      <c r="D803" s="276"/>
      <c r="G803" s="276"/>
    </row>
    <row r="804" spans="1:7" x14ac:dyDescent="0.35">
      <c r="A804" s="276"/>
      <c r="B804" s="276"/>
      <c r="D804" s="276"/>
      <c r="G804" s="276"/>
    </row>
    <row r="805" spans="1:7" x14ac:dyDescent="0.35">
      <c r="A805" s="276"/>
      <c r="B805" s="276"/>
      <c r="D805" s="276"/>
      <c r="G805" s="276"/>
    </row>
    <row r="806" spans="1:7" x14ac:dyDescent="0.35">
      <c r="A806" s="276"/>
      <c r="B806" s="276"/>
      <c r="D806" s="276"/>
      <c r="G806" s="276"/>
    </row>
    <row r="807" spans="1:7" x14ac:dyDescent="0.35">
      <c r="A807" s="276"/>
      <c r="B807" s="276"/>
      <c r="D807" s="276"/>
      <c r="G807" s="276"/>
    </row>
    <row r="808" spans="1:7" x14ac:dyDescent="0.35">
      <c r="A808" s="276"/>
      <c r="B808" s="276"/>
      <c r="D808" s="276"/>
      <c r="G808" s="276"/>
    </row>
    <row r="809" spans="1:7" x14ac:dyDescent="0.35">
      <c r="A809" s="276"/>
      <c r="B809" s="276"/>
      <c r="D809" s="276"/>
      <c r="G809" s="276"/>
    </row>
    <row r="810" spans="1:7" x14ac:dyDescent="0.35">
      <c r="A810" s="276"/>
      <c r="B810" s="276"/>
      <c r="D810" s="276"/>
      <c r="G810" s="276"/>
    </row>
    <row r="811" spans="1:7" x14ac:dyDescent="0.35">
      <c r="A811" s="276"/>
      <c r="B811" s="276"/>
      <c r="D811" s="276"/>
      <c r="G811" s="276"/>
    </row>
    <row r="812" spans="1:7" x14ac:dyDescent="0.35">
      <c r="A812" s="276"/>
      <c r="B812" s="276"/>
      <c r="D812" s="276"/>
      <c r="G812" s="276"/>
    </row>
    <row r="813" spans="1:7" x14ac:dyDescent="0.35">
      <c r="A813" s="276"/>
      <c r="B813" s="276"/>
      <c r="D813" s="276"/>
      <c r="G813" s="276"/>
    </row>
    <row r="814" spans="1:7" x14ac:dyDescent="0.35">
      <c r="A814" s="276"/>
      <c r="B814" s="276"/>
      <c r="D814" s="276"/>
      <c r="G814" s="276"/>
    </row>
    <row r="815" spans="1:7" x14ac:dyDescent="0.35">
      <c r="A815" s="276"/>
      <c r="B815" s="276"/>
      <c r="D815" s="276"/>
      <c r="G815" s="276"/>
    </row>
    <row r="816" spans="1:7" x14ac:dyDescent="0.35">
      <c r="A816" s="276"/>
      <c r="B816" s="276"/>
      <c r="D816" s="276"/>
      <c r="G816" s="276"/>
    </row>
    <row r="817" spans="1:7" x14ac:dyDescent="0.35">
      <c r="A817" s="276"/>
      <c r="B817" s="276"/>
      <c r="D817" s="276"/>
      <c r="G817" s="276"/>
    </row>
    <row r="818" spans="1:7" x14ac:dyDescent="0.35">
      <c r="A818" s="276"/>
      <c r="B818" s="276"/>
      <c r="D818" s="276"/>
      <c r="G818" s="276"/>
    </row>
    <row r="819" spans="1:7" x14ac:dyDescent="0.35">
      <c r="A819" s="276"/>
      <c r="B819" s="276"/>
      <c r="D819" s="276"/>
      <c r="G819" s="276"/>
    </row>
    <row r="820" spans="1:7" x14ac:dyDescent="0.35">
      <c r="A820" s="276"/>
      <c r="B820" s="276"/>
      <c r="D820" s="276"/>
      <c r="G820" s="276"/>
    </row>
    <row r="821" spans="1:7" x14ac:dyDescent="0.35">
      <c r="A821" s="276"/>
      <c r="B821" s="276"/>
      <c r="D821" s="276"/>
      <c r="G821" s="276"/>
    </row>
    <row r="822" spans="1:7" x14ac:dyDescent="0.35">
      <c r="A822" s="276"/>
      <c r="B822" s="276"/>
      <c r="D822" s="276"/>
      <c r="G822" s="276"/>
    </row>
    <row r="823" spans="1:7" x14ac:dyDescent="0.35">
      <c r="A823" s="276"/>
      <c r="B823" s="276"/>
      <c r="D823" s="276"/>
      <c r="G823" s="276"/>
    </row>
    <row r="824" spans="1:7" x14ac:dyDescent="0.35">
      <c r="A824" s="276"/>
      <c r="B824" s="276"/>
      <c r="D824" s="276"/>
      <c r="G824" s="276"/>
    </row>
    <row r="825" spans="1:7" x14ac:dyDescent="0.35">
      <c r="A825" s="276"/>
      <c r="B825" s="276"/>
      <c r="D825" s="276"/>
      <c r="G825" s="276"/>
    </row>
    <row r="826" spans="1:7" x14ac:dyDescent="0.35">
      <c r="A826" s="276"/>
      <c r="B826" s="276"/>
      <c r="D826" s="276"/>
      <c r="G826" s="276"/>
    </row>
    <row r="827" spans="1:7" x14ac:dyDescent="0.35">
      <c r="A827" s="276"/>
      <c r="B827" s="276"/>
      <c r="D827" s="276"/>
      <c r="G827" s="276"/>
    </row>
    <row r="828" spans="1:7" x14ac:dyDescent="0.35">
      <c r="A828" s="276"/>
      <c r="B828" s="276"/>
      <c r="D828" s="276"/>
      <c r="G828" s="276"/>
    </row>
    <row r="829" spans="1:7" x14ac:dyDescent="0.35">
      <c r="A829" s="276"/>
      <c r="B829" s="276"/>
      <c r="D829" s="276"/>
      <c r="G829" s="276"/>
    </row>
    <row r="830" spans="1:7" x14ac:dyDescent="0.35">
      <c r="A830" s="276"/>
      <c r="B830" s="276"/>
      <c r="D830" s="276"/>
      <c r="G830" s="276"/>
    </row>
    <row r="831" spans="1:7" x14ac:dyDescent="0.35">
      <c r="A831" s="276"/>
      <c r="B831" s="276"/>
      <c r="D831" s="276"/>
      <c r="G831" s="276"/>
    </row>
    <row r="832" spans="1:7" x14ac:dyDescent="0.35">
      <c r="A832" s="276"/>
      <c r="B832" s="276"/>
      <c r="D832" s="276"/>
      <c r="G832" s="276"/>
    </row>
    <row r="833" spans="1:7" x14ac:dyDescent="0.35">
      <c r="A833" s="276"/>
      <c r="B833" s="276"/>
      <c r="D833" s="276"/>
      <c r="G833" s="276"/>
    </row>
    <row r="834" spans="1:7" x14ac:dyDescent="0.35">
      <c r="A834" s="276"/>
      <c r="B834" s="276"/>
      <c r="D834" s="276"/>
      <c r="G834" s="276"/>
    </row>
    <row r="835" spans="1:7" x14ac:dyDescent="0.35">
      <c r="A835" s="276"/>
      <c r="B835" s="276"/>
      <c r="D835" s="276"/>
      <c r="G835" s="276"/>
    </row>
    <row r="836" spans="1:7" x14ac:dyDescent="0.35">
      <c r="A836" s="276"/>
      <c r="B836" s="276"/>
      <c r="D836" s="276"/>
      <c r="G836" s="276"/>
    </row>
    <row r="837" spans="1:7" x14ac:dyDescent="0.35">
      <c r="A837" s="276"/>
      <c r="B837" s="276"/>
      <c r="D837" s="276"/>
      <c r="G837" s="276"/>
    </row>
    <row r="838" spans="1:7" x14ac:dyDescent="0.35">
      <c r="A838" s="276"/>
      <c r="B838" s="276"/>
      <c r="D838" s="276"/>
      <c r="G838" s="276"/>
    </row>
    <row r="839" spans="1:7" x14ac:dyDescent="0.35">
      <c r="A839" s="276"/>
      <c r="B839" s="276"/>
      <c r="D839" s="276"/>
      <c r="G839" s="276"/>
    </row>
    <row r="840" spans="1:7" x14ac:dyDescent="0.35">
      <c r="A840" s="276"/>
      <c r="B840" s="276"/>
      <c r="D840" s="276"/>
      <c r="G840" s="276"/>
    </row>
    <row r="841" spans="1:7" x14ac:dyDescent="0.35">
      <c r="A841" s="276"/>
      <c r="B841" s="276"/>
      <c r="D841" s="276"/>
      <c r="G841" s="276"/>
    </row>
    <row r="842" spans="1:7" x14ac:dyDescent="0.35">
      <c r="A842" s="276"/>
      <c r="B842" s="276"/>
      <c r="D842" s="276"/>
      <c r="G842" s="276"/>
    </row>
    <row r="843" spans="1:7" x14ac:dyDescent="0.35">
      <c r="A843" s="276"/>
      <c r="B843" s="276"/>
      <c r="D843" s="276"/>
      <c r="G843" s="276"/>
    </row>
    <row r="844" spans="1:7" x14ac:dyDescent="0.35">
      <c r="A844" s="276"/>
      <c r="B844" s="276"/>
      <c r="D844" s="276"/>
      <c r="G844" s="276"/>
    </row>
    <row r="845" spans="1:7" x14ac:dyDescent="0.35">
      <c r="A845" s="276"/>
      <c r="B845" s="276"/>
      <c r="D845" s="276"/>
      <c r="G845" s="276"/>
    </row>
    <row r="846" spans="1:7" x14ac:dyDescent="0.35">
      <c r="A846" s="276"/>
      <c r="B846" s="276"/>
      <c r="D846" s="276"/>
      <c r="G846" s="276"/>
    </row>
    <row r="847" spans="1:7" x14ac:dyDescent="0.35">
      <c r="A847" s="276"/>
      <c r="B847" s="276"/>
      <c r="D847" s="276"/>
      <c r="G847" s="276"/>
    </row>
    <row r="848" spans="1:7" x14ac:dyDescent="0.35">
      <c r="A848" s="276"/>
      <c r="B848" s="276"/>
      <c r="D848" s="276"/>
      <c r="G848" s="276"/>
    </row>
    <row r="849" spans="1:7" x14ac:dyDescent="0.35">
      <c r="A849" s="276"/>
      <c r="B849" s="276"/>
      <c r="D849" s="276"/>
      <c r="G849" s="276"/>
    </row>
    <row r="850" spans="1:7" x14ac:dyDescent="0.35">
      <c r="A850" s="276"/>
      <c r="B850" s="276"/>
      <c r="D850" s="276"/>
      <c r="G850" s="276"/>
    </row>
    <row r="851" spans="1:7" x14ac:dyDescent="0.35">
      <c r="A851" s="276"/>
      <c r="B851" s="276"/>
      <c r="D851" s="276"/>
      <c r="G851" s="276"/>
    </row>
    <row r="852" spans="1:7" x14ac:dyDescent="0.35">
      <c r="A852" s="276"/>
      <c r="B852" s="276"/>
      <c r="D852" s="276"/>
      <c r="G852" s="276"/>
    </row>
    <row r="853" spans="1:7" x14ac:dyDescent="0.35">
      <c r="A853" s="276"/>
      <c r="B853" s="276"/>
      <c r="D853" s="276"/>
      <c r="G853" s="276"/>
    </row>
    <row r="854" spans="1:7" x14ac:dyDescent="0.35">
      <c r="A854" s="276"/>
      <c r="B854" s="276"/>
      <c r="D854" s="276"/>
      <c r="G854" s="276"/>
    </row>
    <row r="855" spans="1:7" x14ac:dyDescent="0.35">
      <c r="A855" s="276"/>
      <c r="B855" s="276"/>
      <c r="D855" s="276"/>
      <c r="G855" s="276"/>
    </row>
    <row r="856" spans="1:7" x14ac:dyDescent="0.35">
      <c r="A856" s="276"/>
      <c r="B856" s="276"/>
      <c r="D856" s="276"/>
      <c r="G856" s="276"/>
    </row>
    <row r="857" spans="1:7" x14ac:dyDescent="0.35">
      <c r="A857" s="276"/>
      <c r="B857" s="276"/>
      <c r="D857" s="276"/>
      <c r="G857" s="276"/>
    </row>
    <row r="858" spans="1:7" x14ac:dyDescent="0.35">
      <c r="A858" s="276"/>
      <c r="B858" s="276"/>
      <c r="D858" s="276"/>
      <c r="G858" s="276"/>
    </row>
    <row r="859" spans="1:7" x14ac:dyDescent="0.35">
      <c r="A859" s="276"/>
      <c r="B859" s="276"/>
      <c r="D859" s="276"/>
      <c r="G859" s="276"/>
    </row>
    <row r="860" spans="1:7" x14ac:dyDescent="0.35">
      <c r="A860" s="276"/>
      <c r="B860" s="276"/>
      <c r="D860" s="276"/>
      <c r="G860" s="276"/>
    </row>
    <row r="861" spans="1:7" x14ac:dyDescent="0.35">
      <c r="A861" s="276"/>
      <c r="B861" s="276"/>
      <c r="D861" s="276"/>
      <c r="G861" s="276"/>
    </row>
    <row r="862" spans="1:7" x14ac:dyDescent="0.35">
      <c r="A862" s="276"/>
      <c r="B862" s="276"/>
      <c r="D862" s="276"/>
      <c r="G862" s="276"/>
    </row>
    <row r="863" spans="1:7" x14ac:dyDescent="0.35">
      <c r="A863" s="276"/>
      <c r="B863" s="276"/>
      <c r="D863" s="276"/>
      <c r="G863" s="276"/>
    </row>
    <row r="864" spans="1:7" x14ac:dyDescent="0.35">
      <c r="A864" s="276"/>
      <c r="B864" s="276"/>
      <c r="D864" s="276"/>
      <c r="G864" s="276"/>
    </row>
    <row r="865" spans="1:7" x14ac:dyDescent="0.35">
      <c r="A865" s="276"/>
      <c r="B865" s="276"/>
      <c r="D865" s="276"/>
      <c r="G865" s="276"/>
    </row>
    <row r="866" spans="1:7" x14ac:dyDescent="0.35">
      <c r="A866" s="276"/>
      <c r="B866" s="276"/>
      <c r="D866" s="276"/>
      <c r="G866" s="276"/>
    </row>
    <row r="867" spans="1:7" x14ac:dyDescent="0.35">
      <c r="A867" s="276"/>
      <c r="B867" s="276"/>
      <c r="D867" s="276"/>
      <c r="G867" s="276"/>
    </row>
    <row r="868" spans="1:7" x14ac:dyDescent="0.35">
      <c r="A868" s="276"/>
      <c r="B868" s="276"/>
      <c r="D868" s="276"/>
      <c r="G868" s="276"/>
    </row>
    <row r="869" spans="1:7" x14ac:dyDescent="0.35">
      <c r="A869" s="276"/>
      <c r="B869" s="276"/>
      <c r="D869" s="276"/>
      <c r="G869" s="276"/>
    </row>
    <row r="870" spans="1:7" x14ac:dyDescent="0.35">
      <c r="A870" s="276"/>
      <c r="B870" s="276"/>
      <c r="D870" s="276"/>
      <c r="G870" s="276"/>
    </row>
    <row r="871" spans="1:7" x14ac:dyDescent="0.35">
      <c r="A871" s="276"/>
      <c r="B871" s="276"/>
      <c r="D871" s="276"/>
      <c r="G871" s="276"/>
    </row>
    <row r="872" spans="1:7" x14ac:dyDescent="0.35">
      <c r="A872" s="276"/>
      <c r="B872" s="276"/>
      <c r="D872" s="276"/>
      <c r="G872" s="276"/>
    </row>
    <row r="873" spans="1:7" x14ac:dyDescent="0.35">
      <c r="A873" s="276"/>
      <c r="B873" s="276"/>
      <c r="D873" s="276"/>
      <c r="G873" s="276"/>
    </row>
    <row r="874" spans="1:7" x14ac:dyDescent="0.35">
      <c r="A874" s="276"/>
      <c r="B874" s="276"/>
      <c r="D874" s="276"/>
      <c r="G874" s="276"/>
    </row>
    <row r="875" spans="1:7" x14ac:dyDescent="0.35">
      <c r="A875" s="276"/>
      <c r="B875" s="276"/>
      <c r="D875" s="276"/>
      <c r="G875" s="276"/>
    </row>
    <row r="876" spans="1:7" x14ac:dyDescent="0.35">
      <c r="A876" s="276"/>
      <c r="B876" s="276"/>
      <c r="D876" s="276"/>
      <c r="G876" s="276"/>
    </row>
    <row r="877" spans="1:7" x14ac:dyDescent="0.35">
      <c r="A877" s="276"/>
      <c r="B877" s="276"/>
      <c r="D877" s="276"/>
      <c r="G877" s="276"/>
    </row>
    <row r="878" spans="1:7" x14ac:dyDescent="0.35">
      <c r="A878" s="276"/>
      <c r="B878" s="276"/>
      <c r="D878" s="276"/>
      <c r="G878" s="276"/>
    </row>
    <row r="879" spans="1:7" x14ac:dyDescent="0.35">
      <c r="A879" s="276"/>
      <c r="B879" s="276"/>
      <c r="D879" s="276"/>
      <c r="G879" s="276"/>
    </row>
    <row r="880" spans="1:7" x14ac:dyDescent="0.35">
      <c r="A880" s="276"/>
      <c r="B880" s="276"/>
      <c r="D880" s="276"/>
      <c r="G880" s="276"/>
    </row>
    <row r="881" spans="1:7" x14ac:dyDescent="0.35">
      <c r="A881" s="276"/>
      <c r="B881" s="276"/>
      <c r="D881" s="276"/>
      <c r="G881" s="276"/>
    </row>
    <row r="882" spans="1:7" x14ac:dyDescent="0.35">
      <c r="A882" s="276"/>
      <c r="B882" s="276"/>
      <c r="D882" s="276"/>
      <c r="G882" s="276"/>
    </row>
    <row r="883" spans="1:7" x14ac:dyDescent="0.35">
      <c r="A883" s="276"/>
      <c r="B883" s="276"/>
      <c r="D883" s="276"/>
      <c r="G883" s="276"/>
    </row>
    <row r="884" spans="1:7" x14ac:dyDescent="0.35">
      <c r="A884" s="276"/>
      <c r="B884" s="276"/>
      <c r="D884" s="276"/>
      <c r="G884" s="276"/>
    </row>
    <row r="885" spans="1:7" x14ac:dyDescent="0.35">
      <c r="A885" s="276"/>
      <c r="B885" s="276"/>
      <c r="D885" s="276"/>
      <c r="G885" s="276"/>
    </row>
    <row r="886" spans="1:7" x14ac:dyDescent="0.35">
      <c r="A886" s="276"/>
      <c r="B886" s="276"/>
      <c r="D886" s="276"/>
      <c r="G886" s="276"/>
    </row>
    <row r="887" spans="1:7" x14ac:dyDescent="0.35">
      <c r="A887" s="276"/>
      <c r="B887" s="276"/>
      <c r="D887" s="276"/>
      <c r="G887" s="276"/>
    </row>
    <row r="888" spans="1:7" x14ac:dyDescent="0.35">
      <c r="A888" s="276"/>
      <c r="B888" s="276"/>
      <c r="D888" s="276"/>
      <c r="G888" s="276"/>
    </row>
    <row r="889" spans="1:7" x14ac:dyDescent="0.35">
      <c r="A889" s="276"/>
      <c r="B889" s="276"/>
      <c r="D889" s="276"/>
      <c r="G889" s="276"/>
    </row>
    <row r="890" spans="1:7" x14ac:dyDescent="0.35">
      <c r="A890" s="276"/>
      <c r="B890" s="276"/>
      <c r="D890" s="276"/>
      <c r="G890" s="276"/>
    </row>
    <row r="891" spans="1:7" x14ac:dyDescent="0.35">
      <c r="A891" s="276"/>
      <c r="B891" s="276"/>
      <c r="D891" s="276"/>
      <c r="G891" s="276"/>
    </row>
    <row r="892" spans="1:7" x14ac:dyDescent="0.35">
      <c r="A892" s="276"/>
      <c r="B892" s="276"/>
      <c r="D892" s="276"/>
      <c r="G892" s="276"/>
    </row>
    <row r="893" spans="1:7" x14ac:dyDescent="0.35">
      <c r="A893" s="276"/>
      <c r="B893" s="276"/>
      <c r="D893" s="276"/>
      <c r="G893" s="276"/>
    </row>
    <row r="894" spans="1:7" x14ac:dyDescent="0.35">
      <c r="A894" s="276"/>
      <c r="B894" s="276"/>
      <c r="D894" s="276"/>
      <c r="G894" s="276"/>
    </row>
    <row r="895" spans="1:7" x14ac:dyDescent="0.35">
      <c r="A895" s="276"/>
      <c r="B895" s="276"/>
      <c r="D895" s="276"/>
      <c r="G895" s="276"/>
    </row>
    <row r="896" spans="1:7" x14ac:dyDescent="0.35">
      <c r="A896" s="276"/>
      <c r="B896" s="276"/>
      <c r="D896" s="276"/>
      <c r="G896" s="276"/>
    </row>
    <row r="897" spans="1:7" x14ac:dyDescent="0.35">
      <c r="A897" s="276"/>
      <c r="B897" s="276"/>
      <c r="D897" s="276"/>
      <c r="G897" s="276"/>
    </row>
    <row r="898" spans="1:7" x14ac:dyDescent="0.35">
      <c r="A898" s="276"/>
      <c r="B898" s="276"/>
      <c r="D898" s="276"/>
      <c r="G898" s="276"/>
    </row>
    <row r="899" spans="1:7" x14ac:dyDescent="0.35">
      <c r="A899" s="276"/>
      <c r="B899" s="276"/>
      <c r="D899" s="276"/>
      <c r="G899" s="276"/>
    </row>
    <row r="900" spans="1:7" x14ac:dyDescent="0.35">
      <c r="A900" s="276"/>
      <c r="B900" s="276"/>
      <c r="D900" s="276"/>
      <c r="G900" s="276"/>
    </row>
    <row r="901" spans="1:7" x14ac:dyDescent="0.35">
      <c r="A901" s="276"/>
      <c r="B901" s="276"/>
      <c r="D901" s="276"/>
      <c r="G901" s="276"/>
    </row>
    <row r="902" spans="1:7" x14ac:dyDescent="0.35">
      <c r="A902" s="276"/>
      <c r="B902" s="276"/>
      <c r="D902" s="276"/>
      <c r="G902" s="276"/>
    </row>
    <row r="903" spans="1:7" x14ac:dyDescent="0.35">
      <c r="A903" s="276"/>
      <c r="B903" s="276"/>
      <c r="D903" s="276"/>
      <c r="G903" s="276"/>
    </row>
    <row r="904" spans="1:7" x14ac:dyDescent="0.35">
      <c r="A904" s="276"/>
      <c r="B904" s="276"/>
      <c r="D904" s="276"/>
      <c r="G904" s="276"/>
    </row>
    <row r="905" spans="1:7" x14ac:dyDescent="0.35">
      <c r="A905" s="276"/>
      <c r="B905" s="276"/>
      <c r="D905" s="276"/>
      <c r="G905" s="276"/>
    </row>
    <row r="906" spans="1:7" x14ac:dyDescent="0.35">
      <c r="A906" s="276"/>
      <c r="B906" s="276"/>
      <c r="D906" s="276"/>
      <c r="G906" s="276"/>
    </row>
    <row r="907" spans="1:7" x14ac:dyDescent="0.35">
      <c r="A907" s="276"/>
      <c r="B907" s="276"/>
      <c r="D907" s="276"/>
      <c r="G907" s="276"/>
    </row>
    <row r="908" spans="1:7" x14ac:dyDescent="0.35">
      <c r="A908" s="276"/>
      <c r="B908" s="276"/>
      <c r="D908" s="276"/>
      <c r="G908" s="276"/>
    </row>
    <row r="909" spans="1:7" x14ac:dyDescent="0.35">
      <c r="A909" s="276"/>
      <c r="B909" s="276"/>
      <c r="D909" s="276"/>
      <c r="G909" s="276"/>
    </row>
    <row r="910" spans="1:7" x14ac:dyDescent="0.35">
      <c r="A910" s="276"/>
      <c r="B910" s="276"/>
      <c r="D910" s="276"/>
      <c r="G910" s="276"/>
    </row>
    <row r="911" spans="1:7" x14ac:dyDescent="0.35">
      <c r="A911" s="276"/>
      <c r="B911" s="276"/>
      <c r="D911" s="276"/>
      <c r="G911" s="276"/>
    </row>
    <row r="912" spans="1:7" x14ac:dyDescent="0.35">
      <c r="A912" s="276"/>
      <c r="B912" s="276"/>
      <c r="D912" s="276"/>
      <c r="G912" s="276"/>
    </row>
    <row r="913" spans="1:7" x14ac:dyDescent="0.35">
      <c r="A913" s="276"/>
      <c r="B913" s="276"/>
      <c r="D913" s="276"/>
      <c r="G913" s="276"/>
    </row>
    <row r="914" spans="1:7" x14ac:dyDescent="0.35">
      <c r="A914" s="276"/>
      <c r="B914" s="276"/>
      <c r="D914" s="276"/>
      <c r="G914" s="276"/>
    </row>
    <row r="915" spans="1:7" x14ac:dyDescent="0.35">
      <c r="A915" s="276"/>
      <c r="B915" s="276"/>
      <c r="D915" s="276"/>
      <c r="G915" s="276"/>
    </row>
    <row r="916" spans="1:7" x14ac:dyDescent="0.35">
      <c r="A916" s="276"/>
      <c r="B916" s="276"/>
      <c r="D916" s="276"/>
      <c r="G916" s="276"/>
    </row>
    <row r="917" spans="1:7" x14ac:dyDescent="0.35">
      <c r="A917" s="276"/>
      <c r="B917" s="276"/>
      <c r="D917" s="276"/>
      <c r="G917" s="276"/>
    </row>
    <row r="918" spans="1:7" x14ac:dyDescent="0.35">
      <c r="A918" s="276"/>
      <c r="B918" s="276"/>
      <c r="D918" s="276"/>
      <c r="G918" s="276"/>
    </row>
    <row r="919" spans="1:7" x14ac:dyDescent="0.35">
      <c r="A919" s="276"/>
      <c r="B919" s="276"/>
      <c r="D919" s="276"/>
      <c r="G919" s="276"/>
    </row>
    <row r="920" spans="1:7" x14ac:dyDescent="0.35">
      <c r="A920" s="276"/>
      <c r="B920" s="276"/>
      <c r="D920" s="276"/>
      <c r="G920" s="276"/>
    </row>
    <row r="921" spans="1:7" x14ac:dyDescent="0.35">
      <c r="A921" s="276"/>
      <c r="B921" s="276"/>
      <c r="D921" s="276"/>
      <c r="G921" s="276"/>
    </row>
    <row r="922" spans="1:7" x14ac:dyDescent="0.35">
      <c r="A922" s="276"/>
      <c r="B922" s="276"/>
      <c r="D922" s="276"/>
      <c r="G922" s="276"/>
    </row>
    <row r="923" spans="1:7" x14ac:dyDescent="0.35">
      <c r="A923" s="276"/>
      <c r="B923" s="276"/>
      <c r="D923" s="276"/>
      <c r="G923" s="276"/>
    </row>
    <row r="924" spans="1:7" x14ac:dyDescent="0.35">
      <c r="A924" s="276"/>
      <c r="B924" s="276"/>
      <c r="D924" s="276"/>
      <c r="G924" s="276"/>
    </row>
    <row r="925" spans="1:7" x14ac:dyDescent="0.35">
      <c r="A925" s="276"/>
      <c r="B925" s="276"/>
      <c r="D925" s="276"/>
      <c r="G925" s="276"/>
    </row>
    <row r="926" spans="1:7" x14ac:dyDescent="0.35">
      <c r="A926" s="276"/>
      <c r="B926" s="276"/>
      <c r="D926" s="276"/>
      <c r="G926" s="276"/>
    </row>
    <row r="927" spans="1:7" x14ac:dyDescent="0.35">
      <c r="A927" s="276"/>
      <c r="B927" s="276"/>
      <c r="D927" s="276"/>
      <c r="G927" s="276"/>
    </row>
    <row r="928" spans="1:7" x14ac:dyDescent="0.35">
      <c r="A928" s="276"/>
      <c r="B928" s="276"/>
      <c r="D928" s="276"/>
      <c r="G928" s="276"/>
    </row>
    <row r="929" spans="1:7" x14ac:dyDescent="0.35">
      <c r="A929" s="276"/>
      <c r="B929" s="276"/>
      <c r="D929" s="276"/>
      <c r="G929" s="276"/>
    </row>
    <row r="930" spans="1:7" x14ac:dyDescent="0.35">
      <c r="A930" s="276"/>
      <c r="B930" s="276"/>
      <c r="D930" s="276"/>
      <c r="G930" s="276"/>
    </row>
    <row r="931" spans="1:7" x14ac:dyDescent="0.35">
      <c r="A931" s="276"/>
      <c r="B931" s="276"/>
      <c r="D931" s="276"/>
      <c r="G931" s="276"/>
    </row>
    <row r="932" spans="1:7" x14ac:dyDescent="0.35">
      <c r="A932" s="276"/>
      <c r="B932" s="276"/>
      <c r="D932" s="276"/>
      <c r="G932" s="276"/>
    </row>
    <row r="933" spans="1:7" x14ac:dyDescent="0.35">
      <c r="A933" s="276"/>
      <c r="B933" s="276"/>
      <c r="D933" s="276"/>
      <c r="G933" s="276"/>
    </row>
    <row r="934" spans="1:7" x14ac:dyDescent="0.35">
      <c r="A934" s="276"/>
      <c r="B934" s="276"/>
      <c r="D934" s="276"/>
      <c r="G934" s="276"/>
    </row>
    <row r="935" spans="1:7" x14ac:dyDescent="0.35">
      <c r="A935" s="276"/>
      <c r="B935" s="276"/>
      <c r="D935" s="276"/>
      <c r="G935" s="276"/>
    </row>
    <row r="936" spans="1:7" x14ac:dyDescent="0.35">
      <c r="A936" s="276"/>
      <c r="B936" s="276"/>
      <c r="D936" s="276"/>
      <c r="G936" s="276"/>
    </row>
    <row r="937" spans="1:7" x14ac:dyDescent="0.35">
      <c r="A937" s="276"/>
      <c r="B937" s="276"/>
      <c r="D937" s="276"/>
      <c r="G937" s="276"/>
    </row>
    <row r="938" spans="1:7" x14ac:dyDescent="0.35">
      <c r="A938" s="276"/>
      <c r="B938" s="276"/>
      <c r="D938" s="276"/>
      <c r="G938" s="276"/>
    </row>
    <row r="939" spans="1:7" x14ac:dyDescent="0.35">
      <c r="A939" s="276"/>
      <c r="B939" s="276"/>
      <c r="D939" s="276"/>
      <c r="G939" s="276"/>
    </row>
    <row r="940" spans="1:7" x14ac:dyDescent="0.35">
      <c r="A940" s="276"/>
      <c r="B940" s="276"/>
      <c r="D940" s="276"/>
      <c r="G940" s="276"/>
    </row>
    <row r="941" spans="1:7" x14ac:dyDescent="0.35">
      <c r="A941" s="276"/>
      <c r="B941" s="276"/>
      <c r="D941" s="276"/>
      <c r="G941" s="276"/>
    </row>
    <row r="942" spans="1:7" x14ac:dyDescent="0.35">
      <c r="A942" s="276"/>
      <c r="B942" s="276"/>
      <c r="D942" s="276"/>
      <c r="G942" s="276"/>
    </row>
    <row r="943" spans="1:7" x14ac:dyDescent="0.35">
      <c r="A943" s="276"/>
      <c r="B943" s="276"/>
      <c r="D943" s="276"/>
      <c r="G943" s="276"/>
    </row>
    <row r="944" spans="1:7" x14ac:dyDescent="0.35">
      <c r="A944" s="276"/>
      <c r="B944" s="276"/>
      <c r="D944" s="276"/>
      <c r="G944" s="276"/>
    </row>
    <row r="945" spans="1:7" x14ac:dyDescent="0.35">
      <c r="A945" s="276"/>
      <c r="B945" s="276"/>
      <c r="D945" s="276"/>
      <c r="G945" s="276"/>
    </row>
    <row r="946" spans="1:7" x14ac:dyDescent="0.35">
      <c r="A946" s="276"/>
      <c r="B946" s="276"/>
      <c r="D946" s="276"/>
      <c r="G946" s="276"/>
    </row>
    <row r="947" spans="1:7" x14ac:dyDescent="0.35">
      <c r="A947" s="276"/>
      <c r="B947" s="276"/>
      <c r="D947" s="276"/>
      <c r="G947" s="276"/>
    </row>
    <row r="948" spans="1:7" x14ac:dyDescent="0.35">
      <c r="A948" s="276"/>
      <c r="B948" s="276"/>
      <c r="D948" s="276"/>
      <c r="G948" s="276"/>
    </row>
    <row r="949" spans="1:7" x14ac:dyDescent="0.35">
      <c r="A949" s="276"/>
      <c r="B949" s="276"/>
      <c r="D949" s="276"/>
      <c r="G949" s="276"/>
    </row>
    <row r="950" spans="1:7" x14ac:dyDescent="0.35">
      <c r="A950" s="276"/>
      <c r="B950" s="276"/>
      <c r="D950" s="276"/>
      <c r="G950" s="276"/>
    </row>
    <row r="951" spans="1:7" x14ac:dyDescent="0.35">
      <c r="A951" s="276"/>
      <c r="B951" s="276"/>
      <c r="D951" s="276"/>
      <c r="G951" s="276"/>
    </row>
    <row r="952" spans="1:7" x14ac:dyDescent="0.35">
      <c r="A952" s="276"/>
      <c r="B952" s="276"/>
      <c r="D952" s="276"/>
      <c r="G952" s="276"/>
    </row>
    <row r="953" spans="1:7" x14ac:dyDescent="0.35">
      <c r="A953" s="276"/>
      <c r="B953" s="276"/>
      <c r="D953" s="276"/>
      <c r="G953" s="276"/>
    </row>
    <row r="954" spans="1:7" x14ac:dyDescent="0.35">
      <c r="A954" s="276"/>
      <c r="B954" s="276"/>
      <c r="D954" s="276"/>
      <c r="G954" s="276"/>
    </row>
    <row r="955" spans="1:7" x14ac:dyDescent="0.35">
      <c r="A955" s="276"/>
      <c r="B955" s="276"/>
      <c r="D955" s="276"/>
      <c r="G955" s="276"/>
    </row>
    <row r="956" spans="1:7" x14ac:dyDescent="0.35">
      <c r="A956" s="276"/>
      <c r="B956" s="276"/>
      <c r="D956" s="276"/>
      <c r="G956" s="276"/>
    </row>
    <row r="957" spans="1:7" x14ac:dyDescent="0.35">
      <c r="A957" s="276"/>
      <c r="B957" s="276"/>
      <c r="D957" s="276"/>
      <c r="G957" s="276"/>
    </row>
    <row r="958" spans="1:7" x14ac:dyDescent="0.35">
      <c r="A958" s="276"/>
      <c r="B958" s="276"/>
      <c r="D958" s="276"/>
      <c r="G958" s="276"/>
    </row>
    <row r="959" spans="1:7" x14ac:dyDescent="0.35">
      <c r="A959" s="276"/>
      <c r="B959" s="276"/>
      <c r="D959" s="276"/>
      <c r="G959" s="276"/>
    </row>
    <row r="960" spans="1:7" x14ac:dyDescent="0.35">
      <c r="A960" s="276"/>
      <c r="B960" s="276"/>
      <c r="D960" s="276"/>
      <c r="G960" s="276"/>
    </row>
    <row r="961" spans="1:7" x14ac:dyDescent="0.35">
      <c r="A961" s="276"/>
      <c r="B961" s="276"/>
      <c r="D961" s="276"/>
      <c r="G961" s="276"/>
    </row>
    <row r="962" spans="1:7" x14ac:dyDescent="0.35">
      <c r="A962" s="276"/>
      <c r="B962" s="276"/>
      <c r="D962" s="276"/>
      <c r="G962" s="276"/>
    </row>
    <row r="963" spans="1:7" x14ac:dyDescent="0.35">
      <c r="A963" s="276"/>
      <c r="B963" s="276"/>
      <c r="D963" s="276"/>
      <c r="G963" s="276"/>
    </row>
    <row r="964" spans="1:7" x14ac:dyDescent="0.35">
      <c r="A964" s="276"/>
      <c r="B964" s="276"/>
      <c r="D964" s="276"/>
      <c r="G964" s="276"/>
    </row>
    <row r="965" spans="1:7" x14ac:dyDescent="0.35">
      <c r="A965" s="276"/>
      <c r="B965" s="276"/>
      <c r="D965" s="276"/>
      <c r="G965" s="276"/>
    </row>
    <row r="966" spans="1:7" x14ac:dyDescent="0.35">
      <c r="A966" s="276"/>
      <c r="B966" s="276"/>
      <c r="D966" s="276"/>
      <c r="G966" s="276"/>
    </row>
    <row r="967" spans="1:7" x14ac:dyDescent="0.35">
      <c r="A967" s="276"/>
      <c r="B967" s="276"/>
      <c r="D967" s="276"/>
      <c r="G967" s="276"/>
    </row>
    <row r="968" spans="1:7" x14ac:dyDescent="0.35">
      <c r="A968" s="276"/>
      <c r="B968" s="276"/>
      <c r="D968" s="276"/>
      <c r="G968" s="276"/>
    </row>
    <row r="969" spans="1:7" x14ac:dyDescent="0.35">
      <c r="A969" s="276"/>
      <c r="B969" s="276"/>
      <c r="D969" s="276"/>
      <c r="G969" s="276"/>
    </row>
    <row r="970" spans="1:7" x14ac:dyDescent="0.35">
      <c r="A970" s="276"/>
      <c r="B970" s="276"/>
      <c r="D970" s="276"/>
      <c r="G970" s="276"/>
    </row>
    <row r="971" spans="1:7" x14ac:dyDescent="0.35">
      <c r="A971" s="276"/>
      <c r="B971" s="276"/>
      <c r="D971" s="276"/>
      <c r="G971" s="276"/>
    </row>
    <row r="972" spans="1:7" x14ac:dyDescent="0.35">
      <c r="A972" s="276"/>
      <c r="B972" s="276"/>
      <c r="D972" s="276"/>
      <c r="G972" s="276"/>
    </row>
    <row r="973" spans="1:7" x14ac:dyDescent="0.35">
      <c r="A973" s="276"/>
      <c r="B973" s="276"/>
      <c r="D973" s="276"/>
      <c r="G973" s="276"/>
    </row>
    <row r="974" spans="1:7" x14ac:dyDescent="0.35">
      <c r="A974" s="276"/>
      <c r="B974" s="276"/>
      <c r="D974" s="276"/>
      <c r="G974" s="276"/>
    </row>
    <row r="975" spans="1:7" x14ac:dyDescent="0.35">
      <c r="A975" s="276"/>
      <c r="B975" s="276"/>
      <c r="D975" s="276"/>
      <c r="G975" s="276"/>
    </row>
    <row r="976" spans="1:7" x14ac:dyDescent="0.35">
      <c r="A976" s="276"/>
      <c r="B976" s="276"/>
      <c r="D976" s="276"/>
      <c r="G976" s="276"/>
    </row>
    <row r="977" spans="1:7" x14ac:dyDescent="0.35">
      <c r="A977" s="276"/>
      <c r="B977" s="276"/>
      <c r="D977" s="276"/>
      <c r="G977" s="276"/>
    </row>
    <row r="978" spans="1:7" x14ac:dyDescent="0.35">
      <c r="A978" s="276"/>
      <c r="B978" s="276"/>
      <c r="D978" s="276"/>
      <c r="G978" s="276"/>
    </row>
    <row r="979" spans="1:7" x14ac:dyDescent="0.35">
      <c r="A979" s="276"/>
      <c r="B979" s="276"/>
      <c r="D979" s="276"/>
      <c r="G979" s="276"/>
    </row>
    <row r="980" spans="1:7" x14ac:dyDescent="0.35">
      <c r="A980" s="276"/>
      <c r="B980" s="276"/>
      <c r="D980" s="276"/>
      <c r="G980" s="276"/>
    </row>
    <row r="981" spans="1:7" x14ac:dyDescent="0.35">
      <c r="A981" s="276"/>
      <c r="B981" s="276"/>
      <c r="D981" s="276"/>
      <c r="G981" s="276"/>
    </row>
    <row r="982" spans="1:7" x14ac:dyDescent="0.35">
      <c r="A982" s="276"/>
      <c r="B982" s="276"/>
      <c r="D982" s="276"/>
      <c r="G982" s="276"/>
    </row>
    <row r="983" spans="1:7" x14ac:dyDescent="0.35">
      <c r="A983" s="276"/>
      <c r="B983" s="276"/>
      <c r="D983" s="276"/>
      <c r="G983" s="276"/>
    </row>
    <row r="984" spans="1:7" x14ac:dyDescent="0.35">
      <c r="A984" s="276"/>
      <c r="B984" s="276"/>
      <c r="D984" s="276"/>
      <c r="G984" s="276"/>
    </row>
    <row r="985" spans="1:7" x14ac:dyDescent="0.35">
      <c r="A985" s="276"/>
      <c r="B985" s="276"/>
      <c r="D985" s="276"/>
      <c r="G985" s="276"/>
    </row>
    <row r="986" spans="1:7" x14ac:dyDescent="0.35">
      <c r="A986" s="276"/>
      <c r="B986" s="276"/>
      <c r="D986" s="276"/>
      <c r="G986" s="276"/>
    </row>
    <row r="987" spans="1:7" x14ac:dyDescent="0.35">
      <c r="A987" s="276"/>
      <c r="B987" s="276"/>
      <c r="D987" s="276"/>
      <c r="G987" s="276"/>
    </row>
    <row r="988" spans="1:7" x14ac:dyDescent="0.35">
      <c r="A988" s="276"/>
      <c r="B988" s="276"/>
      <c r="D988" s="276"/>
      <c r="G988" s="276"/>
    </row>
    <row r="989" spans="1:7" x14ac:dyDescent="0.35">
      <c r="A989" s="276"/>
      <c r="B989" s="276"/>
      <c r="D989" s="276"/>
      <c r="G989" s="276"/>
    </row>
    <row r="990" spans="1:7" x14ac:dyDescent="0.35">
      <c r="A990" s="276"/>
      <c r="B990" s="276"/>
      <c r="D990" s="276"/>
      <c r="G990" s="276"/>
    </row>
    <row r="991" spans="1:7" x14ac:dyDescent="0.35">
      <c r="A991" s="276"/>
      <c r="B991" s="276"/>
      <c r="D991" s="276"/>
      <c r="G991" s="276"/>
    </row>
    <row r="992" spans="1:7" x14ac:dyDescent="0.35">
      <c r="A992" s="276"/>
      <c r="B992" s="276"/>
      <c r="D992" s="276"/>
      <c r="G992" s="276"/>
    </row>
    <row r="993" spans="1:7" x14ac:dyDescent="0.35">
      <c r="A993" s="276"/>
      <c r="B993" s="276"/>
      <c r="D993" s="276"/>
      <c r="G993" s="276"/>
    </row>
    <row r="994" spans="1:7" x14ac:dyDescent="0.35">
      <c r="A994" s="276"/>
      <c r="B994" s="276"/>
      <c r="D994" s="276"/>
      <c r="G994" s="276"/>
    </row>
    <row r="995" spans="1:7" x14ac:dyDescent="0.35">
      <c r="A995" s="276"/>
      <c r="B995" s="276"/>
      <c r="D995" s="276"/>
      <c r="G995" s="276"/>
    </row>
    <row r="996" spans="1:7" x14ac:dyDescent="0.35">
      <c r="A996" s="276"/>
      <c r="B996" s="276"/>
      <c r="D996" s="276"/>
      <c r="G996" s="276"/>
    </row>
    <row r="997" spans="1:7" x14ac:dyDescent="0.35">
      <c r="A997" s="276"/>
      <c r="B997" s="276"/>
      <c r="D997" s="276"/>
      <c r="G997" s="276"/>
    </row>
    <row r="998" spans="1:7" x14ac:dyDescent="0.35">
      <c r="A998" s="276"/>
      <c r="B998" s="276"/>
      <c r="D998" s="276"/>
      <c r="G998" s="276"/>
    </row>
    <row r="999" spans="1:7" x14ac:dyDescent="0.35">
      <c r="A999" s="276"/>
      <c r="B999" s="276"/>
      <c r="D999" s="276"/>
      <c r="G999" s="276"/>
    </row>
    <row r="1000" spans="1:7" x14ac:dyDescent="0.35">
      <c r="A1000" s="276"/>
      <c r="B1000" s="276"/>
      <c r="D1000" s="276"/>
      <c r="G1000" s="276"/>
    </row>
    <row r="1001" spans="1:7" x14ac:dyDescent="0.35">
      <c r="A1001" s="276"/>
      <c r="B1001" s="276"/>
      <c r="D1001" s="276"/>
      <c r="G1001" s="276"/>
    </row>
    <row r="1002" spans="1:7" x14ac:dyDescent="0.35">
      <c r="A1002" s="276"/>
      <c r="B1002" s="276"/>
      <c r="D1002" s="276"/>
      <c r="G1002" s="276"/>
    </row>
    <row r="1003" spans="1:7" x14ac:dyDescent="0.35">
      <c r="A1003" s="276"/>
      <c r="B1003" s="276"/>
      <c r="D1003" s="276"/>
      <c r="G1003" s="276"/>
    </row>
    <row r="1004" spans="1:7" x14ac:dyDescent="0.35">
      <c r="A1004" s="276"/>
      <c r="B1004" s="276"/>
      <c r="D1004" s="276"/>
      <c r="G1004" s="276"/>
    </row>
    <row r="1005" spans="1:7" x14ac:dyDescent="0.35">
      <c r="A1005" s="276"/>
      <c r="B1005" s="276"/>
      <c r="D1005" s="276"/>
      <c r="G1005" s="276"/>
    </row>
    <row r="1006" spans="1:7" x14ac:dyDescent="0.35">
      <c r="A1006" s="276"/>
      <c r="B1006" s="276"/>
      <c r="D1006" s="276"/>
      <c r="G1006" s="276"/>
    </row>
    <row r="1007" spans="1:7" x14ac:dyDescent="0.35">
      <c r="A1007" s="276"/>
      <c r="B1007" s="276"/>
      <c r="D1007" s="276"/>
      <c r="G1007" s="276"/>
    </row>
    <row r="1008" spans="1:7" x14ac:dyDescent="0.35">
      <c r="A1008" s="276"/>
      <c r="B1008" s="276"/>
      <c r="D1008" s="276"/>
      <c r="G1008" s="276"/>
    </row>
    <row r="1009" spans="1:7" x14ac:dyDescent="0.35">
      <c r="A1009" s="276"/>
      <c r="B1009" s="276"/>
      <c r="D1009" s="276"/>
      <c r="G1009" s="276"/>
    </row>
    <row r="1010" spans="1:7" x14ac:dyDescent="0.35">
      <c r="A1010" s="276"/>
      <c r="B1010" s="276"/>
      <c r="D1010" s="276"/>
      <c r="G1010" s="276"/>
    </row>
    <row r="1011" spans="1:7" x14ac:dyDescent="0.35">
      <c r="A1011" s="276"/>
      <c r="B1011" s="276"/>
      <c r="D1011" s="276"/>
      <c r="G1011" s="276"/>
    </row>
    <row r="1012" spans="1:7" x14ac:dyDescent="0.35">
      <c r="A1012" s="276"/>
      <c r="B1012" s="276"/>
      <c r="D1012" s="276"/>
      <c r="G1012" s="276"/>
    </row>
    <row r="1013" spans="1:7" x14ac:dyDescent="0.35">
      <c r="A1013" s="276"/>
      <c r="B1013" s="276"/>
      <c r="D1013" s="276"/>
      <c r="G1013" s="276"/>
    </row>
    <row r="1014" spans="1:7" x14ac:dyDescent="0.35">
      <c r="A1014" s="276"/>
      <c r="B1014" s="276"/>
      <c r="D1014" s="276"/>
      <c r="G1014" s="276"/>
    </row>
    <row r="1015" spans="1:7" x14ac:dyDescent="0.35">
      <c r="A1015" s="276"/>
      <c r="B1015" s="276"/>
      <c r="D1015" s="276"/>
      <c r="G1015" s="276"/>
    </row>
    <row r="1016" spans="1:7" x14ac:dyDescent="0.35">
      <c r="A1016" s="276"/>
      <c r="B1016" s="276"/>
      <c r="D1016" s="276"/>
      <c r="G1016" s="276"/>
    </row>
    <row r="1017" spans="1:7" x14ac:dyDescent="0.35">
      <c r="A1017" s="276"/>
      <c r="B1017" s="276"/>
      <c r="D1017" s="276"/>
      <c r="G1017" s="276"/>
    </row>
    <row r="1018" spans="1:7" x14ac:dyDescent="0.35">
      <c r="A1018" s="276"/>
      <c r="B1018" s="276"/>
      <c r="D1018" s="276"/>
      <c r="G1018" s="276"/>
    </row>
    <row r="1019" spans="1:7" x14ac:dyDescent="0.35">
      <c r="A1019" s="276"/>
      <c r="B1019" s="276"/>
      <c r="D1019" s="276"/>
      <c r="G1019" s="276"/>
    </row>
    <row r="1020" spans="1:7" x14ac:dyDescent="0.35">
      <c r="A1020" s="276"/>
      <c r="B1020" s="276"/>
      <c r="D1020" s="276"/>
      <c r="G1020" s="276"/>
    </row>
    <row r="1021" spans="1:7" x14ac:dyDescent="0.35">
      <c r="A1021" s="276"/>
      <c r="B1021" s="276"/>
      <c r="D1021" s="276"/>
      <c r="G1021" s="276"/>
    </row>
    <row r="1022" spans="1:7" x14ac:dyDescent="0.35">
      <c r="A1022" s="276"/>
      <c r="B1022" s="276"/>
      <c r="D1022" s="276"/>
      <c r="G1022" s="276"/>
    </row>
    <row r="1023" spans="1:7" x14ac:dyDescent="0.35">
      <c r="A1023" s="276"/>
      <c r="B1023" s="276"/>
      <c r="D1023" s="276"/>
      <c r="G1023" s="276"/>
    </row>
    <row r="1024" spans="1:7" x14ac:dyDescent="0.35">
      <c r="A1024" s="276"/>
      <c r="B1024" s="276"/>
      <c r="D1024" s="276"/>
      <c r="G1024" s="276"/>
    </row>
    <row r="1025" spans="1:7" x14ac:dyDescent="0.35">
      <c r="A1025" s="276"/>
      <c r="B1025" s="276"/>
      <c r="D1025" s="276"/>
      <c r="G1025" s="276"/>
    </row>
    <row r="1026" spans="1:7" x14ac:dyDescent="0.35">
      <c r="A1026" s="276"/>
      <c r="B1026" s="276"/>
      <c r="D1026" s="276"/>
      <c r="G1026" s="276"/>
    </row>
    <row r="1027" spans="1:7" x14ac:dyDescent="0.35">
      <c r="A1027" s="276"/>
      <c r="B1027" s="276"/>
      <c r="D1027" s="276"/>
      <c r="G1027" s="276"/>
    </row>
    <row r="1028" spans="1:7" x14ac:dyDescent="0.35">
      <c r="A1028" s="276"/>
      <c r="B1028" s="276"/>
      <c r="D1028" s="276"/>
      <c r="G1028" s="276"/>
    </row>
    <row r="1029" spans="1:7" x14ac:dyDescent="0.35">
      <c r="A1029" s="276"/>
      <c r="B1029" s="276"/>
      <c r="D1029" s="276"/>
      <c r="G1029" s="276"/>
    </row>
    <row r="1030" spans="1:7" x14ac:dyDescent="0.35">
      <c r="A1030" s="276"/>
      <c r="B1030" s="276"/>
      <c r="D1030" s="276"/>
      <c r="G1030" s="276"/>
    </row>
    <row r="1031" spans="1:7" x14ac:dyDescent="0.35">
      <c r="A1031" s="276"/>
      <c r="B1031" s="276"/>
      <c r="D1031" s="276"/>
      <c r="G1031" s="276"/>
    </row>
    <row r="1032" spans="1:7" x14ac:dyDescent="0.35">
      <c r="A1032" s="276"/>
      <c r="B1032" s="276"/>
      <c r="D1032" s="276"/>
      <c r="G1032" s="276"/>
    </row>
    <row r="1033" spans="1:7" x14ac:dyDescent="0.35">
      <c r="A1033" s="276"/>
      <c r="B1033" s="276"/>
      <c r="D1033" s="276"/>
      <c r="G1033" s="276"/>
    </row>
    <row r="1034" spans="1:7" x14ac:dyDescent="0.35">
      <c r="A1034" s="276"/>
      <c r="B1034" s="276"/>
      <c r="D1034" s="276"/>
      <c r="G1034" s="276"/>
    </row>
    <row r="1035" spans="1:7" x14ac:dyDescent="0.35">
      <c r="A1035" s="276"/>
      <c r="B1035" s="276"/>
      <c r="D1035" s="276"/>
      <c r="G1035" s="276"/>
    </row>
    <row r="1036" spans="1:7" x14ac:dyDescent="0.35">
      <c r="A1036" s="276"/>
      <c r="B1036" s="276"/>
      <c r="D1036" s="276"/>
      <c r="G1036" s="276"/>
    </row>
    <row r="1037" spans="1:7" x14ac:dyDescent="0.35">
      <c r="A1037" s="276"/>
      <c r="B1037" s="276"/>
      <c r="D1037" s="276"/>
      <c r="G1037" s="276"/>
    </row>
    <row r="1038" spans="1:7" x14ac:dyDescent="0.35">
      <c r="A1038" s="276"/>
      <c r="B1038" s="276"/>
      <c r="D1038" s="276"/>
      <c r="G1038" s="276"/>
    </row>
    <row r="1039" spans="1:7" x14ac:dyDescent="0.35">
      <c r="A1039" s="276"/>
      <c r="B1039" s="276"/>
      <c r="D1039" s="276"/>
      <c r="G1039" s="276"/>
    </row>
    <row r="1040" spans="1:7" x14ac:dyDescent="0.35">
      <c r="A1040" s="276"/>
      <c r="B1040" s="276"/>
      <c r="D1040" s="276"/>
      <c r="G1040" s="276"/>
    </row>
    <row r="1041" spans="1:7" x14ac:dyDescent="0.35">
      <c r="A1041" s="276"/>
      <c r="B1041" s="276"/>
      <c r="D1041" s="276"/>
      <c r="G1041" s="276"/>
    </row>
    <row r="1042" spans="1:7" x14ac:dyDescent="0.35">
      <c r="A1042" s="276"/>
      <c r="B1042" s="276"/>
      <c r="D1042" s="276"/>
      <c r="G1042" s="276"/>
    </row>
    <row r="1043" spans="1:7" x14ac:dyDescent="0.35">
      <c r="A1043" s="276"/>
      <c r="B1043" s="276"/>
      <c r="D1043" s="276"/>
      <c r="G1043" s="276"/>
    </row>
    <row r="1044" spans="1:7" x14ac:dyDescent="0.35">
      <c r="A1044" s="276"/>
      <c r="B1044" s="276"/>
      <c r="D1044" s="276"/>
      <c r="G1044" s="276"/>
    </row>
    <row r="1045" spans="1:7" x14ac:dyDescent="0.35">
      <c r="A1045" s="276"/>
      <c r="B1045" s="276"/>
      <c r="D1045" s="276"/>
      <c r="G1045" s="276"/>
    </row>
    <row r="1046" spans="1:7" x14ac:dyDescent="0.35">
      <c r="A1046" s="276"/>
      <c r="B1046" s="276"/>
      <c r="D1046" s="276"/>
      <c r="G1046" s="276"/>
    </row>
    <row r="1047" spans="1:7" x14ac:dyDescent="0.35">
      <c r="A1047" s="276"/>
      <c r="B1047" s="276"/>
      <c r="D1047" s="276"/>
      <c r="G1047" s="276"/>
    </row>
    <row r="1048" spans="1:7" x14ac:dyDescent="0.35">
      <c r="A1048" s="276"/>
      <c r="B1048" s="276"/>
      <c r="D1048" s="276"/>
      <c r="G1048" s="276"/>
    </row>
    <row r="1049" spans="1:7" x14ac:dyDescent="0.35">
      <c r="A1049" s="276"/>
      <c r="B1049" s="276"/>
      <c r="D1049" s="276"/>
      <c r="G1049" s="276"/>
    </row>
    <row r="1050" spans="1:7" x14ac:dyDescent="0.35">
      <c r="A1050" s="276"/>
      <c r="B1050" s="276"/>
      <c r="D1050" s="276"/>
      <c r="G1050" s="276"/>
    </row>
    <row r="1051" spans="1:7" x14ac:dyDescent="0.35">
      <c r="A1051" s="276"/>
      <c r="B1051" s="276"/>
      <c r="D1051" s="276"/>
      <c r="G1051" s="276"/>
    </row>
    <row r="1052" spans="1:7" x14ac:dyDescent="0.35">
      <c r="A1052" s="276"/>
      <c r="B1052" s="276"/>
      <c r="D1052" s="276"/>
      <c r="G1052" s="276"/>
    </row>
    <row r="1053" spans="1:7" x14ac:dyDescent="0.35">
      <c r="A1053" s="276"/>
      <c r="B1053" s="276"/>
      <c r="D1053" s="276"/>
      <c r="G1053" s="276"/>
    </row>
    <row r="1054" spans="1:7" x14ac:dyDescent="0.35">
      <c r="A1054" s="276"/>
      <c r="B1054" s="276"/>
      <c r="D1054" s="276"/>
      <c r="G1054" s="276"/>
    </row>
    <row r="1055" spans="1:7" x14ac:dyDescent="0.35">
      <c r="A1055" s="276"/>
      <c r="B1055" s="276"/>
      <c r="D1055" s="276"/>
      <c r="G1055" s="276"/>
    </row>
    <row r="1056" spans="1:7" x14ac:dyDescent="0.35">
      <c r="A1056" s="276"/>
      <c r="B1056" s="276"/>
      <c r="D1056" s="276"/>
      <c r="G1056" s="276"/>
    </row>
    <row r="1057" spans="1:7" x14ac:dyDescent="0.35">
      <c r="A1057" s="276"/>
      <c r="B1057" s="276"/>
      <c r="D1057" s="276"/>
      <c r="G1057" s="276"/>
    </row>
    <row r="1058" spans="1:7" x14ac:dyDescent="0.35">
      <c r="A1058" s="276"/>
      <c r="B1058" s="276"/>
      <c r="D1058" s="276"/>
      <c r="G1058" s="276"/>
    </row>
    <row r="1059" spans="1:7" x14ac:dyDescent="0.35">
      <c r="A1059" s="276"/>
      <c r="B1059" s="276"/>
      <c r="D1059" s="276"/>
      <c r="G1059" s="276"/>
    </row>
    <row r="1060" spans="1:7" x14ac:dyDescent="0.35">
      <c r="A1060" s="276"/>
      <c r="B1060" s="276"/>
      <c r="D1060" s="276"/>
      <c r="G1060" s="276"/>
    </row>
    <row r="1061" spans="1:7" x14ac:dyDescent="0.35">
      <c r="A1061" s="276"/>
      <c r="B1061" s="276"/>
      <c r="D1061" s="276"/>
      <c r="G1061" s="276"/>
    </row>
    <row r="1062" spans="1:7" x14ac:dyDescent="0.35">
      <c r="A1062" s="276"/>
      <c r="B1062" s="276"/>
      <c r="D1062" s="276"/>
      <c r="G1062" s="276"/>
    </row>
    <row r="1063" spans="1:7" x14ac:dyDescent="0.35">
      <c r="A1063" s="276"/>
      <c r="B1063" s="276"/>
      <c r="D1063" s="276"/>
      <c r="G1063" s="276"/>
    </row>
    <row r="1064" spans="1:7" x14ac:dyDescent="0.35">
      <c r="A1064" s="276"/>
      <c r="B1064" s="276"/>
      <c r="D1064" s="276"/>
      <c r="G1064" s="276"/>
    </row>
    <row r="1065" spans="1:7" x14ac:dyDescent="0.35">
      <c r="A1065" s="276"/>
      <c r="B1065" s="276"/>
      <c r="D1065" s="276"/>
      <c r="G1065" s="276"/>
    </row>
    <row r="1066" spans="1:7" x14ac:dyDescent="0.35">
      <c r="A1066" s="276"/>
      <c r="B1066" s="276"/>
      <c r="D1066" s="276"/>
      <c r="G1066" s="276"/>
    </row>
    <row r="1067" spans="1:7" x14ac:dyDescent="0.35">
      <c r="A1067" s="276"/>
      <c r="B1067" s="276"/>
      <c r="D1067" s="276"/>
      <c r="G1067" s="276"/>
    </row>
    <row r="1068" spans="1:7" x14ac:dyDescent="0.35">
      <c r="A1068" s="276"/>
      <c r="B1068" s="276"/>
      <c r="D1068" s="276"/>
      <c r="G1068" s="276"/>
    </row>
    <row r="1069" spans="1:7" x14ac:dyDescent="0.35">
      <c r="A1069" s="276"/>
      <c r="B1069" s="276"/>
      <c r="D1069" s="276"/>
      <c r="G1069" s="276"/>
    </row>
    <row r="1070" spans="1:7" x14ac:dyDescent="0.35">
      <c r="A1070" s="276"/>
      <c r="B1070" s="276"/>
      <c r="D1070" s="276"/>
      <c r="G1070" s="276"/>
    </row>
    <row r="1071" spans="1:7" x14ac:dyDescent="0.35">
      <c r="A1071" s="276"/>
      <c r="B1071" s="276"/>
      <c r="D1071" s="276"/>
      <c r="G1071" s="276"/>
    </row>
    <row r="1072" spans="1:7" x14ac:dyDescent="0.35">
      <c r="A1072" s="276"/>
      <c r="B1072" s="276"/>
      <c r="D1072" s="276"/>
      <c r="G1072" s="276"/>
    </row>
    <row r="1073" spans="1:7" x14ac:dyDescent="0.35">
      <c r="A1073" s="276"/>
      <c r="B1073" s="276"/>
      <c r="D1073" s="276"/>
      <c r="G1073" s="276"/>
    </row>
    <row r="1074" spans="1:7" x14ac:dyDescent="0.35">
      <c r="A1074" s="276"/>
      <c r="B1074" s="276"/>
      <c r="D1074" s="276"/>
      <c r="G1074" s="276"/>
    </row>
    <row r="1075" spans="1:7" x14ac:dyDescent="0.35">
      <c r="A1075" s="276"/>
      <c r="B1075" s="276"/>
      <c r="D1075" s="276"/>
      <c r="G1075" s="276"/>
    </row>
    <row r="1076" spans="1:7" x14ac:dyDescent="0.35">
      <c r="A1076" s="276"/>
      <c r="B1076" s="276"/>
      <c r="D1076" s="276"/>
      <c r="G1076" s="276"/>
    </row>
    <row r="1077" spans="1:7" x14ac:dyDescent="0.35">
      <c r="A1077" s="276"/>
      <c r="B1077" s="276"/>
      <c r="D1077" s="276"/>
      <c r="G1077" s="276"/>
    </row>
    <row r="1078" spans="1:7" x14ac:dyDescent="0.35">
      <c r="A1078" s="276"/>
      <c r="B1078" s="276"/>
      <c r="D1078" s="276"/>
      <c r="G1078" s="276"/>
    </row>
    <row r="1079" spans="1:7" x14ac:dyDescent="0.35">
      <c r="A1079" s="276"/>
      <c r="B1079" s="276"/>
      <c r="D1079" s="276"/>
      <c r="G1079" s="276"/>
    </row>
    <row r="1080" spans="1:7" x14ac:dyDescent="0.35">
      <c r="A1080" s="276"/>
      <c r="B1080" s="276"/>
      <c r="D1080" s="276"/>
      <c r="G1080" s="276"/>
    </row>
    <row r="1081" spans="1:7" x14ac:dyDescent="0.35">
      <c r="A1081" s="276"/>
      <c r="B1081" s="276"/>
      <c r="D1081" s="276"/>
      <c r="G1081" s="276"/>
    </row>
    <row r="1082" spans="1:7" x14ac:dyDescent="0.35">
      <c r="A1082" s="276"/>
      <c r="B1082" s="276"/>
      <c r="D1082" s="276"/>
      <c r="G1082" s="276"/>
    </row>
    <row r="1083" spans="1:7" x14ac:dyDescent="0.35">
      <c r="A1083" s="276"/>
      <c r="B1083" s="276"/>
      <c r="D1083" s="276"/>
      <c r="G1083" s="276"/>
    </row>
    <row r="1084" spans="1:7" x14ac:dyDescent="0.35">
      <c r="A1084" s="276"/>
      <c r="B1084" s="276"/>
      <c r="D1084" s="276"/>
      <c r="G1084" s="276"/>
    </row>
    <row r="1085" spans="1:7" x14ac:dyDescent="0.35">
      <c r="A1085" s="276"/>
      <c r="B1085" s="276"/>
      <c r="D1085" s="276"/>
      <c r="G1085" s="276"/>
    </row>
    <row r="1086" spans="1:7" x14ac:dyDescent="0.35">
      <c r="A1086" s="276"/>
      <c r="B1086" s="276"/>
      <c r="D1086" s="276"/>
      <c r="G1086" s="276"/>
    </row>
    <row r="1087" spans="1:7" x14ac:dyDescent="0.35">
      <c r="A1087" s="276"/>
      <c r="B1087" s="276"/>
      <c r="D1087" s="276"/>
      <c r="G1087" s="276"/>
    </row>
    <row r="1088" spans="1:7" x14ac:dyDescent="0.35">
      <c r="A1088" s="276"/>
      <c r="B1088" s="276"/>
      <c r="D1088" s="276"/>
      <c r="G1088" s="276"/>
    </row>
    <row r="1089" spans="1:7" x14ac:dyDescent="0.35">
      <c r="A1089" s="276"/>
      <c r="B1089" s="276"/>
      <c r="D1089" s="276"/>
      <c r="G1089" s="276"/>
    </row>
    <row r="1090" spans="1:7" x14ac:dyDescent="0.35">
      <c r="A1090" s="276"/>
      <c r="B1090" s="276"/>
      <c r="D1090" s="276"/>
      <c r="G1090" s="276"/>
    </row>
    <row r="1091" spans="1:7" x14ac:dyDescent="0.35">
      <c r="A1091" s="276"/>
      <c r="B1091" s="276"/>
      <c r="D1091" s="276"/>
      <c r="G1091" s="276"/>
    </row>
    <row r="1092" spans="1:7" x14ac:dyDescent="0.35">
      <c r="A1092" s="276"/>
      <c r="B1092" s="276"/>
      <c r="D1092" s="276"/>
      <c r="G1092" s="276"/>
    </row>
    <row r="1093" spans="1:7" x14ac:dyDescent="0.35">
      <c r="A1093" s="276"/>
      <c r="B1093" s="276"/>
      <c r="D1093" s="276"/>
      <c r="G1093" s="276"/>
    </row>
    <row r="1094" spans="1:7" x14ac:dyDescent="0.35">
      <c r="A1094" s="276"/>
      <c r="B1094" s="276"/>
      <c r="D1094" s="276"/>
      <c r="G1094" s="276"/>
    </row>
    <row r="1095" spans="1:7" x14ac:dyDescent="0.35">
      <c r="A1095" s="276"/>
      <c r="B1095" s="276"/>
      <c r="D1095" s="276"/>
      <c r="G1095" s="276"/>
    </row>
    <row r="1096" spans="1:7" x14ac:dyDescent="0.35">
      <c r="A1096" s="276"/>
      <c r="B1096" s="276"/>
      <c r="D1096" s="276"/>
      <c r="G1096" s="276"/>
    </row>
    <row r="1097" spans="1:7" x14ac:dyDescent="0.35">
      <c r="A1097" s="276"/>
      <c r="B1097" s="276"/>
      <c r="D1097" s="276"/>
      <c r="G1097" s="276"/>
    </row>
    <row r="1098" spans="1:7" x14ac:dyDescent="0.35">
      <c r="A1098" s="276"/>
      <c r="B1098" s="276"/>
      <c r="D1098" s="276"/>
      <c r="G1098" s="276"/>
    </row>
    <row r="1099" spans="1:7" x14ac:dyDescent="0.35">
      <c r="A1099" s="276"/>
      <c r="B1099" s="276"/>
      <c r="D1099" s="276"/>
      <c r="G1099" s="276"/>
    </row>
    <row r="1100" spans="1:7" x14ac:dyDescent="0.35">
      <c r="A1100" s="276"/>
      <c r="B1100" s="276"/>
      <c r="D1100" s="276"/>
      <c r="G1100" s="276"/>
    </row>
    <row r="1101" spans="1:7" x14ac:dyDescent="0.35">
      <c r="A1101" s="276"/>
      <c r="B1101" s="276"/>
      <c r="D1101" s="276"/>
      <c r="G1101" s="276"/>
    </row>
    <row r="1102" spans="1:7" x14ac:dyDescent="0.35">
      <c r="A1102" s="276"/>
      <c r="B1102" s="276"/>
      <c r="D1102" s="276"/>
      <c r="G1102" s="276"/>
    </row>
    <row r="1103" spans="1:7" x14ac:dyDescent="0.35">
      <c r="A1103" s="276"/>
      <c r="B1103" s="276"/>
      <c r="D1103" s="276"/>
      <c r="G1103" s="276"/>
    </row>
    <row r="1104" spans="1:7" x14ac:dyDescent="0.35">
      <c r="A1104" s="276"/>
      <c r="B1104" s="276"/>
      <c r="D1104" s="276"/>
      <c r="G1104" s="276"/>
    </row>
    <row r="1105" spans="1:7" x14ac:dyDescent="0.35">
      <c r="A1105" s="276"/>
      <c r="B1105" s="276"/>
      <c r="D1105" s="276"/>
      <c r="G1105" s="276"/>
    </row>
    <row r="1106" spans="1:7" x14ac:dyDescent="0.35">
      <c r="A1106" s="276"/>
      <c r="B1106" s="276"/>
      <c r="D1106" s="276"/>
      <c r="G1106" s="276"/>
    </row>
    <row r="1107" spans="1:7" x14ac:dyDescent="0.35">
      <c r="A1107" s="276"/>
      <c r="B1107" s="276"/>
      <c r="D1107" s="276"/>
      <c r="G1107" s="276"/>
    </row>
    <row r="1108" spans="1:7" x14ac:dyDescent="0.35">
      <c r="A1108" s="276"/>
      <c r="B1108" s="276"/>
      <c r="D1108" s="276"/>
      <c r="G1108" s="276"/>
    </row>
    <row r="1109" spans="1:7" x14ac:dyDescent="0.35">
      <c r="A1109" s="276"/>
      <c r="B1109" s="276"/>
      <c r="D1109" s="276"/>
      <c r="G1109" s="276"/>
    </row>
    <row r="1110" spans="1:7" x14ac:dyDescent="0.35">
      <c r="A1110" s="276"/>
      <c r="B1110" s="276"/>
      <c r="D1110" s="276"/>
      <c r="G1110" s="276"/>
    </row>
    <row r="1111" spans="1:7" x14ac:dyDescent="0.35">
      <c r="A1111" s="276"/>
      <c r="B1111" s="276"/>
      <c r="D1111" s="276"/>
      <c r="G1111" s="276"/>
    </row>
    <row r="1112" spans="1:7" x14ac:dyDescent="0.35">
      <c r="A1112" s="276"/>
      <c r="B1112" s="276"/>
      <c r="D1112" s="276"/>
      <c r="G1112" s="276"/>
    </row>
    <row r="1113" spans="1:7" x14ac:dyDescent="0.35">
      <c r="A1113" s="276"/>
      <c r="B1113" s="276"/>
      <c r="D1113" s="276"/>
      <c r="G1113" s="276"/>
    </row>
    <row r="1114" spans="1:7" x14ac:dyDescent="0.35">
      <c r="A1114" s="276"/>
      <c r="B1114" s="276"/>
      <c r="D1114" s="276"/>
      <c r="G1114" s="276"/>
    </row>
    <row r="1115" spans="1:7" x14ac:dyDescent="0.35">
      <c r="A1115" s="276"/>
      <c r="B1115" s="276"/>
      <c r="D1115" s="276"/>
      <c r="G1115" s="276"/>
    </row>
    <row r="1116" spans="1:7" x14ac:dyDescent="0.35">
      <c r="A1116" s="276"/>
      <c r="B1116" s="276"/>
      <c r="D1116" s="276"/>
      <c r="G1116" s="276"/>
    </row>
    <row r="1117" spans="1:7" x14ac:dyDescent="0.35">
      <c r="A1117" s="276"/>
      <c r="B1117" s="276"/>
      <c r="D1117" s="276"/>
      <c r="G1117" s="276"/>
    </row>
    <row r="1118" spans="1:7" x14ac:dyDescent="0.35">
      <c r="A1118" s="276"/>
      <c r="B1118" s="276"/>
      <c r="D1118" s="276"/>
      <c r="G1118" s="276"/>
    </row>
    <row r="1119" spans="1:7" x14ac:dyDescent="0.35">
      <c r="A1119" s="276"/>
      <c r="B1119" s="276"/>
      <c r="D1119" s="276"/>
      <c r="G1119" s="276"/>
    </row>
    <row r="1120" spans="1:7" x14ac:dyDescent="0.35">
      <c r="A1120" s="276"/>
      <c r="B1120" s="276"/>
      <c r="D1120" s="276"/>
      <c r="G1120" s="276"/>
    </row>
    <row r="1121" spans="1:7" x14ac:dyDescent="0.35">
      <c r="A1121" s="276"/>
      <c r="B1121" s="276"/>
      <c r="D1121" s="276"/>
      <c r="G1121" s="276"/>
    </row>
    <row r="1122" spans="1:7" x14ac:dyDescent="0.35">
      <c r="A1122" s="276"/>
      <c r="B1122" s="276"/>
      <c r="D1122" s="276"/>
      <c r="G1122" s="276"/>
    </row>
    <row r="1123" spans="1:7" x14ac:dyDescent="0.35">
      <c r="A1123" s="276"/>
      <c r="B1123" s="276"/>
      <c r="D1123" s="276"/>
      <c r="G1123" s="276"/>
    </row>
    <row r="1124" spans="1:7" x14ac:dyDescent="0.35">
      <c r="A1124" s="276"/>
      <c r="B1124" s="276"/>
      <c r="D1124" s="276"/>
      <c r="G1124" s="276"/>
    </row>
    <row r="1125" spans="1:7" x14ac:dyDescent="0.35">
      <c r="A1125" s="276"/>
      <c r="B1125" s="276"/>
      <c r="D1125" s="276"/>
      <c r="G1125" s="276"/>
    </row>
    <row r="1126" spans="1:7" x14ac:dyDescent="0.35">
      <c r="A1126" s="276"/>
      <c r="B1126" s="276"/>
      <c r="D1126" s="276"/>
      <c r="G1126" s="276"/>
    </row>
    <row r="1127" spans="1:7" x14ac:dyDescent="0.35">
      <c r="A1127" s="276"/>
      <c r="B1127" s="276"/>
      <c r="D1127" s="276"/>
      <c r="G1127" s="276"/>
    </row>
    <row r="1128" spans="1:7" x14ac:dyDescent="0.35">
      <c r="A1128" s="276"/>
      <c r="B1128" s="276"/>
      <c r="D1128" s="276"/>
      <c r="G1128" s="276"/>
    </row>
    <row r="1129" spans="1:7" x14ac:dyDescent="0.35">
      <c r="A1129" s="276"/>
      <c r="B1129" s="276"/>
      <c r="D1129" s="276"/>
      <c r="G1129" s="276"/>
    </row>
    <row r="1130" spans="1:7" x14ac:dyDescent="0.35">
      <c r="A1130" s="276"/>
      <c r="B1130" s="276"/>
      <c r="D1130" s="276"/>
      <c r="G1130" s="276"/>
    </row>
    <row r="1131" spans="1:7" x14ac:dyDescent="0.35">
      <c r="A1131" s="276"/>
      <c r="B1131" s="276"/>
      <c r="D1131" s="276"/>
      <c r="G1131" s="276"/>
    </row>
    <row r="1132" spans="1:7" x14ac:dyDescent="0.35">
      <c r="A1132" s="276"/>
      <c r="B1132" s="276"/>
      <c r="D1132" s="276"/>
      <c r="G1132" s="276"/>
    </row>
    <row r="1133" spans="1:7" x14ac:dyDescent="0.35">
      <c r="A1133" s="276"/>
      <c r="B1133" s="276"/>
      <c r="D1133" s="276"/>
      <c r="G1133" s="276"/>
    </row>
    <row r="1134" spans="1:7" x14ac:dyDescent="0.35">
      <c r="A1134" s="276"/>
      <c r="B1134" s="276"/>
      <c r="D1134" s="276"/>
      <c r="G1134" s="276"/>
    </row>
    <row r="1135" spans="1:7" x14ac:dyDescent="0.35">
      <c r="A1135" s="276"/>
      <c r="B1135" s="276"/>
      <c r="D1135" s="276"/>
      <c r="G1135" s="276"/>
    </row>
    <row r="1136" spans="1:7" x14ac:dyDescent="0.35">
      <c r="A1136" s="276"/>
      <c r="B1136" s="276"/>
      <c r="D1136" s="276"/>
      <c r="G1136" s="276"/>
    </row>
    <row r="1137" spans="1:7" x14ac:dyDescent="0.35">
      <c r="A1137" s="276"/>
      <c r="B1137" s="276"/>
      <c r="D1137" s="276"/>
      <c r="G1137" s="276"/>
    </row>
    <row r="1138" spans="1:7" x14ac:dyDescent="0.35">
      <c r="A1138" s="276"/>
      <c r="B1138" s="276"/>
      <c r="D1138" s="276"/>
      <c r="G1138" s="276"/>
    </row>
    <row r="1139" spans="1:7" x14ac:dyDescent="0.35">
      <c r="A1139" s="276"/>
      <c r="B1139" s="276"/>
      <c r="D1139" s="276"/>
      <c r="G1139" s="276"/>
    </row>
    <row r="1140" spans="1:7" x14ac:dyDescent="0.35">
      <c r="A1140" s="276"/>
      <c r="B1140" s="276"/>
      <c r="D1140" s="276"/>
      <c r="G1140" s="276"/>
    </row>
    <row r="1141" spans="1:7" x14ac:dyDescent="0.35">
      <c r="A1141" s="276"/>
      <c r="B1141" s="276"/>
      <c r="D1141" s="276"/>
      <c r="G1141" s="276"/>
    </row>
    <row r="1142" spans="1:7" x14ac:dyDescent="0.35">
      <c r="A1142" s="276"/>
      <c r="B1142" s="276"/>
      <c r="D1142" s="276"/>
      <c r="G1142" s="276"/>
    </row>
    <row r="1143" spans="1:7" x14ac:dyDescent="0.35">
      <c r="A1143" s="276"/>
      <c r="B1143" s="276"/>
      <c r="D1143" s="276"/>
      <c r="G1143" s="276"/>
    </row>
    <row r="1144" spans="1:7" x14ac:dyDescent="0.35">
      <c r="A1144" s="276"/>
      <c r="B1144" s="276"/>
      <c r="D1144" s="276"/>
      <c r="G1144" s="276"/>
    </row>
    <row r="1145" spans="1:7" x14ac:dyDescent="0.35">
      <c r="A1145" s="276"/>
      <c r="B1145" s="276"/>
      <c r="D1145" s="276"/>
      <c r="G1145" s="276"/>
    </row>
    <row r="1146" spans="1:7" x14ac:dyDescent="0.35">
      <c r="A1146" s="276"/>
      <c r="B1146" s="276"/>
      <c r="D1146" s="276"/>
      <c r="G1146" s="276"/>
    </row>
    <row r="1147" spans="1:7" x14ac:dyDescent="0.35">
      <c r="A1147" s="276"/>
      <c r="B1147" s="276"/>
      <c r="D1147" s="276"/>
      <c r="G1147" s="276"/>
    </row>
    <row r="1148" spans="1:7" x14ac:dyDescent="0.35">
      <c r="A1148" s="276"/>
      <c r="B1148" s="276"/>
      <c r="D1148" s="276"/>
      <c r="G1148" s="276"/>
    </row>
    <row r="1149" spans="1:7" x14ac:dyDescent="0.35">
      <c r="A1149" s="276"/>
      <c r="B1149" s="276"/>
      <c r="D1149" s="276"/>
      <c r="G1149" s="276"/>
    </row>
    <row r="1150" spans="1:7" x14ac:dyDescent="0.35">
      <c r="A1150" s="276"/>
      <c r="B1150" s="276"/>
      <c r="D1150" s="276"/>
      <c r="G1150" s="276"/>
    </row>
    <row r="1151" spans="1:7" x14ac:dyDescent="0.35">
      <c r="A1151" s="276"/>
      <c r="B1151" s="276"/>
      <c r="D1151" s="276"/>
      <c r="G1151" s="276"/>
    </row>
    <row r="1152" spans="1:7" x14ac:dyDescent="0.35">
      <c r="A1152" s="276"/>
      <c r="B1152" s="276"/>
      <c r="D1152" s="276"/>
      <c r="G1152" s="276"/>
    </row>
    <row r="1153" spans="1:7" x14ac:dyDescent="0.35">
      <c r="A1153" s="276"/>
      <c r="B1153" s="276"/>
      <c r="D1153" s="276"/>
      <c r="G1153" s="276"/>
    </row>
    <row r="1154" spans="1:7" x14ac:dyDescent="0.35">
      <c r="A1154" s="276"/>
      <c r="B1154" s="276"/>
      <c r="D1154" s="276"/>
      <c r="G1154" s="276"/>
    </row>
    <row r="1155" spans="1:7" x14ac:dyDescent="0.35">
      <c r="A1155" s="276"/>
      <c r="B1155" s="276"/>
      <c r="D1155" s="276"/>
      <c r="G1155" s="276"/>
    </row>
    <row r="1156" spans="1:7" x14ac:dyDescent="0.35">
      <c r="A1156" s="276"/>
      <c r="B1156" s="276"/>
      <c r="D1156" s="276"/>
      <c r="G1156" s="276"/>
    </row>
    <row r="1157" spans="1:7" x14ac:dyDescent="0.35">
      <c r="A1157" s="276"/>
      <c r="B1157" s="276"/>
      <c r="D1157" s="276"/>
      <c r="G1157" s="276"/>
    </row>
    <row r="1158" spans="1:7" x14ac:dyDescent="0.35">
      <c r="A1158" s="276"/>
      <c r="B1158" s="276"/>
      <c r="D1158" s="276"/>
      <c r="G1158" s="276"/>
    </row>
    <row r="1159" spans="1:7" x14ac:dyDescent="0.35">
      <c r="A1159" s="276"/>
      <c r="B1159" s="276"/>
      <c r="D1159" s="276"/>
      <c r="G1159" s="276"/>
    </row>
    <row r="1160" spans="1:7" x14ac:dyDescent="0.35">
      <c r="A1160" s="276"/>
      <c r="B1160" s="276"/>
      <c r="D1160" s="276"/>
      <c r="G1160" s="276"/>
    </row>
    <row r="1161" spans="1:7" x14ac:dyDescent="0.35">
      <c r="A1161" s="276"/>
      <c r="B1161" s="276"/>
      <c r="D1161" s="276"/>
      <c r="G1161" s="276"/>
    </row>
    <row r="1162" spans="1:7" x14ac:dyDescent="0.35">
      <c r="A1162" s="276"/>
      <c r="B1162" s="276"/>
      <c r="D1162" s="276"/>
      <c r="G1162" s="276"/>
    </row>
    <row r="1163" spans="1:7" x14ac:dyDescent="0.35">
      <c r="A1163" s="276"/>
      <c r="B1163" s="276"/>
      <c r="D1163" s="276"/>
      <c r="G1163" s="276"/>
    </row>
    <row r="1164" spans="1:7" x14ac:dyDescent="0.35">
      <c r="A1164" s="276"/>
      <c r="B1164" s="276"/>
      <c r="D1164" s="276"/>
      <c r="G1164" s="276"/>
    </row>
    <row r="1165" spans="1:7" x14ac:dyDescent="0.35">
      <c r="A1165" s="276"/>
      <c r="B1165" s="276"/>
      <c r="D1165" s="276"/>
      <c r="G1165" s="276"/>
    </row>
    <row r="1166" spans="1:7" x14ac:dyDescent="0.35">
      <c r="A1166" s="276"/>
      <c r="B1166" s="276"/>
      <c r="D1166" s="276"/>
      <c r="G1166" s="276"/>
    </row>
    <row r="1167" spans="1:7" x14ac:dyDescent="0.35">
      <c r="A1167" s="276"/>
      <c r="B1167" s="276"/>
      <c r="D1167" s="276"/>
      <c r="G1167" s="276"/>
    </row>
    <row r="1168" spans="1:7" x14ac:dyDescent="0.35">
      <c r="A1168" s="276"/>
      <c r="B1168" s="276"/>
      <c r="D1168" s="276"/>
      <c r="G1168" s="276"/>
    </row>
    <row r="1169" spans="1:7" x14ac:dyDescent="0.35">
      <c r="A1169" s="276"/>
      <c r="B1169" s="276"/>
      <c r="D1169" s="276"/>
      <c r="G1169" s="276"/>
    </row>
    <row r="1170" spans="1:7" x14ac:dyDescent="0.35">
      <c r="A1170" s="276"/>
      <c r="B1170" s="276"/>
      <c r="D1170" s="276"/>
      <c r="G1170" s="276"/>
    </row>
    <row r="1171" spans="1:7" x14ac:dyDescent="0.35">
      <c r="A1171" s="276"/>
      <c r="B1171" s="276"/>
      <c r="D1171" s="276"/>
      <c r="G1171" s="276"/>
    </row>
    <row r="1172" spans="1:7" x14ac:dyDescent="0.35">
      <c r="A1172" s="276"/>
      <c r="B1172" s="276"/>
      <c r="D1172" s="276"/>
      <c r="G1172" s="276"/>
    </row>
    <row r="1173" spans="1:7" x14ac:dyDescent="0.35">
      <c r="A1173" s="276"/>
      <c r="B1173" s="276"/>
      <c r="D1173" s="276"/>
      <c r="G1173" s="276"/>
    </row>
    <row r="1174" spans="1:7" x14ac:dyDescent="0.35">
      <c r="A1174" s="276"/>
      <c r="B1174" s="276"/>
      <c r="D1174" s="276"/>
      <c r="G1174" s="276"/>
    </row>
    <row r="1175" spans="1:7" x14ac:dyDescent="0.35">
      <c r="A1175" s="276"/>
      <c r="B1175" s="276"/>
      <c r="D1175" s="276"/>
      <c r="G1175" s="276"/>
    </row>
    <row r="1176" spans="1:7" x14ac:dyDescent="0.35">
      <c r="A1176" s="276"/>
      <c r="B1176" s="276"/>
      <c r="D1176" s="276"/>
      <c r="G1176" s="276"/>
    </row>
    <row r="1177" spans="1:7" x14ac:dyDescent="0.35">
      <c r="A1177" s="276"/>
      <c r="B1177" s="276"/>
      <c r="D1177" s="276"/>
      <c r="G1177" s="276"/>
    </row>
    <row r="1178" spans="1:7" x14ac:dyDescent="0.35">
      <c r="A1178" s="276"/>
      <c r="B1178" s="276"/>
      <c r="D1178" s="276"/>
      <c r="G1178" s="276"/>
    </row>
    <row r="1179" spans="1:7" x14ac:dyDescent="0.35">
      <c r="A1179" s="276"/>
      <c r="B1179" s="276"/>
      <c r="D1179" s="276"/>
      <c r="G1179" s="276"/>
    </row>
    <row r="1180" spans="1:7" x14ac:dyDescent="0.35">
      <c r="A1180" s="276"/>
      <c r="B1180" s="276"/>
      <c r="D1180" s="276"/>
      <c r="G1180" s="276"/>
    </row>
    <row r="1181" spans="1:7" x14ac:dyDescent="0.35">
      <c r="A1181" s="276"/>
      <c r="B1181" s="276"/>
      <c r="D1181" s="276"/>
      <c r="G1181" s="276"/>
    </row>
    <row r="1182" spans="1:7" x14ac:dyDescent="0.35">
      <c r="A1182" s="276"/>
      <c r="B1182" s="276"/>
      <c r="D1182" s="276"/>
      <c r="G1182" s="276"/>
    </row>
    <row r="1183" spans="1:7" x14ac:dyDescent="0.35">
      <c r="A1183" s="276"/>
      <c r="B1183" s="276"/>
      <c r="D1183" s="276"/>
      <c r="G1183" s="276"/>
    </row>
    <row r="1184" spans="1:7" x14ac:dyDescent="0.35">
      <c r="A1184" s="276"/>
      <c r="B1184" s="276"/>
      <c r="D1184" s="276"/>
      <c r="G1184" s="276"/>
    </row>
    <row r="1185" spans="1:7" x14ac:dyDescent="0.35">
      <c r="A1185" s="276"/>
      <c r="B1185" s="276"/>
      <c r="D1185" s="276"/>
      <c r="G1185" s="276"/>
    </row>
    <row r="1186" spans="1:7" x14ac:dyDescent="0.35">
      <c r="A1186" s="276"/>
      <c r="B1186" s="276"/>
      <c r="D1186" s="276"/>
      <c r="G1186" s="276"/>
    </row>
    <row r="1187" spans="1:7" x14ac:dyDescent="0.35">
      <c r="A1187" s="276"/>
      <c r="B1187" s="276"/>
      <c r="D1187" s="276"/>
      <c r="G1187" s="276"/>
    </row>
    <row r="1188" spans="1:7" x14ac:dyDescent="0.35">
      <c r="A1188" s="276"/>
      <c r="B1188" s="276"/>
      <c r="D1188" s="276"/>
      <c r="G1188" s="276"/>
    </row>
    <row r="1189" spans="1:7" x14ac:dyDescent="0.35">
      <c r="A1189" s="276"/>
      <c r="B1189" s="276"/>
      <c r="D1189" s="276"/>
      <c r="G1189" s="276"/>
    </row>
    <row r="1190" spans="1:7" x14ac:dyDescent="0.35">
      <c r="A1190" s="276"/>
      <c r="B1190" s="276"/>
      <c r="D1190" s="276"/>
      <c r="G1190" s="276"/>
    </row>
    <row r="1191" spans="1:7" x14ac:dyDescent="0.35">
      <c r="A1191" s="276"/>
      <c r="B1191" s="276"/>
      <c r="D1191" s="276"/>
      <c r="G1191" s="276"/>
    </row>
    <row r="1192" spans="1:7" x14ac:dyDescent="0.35">
      <c r="A1192" s="276"/>
      <c r="B1192" s="276"/>
      <c r="D1192" s="276"/>
      <c r="G1192" s="276"/>
    </row>
    <row r="1193" spans="1:7" x14ac:dyDescent="0.35">
      <c r="A1193" s="276"/>
      <c r="B1193" s="276"/>
      <c r="D1193" s="276"/>
      <c r="G1193" s="276"/>
    </row>
    <row r="1194" spans="1:7" x14ac:dyDescent="0.35">
      <c r="A1194" s="276"/>
      <c r="B1194" s="276"/>
      <c r="D1194" s="276"/>
      <c r="G1194" s="276"/>
    </row>
    <row r="1195" spans="1:7" x14ac:dyDescent="0.35">
      <c r="A1195" s="276"/>
      <c r="B1195" s="276"/>
      <c r="D1195" s="276"/>
      <c r="G1195" s="276"/>
    </row>
    <row r="1196" spans="1:7" x14ac:dyDescent="0.35">
      <c r="A1196" s="276"/>
      <c r="B1196" s="276"/>
      <c r="D1196" s="276"/>
      <c r="G1196" s="276"/>
    </row>
    <row r="1197" spans="1:7" x14ac:dyDescent="0.35">
      <c r="A1197" s="276"/>
      <c r="B1197" s="276"/>
      <c r="D1197" s="276"/>
      <c r="G1197" s="276"/>
    </row>
    <row r="1198" spans="1:7" x14ac:dyDescent="0.35">
      <c r="A1198" s="276"/>
      <c r="B1198" s="276"/>
      <c r="D1198" s="276"/>
      <c r="G1198" s="276"/>
    </row>
    <row r="1199" spans="1:7" x14ac:dyDescent="0.35">
      <c r="A1199" s="276"/>
      <c r="B1199" s="276"/>
      <c r="D1199" s="276"/>
      <c r="G1199" s="276"/>
    </row>
    <row r="1200" spans="1:7" x14ac:dyDescent="0.35">
      <c r="A1200" s="276"/>
      <c r="B1200" s="276"/>
      <c r="D1200" s="276"/>
      <c r="G1200" s="276"/>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3" r:id="rId4" name="Button 5">
              <controlPr defaultSize="0" print="0" autoFill="0" autoPict="0" macro="[0]!Ark16.Copy_Tiltaksliste">
                <anchor moveWithCells="1" sizeWithCells="1">
                  <from>
                    <xdr:col>7</xdr:col>
                    <xdr:colOff>695325</xdr:colOff>
                    <xdr:row>0</xdr:row>
                    <xdr:rowOff>47625</xdr:rowOff>
                  </from>
                  <to>
                    <xdr:col>9</xdr:col>
                    <xdr:colOff>428625</xdr:colOff>
                    <xdr:row>1</xdr:row>
                    <xdr:rowOff>85725</xdr:rowOff>
                  </to>
                </anchor>
              </controlPr>
            </control>
          </mc:Choice>
        </mc:AlternateContent>
        <mc:AlternateContent xmlns:mc="http://schemas.openxmlformats.org/markup-compatibility/2006">
          <mc:Choice Requires="x14">
            <control shapeId="17409" r:id="rId5" name="Button 1">
              <controlPr defaultSize="0" print="0" autoFill="0" autoPict="0" macro="[0]!Ark16.Copy_Tiltak" altText="Update action list">
                <anchor moveWithCells="1" sizeWithCells="1">
                  <from>
                    <xdr:col>6</xdr:col>
                    <xdr:colOff>85725</xdr:colOff>
                    <xdr:row>0</xdr:row>
                    <xdr:rowOff>47625</xdr:rowOff>
                  </from>
                  <to>
                    <xdr:col>7</xdr:col>
                    <xdr:colOff>619125</xdr:colOff>
                    <xdr:row>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'Datasource 2'!$M$14:$M$16</xm:f>
          </x14:formula1>
          <xm:sqref>D1201:D1048576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12">
    <tabColor rgb="FF034B45"/>
    <pageSetUpPr autoPageBreaks="0" fitToPage="1"/>
  </sheetPr>
  <dimension ref="A1:V39"/>
  <sheetViews>
    <sheetView zoomScale="60" zoomScaleNormal="60" workbookViewId="0">
      <selection activeCell="L8" sqref="L8"/>
    </sheetView>
  </sheetViews>
  <sheetFormatPr baseColWidth="10" defaultColWidth="11.42578125" defaultRowHeight="15" x14ac:dyDescent="0.25"/>
  <cols>
    <col min="1" max="1" width="22.5703125" style="1" customWidth="1"/>
    <col min="2" max="2" width="6" style="1" customWidth="1"/>
    <col min="3" max="3" width="15.7109375" style="1" hidden="1" customWidth="1"/>
    <col min="4" max="8" width="22.140625" style="1" customWidth="1"/>
    <col min="9" max="9" width="11.42578125" style="1"/>
    <col min="10" max="10" width="0.140625" style="1" customWidth="1"/>
    <col min="11" max="11" width="14.28515625" style="1" customWidth="1"/>
    <col min="12" max="12" width="60.7109375" style="1" customWidth="1"/>
    <col min="13" max="13" width="15.7109375" style="1" customWidth="1"/>
    <col min="14" max="14" width="60.7109375" style="1" customWidth="1"/>
    <col min="15" max="15" width="12.85546875" style="1" customWidth="1"/>
    <col min="16" max="16384" width="11.42578125" style="1"/>
  </cols>
  <sheetData>
    <row r="1" spans="1:22" ht="17.25" x14ac:dyDescent="0.35">
      <c r="A1" s="68"/>
      <c r="B1" s="68"/>
      <c r="C1" s="68"/>
      <c r="D1" s="68"/>
      <c r="E1" s="68"/>
      <c r="F1" s="68"/>
      <c r="G1" s="68"/>
      <c r="H1" s="68"/>
      <c r="I1" s="68"/>
      <c r="J1" s="68"/>
      <c r="K1" s="68"/>
      <c r="L1" s="68"/>
      <c r="M1" s="68"/>
      <c r="N1" s="68"/>
    </row>
    <row r="2" spans="1:22" ht="26.25" x14ac:dyDescent="0.5">
      <c r="A2" s="68"/>
      <c r="B2" s="68"/>
      <c r="C2" s="68"/>
      <c r="D2" s="289" t="s">
        <v>239</v>
      </c>
      <c r="E2" s="68"/>
      <c r="F2" s="68"/>
      <c r="G2" s="68"/>
      <c r="H2" s="68"/>
      <c r="I2" s="68"/>
      <c r="J2" s="68"/>
      <c r="K2" s="68"/>
      <c r="L2" s="68"/>
      <c r="M2" s="68"/>
      <c r="N2" s="68"/>
    </row>
    <row r="3" spans="1:22" ht="15" hidden="1" customHeight="1" x14ac:dyDescent="0.35">
      <c r="A3" s="68"/>
      <c r="B3" s="68"/>
      <c r="C3" s="68"/>
      <c r="D3" s="127">
        <v>1</v>
      </c>
      <c r="E3" s="127">
        <v>2</v>
      </c>
      <c r="F3" s="127">
        <v>3</v>
      </c>
      <c r="G3" s="127">
        <v>4</v>
      </c>
      <c r="H3" s="127">
        <v>5</v>
      </c>
      <c r="I3" s="68"/>
      <c r="J3" s="68"/>
      <c r="K3" s="68"/>
      <c r="L3" s="68"/>
      <c r="M3" s="68"/>
      <c r="N3" s="68"/>
    </row>
    <row r="4" spans="1:22" ht="66" customHeight="1" thickBot="1" x14ac:dyDescent="0.4">
      <c r="A4" s="68"/>
      <c r="B4" s="164" t="str">
        <f>Akseptkriterier!$D$8</f>
        <v>Svært stor</v>
      </c>
      <c r="C4" s="80">
        <v>5</v>
      </c>
      <c r="D4" s="290" t="str">
        <f ca="1">ProbSevScore($C4,$D$3,Risikovurdering_data!$A$3:$A$493)</f>
        <v/>
      </c>
      <c r="E4" s="290" t="str">
        <f ca="1">ProbSevScore($C4,$E$3,Risikovurdering_data!$A$3:$A$493)</f>
        <v/>
      </c>
      <c r="F4" s="290" t="str">
        <f ca="1">ProbSevScore($C4,$F$3,Risikovurdering_data!$A$3:$A$493)</f>
        <v/>
      </c>
      <c r="G4" s="290" t="str">
        <f ca="1">ProbSevScore($C4,$G$3,Risikovurdering_data!$A$3:$A$493)</f>
        <v/>
      </c>
      <c r="H4" s="290" t="str">
        <f ca="1">ProbSevScore($C4,$H$3,Risikovurdering_data!$A$3:$A$493)</f>
        <v/>
      </c>
      <c r="I4" s="68"/>
      <c r="J4" s="68"/>
      <c r="K4" s="291" t="s">
        <v>314</v>
      </c>
      <c r="L4" s="291" t="s">
        <v>274</v>
      </c>
      <c r="M4" s="291" t="s">
        <v>314</v>
      </c>
      <c r="N4" s="291" t="s">
        <v>274</v>
      </c>
    </row>
    <row r="5" spans="1:22" ht="66" customHeight="1" x14ac:dyDescent="0.35">
      <c r="A5" s="68"/>
      <c r="B5" s="164" t="str">
        <f>Akseptkriterier!$D$7</f>
        <v>Stor</v>
      </c>
      <c r="C5" s="80">
        <v>4</v>
      </c>
      <c r="D5" s="292" t="str">
        <f ca="1">ProbSevScore($C5,$D$3,Risikovurdering_data!$A$3:$A$493)</f>
        <v/>
      </c>
      <c r="E5" s="290" t="str">
        <f ca="1">ProbSevScore($C5,$E$3,Risikovurdering_data!$A$3:$A$493)</f>
        <v/>
      </c>
      <c r="F5" s="290" t="str">
        <f ca="1">ProbSevScore($C5,$F$3,Risikovurdering_data!$A$3:$A$493)</f>
        <v/>
      </c>
      <c r="G5" s="290" t="str">
        <f ca="1">ProbSevScore($C5,$G$3,Risikovurdering_data!$A$3:$A$493)</f>
        <v/>
      </c>
      <c r="H5" s="290" t="str">
        <f ca="1">ProbSevScore($C5,$H$3,Risikovurdering_data!$A$3:$A$493)</f>
        <v/>
      </c>
      <c r="I5" s="68"/>
      <c r="J5" s="68"/>
      <c r="K5" s="293" t="str">
        <f ca="1">IF(OFFSET(Risikovurdering!$C$5,(ROW(C1)-1)*10,0)="","", CONCATENATE("R",OFFSET(Risikovurdering!$B$5,(ROW(C1)-1)*10,0)))</f>
        <v/>
      </c>
      <c r="L5" s="294" t="str">
        <f ca="1">IF(OFFSET(Risikovurdering!$C$5,(ROW(C1)-1)*10,0)="", "",OFFSET(Risikovurdering!$C$5,(ROW(C1)-1)*10,0))</f>
        <v/>
      </c>
      <c r="M5" s="295" t="str">
        <f ca="1">IF(OFFSET(Risikovurdering!$C$5,(ROW(C2)-1)*10,0)="","", CONCATENATE("R",OFFSET(Risikovurdering!$B$5,(ROW(C2)-1)*10,0)))</f>
        <v/>
      </c>
      <c r="N5" s="296" t="str">
        <f ca="1">IF(OFFSET(Risikovurdering!$C$5,(ROW(C2)-1)*10,0)="", "",OFFSET(Risikovurdering!$C$5,(ROW(C2)-1)*10,0))</f>
        <v/>
      </c>
    </row>
    <row r="6" spans="1:22" ht="66" customHeight="1" x14ac:dyDescent="0.35">
      <c r="A6" s="68"/>
      <c r="B6" s="164" t="str">
        <f>Akseptkriterier!$D$6</f>
        <v>Moderat</v>
      </c>
      <c r="C6" s="80">
        <v>3</v>
      </c>
      <c r="D6" s="292" t="str">
        <f ca="1">ProbSevScore($C6,$D$3,Risikovurdering_data!$A$3:$A$493)</f>
        <v/>
      </c>
      <c r="E6" s="290" t="str">
        <f ca="1">ProbSevScore($C6,$E$3,Risikovurdering_data!$A$3:$A$493)</f>
        <v/>
      </c>
      <c r="F6" s="290" t="str">
        <f ca="1">ProbSevScore($C6,$F$3,Risikovurdering_data!$A$3:$A$493)</f>
        <v/>
      </c>
      <c r="G6" s="290" t="str">
        <f ca="1">ProbSevScore($C6,$G$3,Risikovurdering_data!$A$3:$A$493)</f>
        <v/>
      </c>
      <c r="H6" s="290" t="str">
        <f ca="1">ProbSevScore($C6,$H$3,Risikovurdering_data!$A$3:$A$493)</f>
        <v/>
      </c>
      <c r="I6" s="68"/>
      <c r="J6" s="68"/>
      <c r="K6" s="297" t="str">
        <f ca="1">IF(OFFSET(Risikovurdering!$C$5,(ROW(C3)-1)*10,0)="","", CONCATENATE("R",OFFSET(Risikovurdering!$B$5,(ROW(C3)-1)*10,0)))</f>
        <v/>
      </c>
      <c r="L6" s="298" t="str">
        <f ca="1">IF(OFFSET(Risikovurdering!$C$5,(ROW(C3)-1)*10,0)="", "",OFFSET(Risikovurdering!$C$5,(ROW(C3)-1)*10,0))</f>
        <v/>
      </c>
      <c r="M6" s="299" t="str">
        <f ca="1">IF(OFFSET(Risikovurdering!$C$5,(ROW(C4)-1)*10,0)="","", CONCATENATE("R",OFFSET(Risikovurdering!$B$5,(ROW(C4)-1)*10,0)))</f>
        <v/>
      </c>
      <c r="N6" s="298" t="str">
        <f ca="1">IF(OFFSET(Risikovurdering!$C$5,(ROW(C4)-1)*10,0)="", "",OFFSET(Risikovurdering!$C$5,(ROW(C4)-1)*10,0))</f>
        <v/>
      </c>
    </row>
    <row r="7" spans="1:22" ht="65.45" customHeight="1" x14ac:dyDescent="0.35">
      <c r="A7" s="68"/>
      <c r="B7" s="164" t="str">
        <f>Akseptkriterier!$D$5</f>
        <v>Liten</v>
      </c>
      <c r="C7" s="80">
        <v>2</v>
      </c>
      <c r="D7" s="292" t="str">
        <f ca="1">ProbSevScore($C7,$D$3,Risikovurdering_data!$A$3:$A$493)</f>
        <v/>
      </c>
      <c r="E7" s="290" t="str">
        <f ca="1">ProbSevScore($C7,$E$3,Risikovurdering_data!$A$3:$A$493)</f>
        <v/>
      </c>
      <c r="F7" s="290" t="str">
        <f ca="1">ProbSevScore($C7,$F$3,Risikovurdering_data!$A$3:$A$493)</f>
        <v/>
      </c>
      <c r="G7" s="290" t="str">
        <f ca="1">ProbSevScore($C7,$G$3,Risikovurdering_data!$A$3:$A$493)</f>
        <v/>
      </c>
      <c r="H7" s="290" t="str">
        <f ca="1">ProbSevScore($C7,$H$3,Risikovurdering_data!$A$3:$A$493)</f>
        <v/>
      </c>
      <c r="I7" s="68"/>
      <c r="J7" s="68"/>
      <c r="K7" s="297" t="str">
        <f ca="1">IF(OFFSET(Risikovurdering!$C$5,(ROW(C5)-1)*10,0)="","", CONCATENATE("R",OFFSET(Risikovurdering!$B$5,(ROW(C5)-1)*10,0)))</f>
        <v/>
      </c>
      <c r="L7" s="298" t="str">
        <f ca="1">IF(OFFSET(Risikovurdering!$C$5,(ROW(C5)-1)*10,0)="", "",OFFSET(Risikovurdering!$C$5,(ROW(C5)-1)*10,0))</f>
        <v/>
      </c>
      <c r="M7" s="299" t="str">
        <f ca="1">IF(OFFSET(Risikovurdering!$C$5,(ROW(C6)-1)*10,0)="","", CONCATENATE("R",OFFSET(Risikovurdering!$B$5,(ROW(C6)-1)*10,0)))</f>
        <v/>
      </c>
      <c r="N7" s="298" t="str">
        <f ca="1">IF(OFFSET(Risikovurdering!$C$5,(ROW(C6)-1)*10,0)="", "",OFFSET(Risikovurdering!$C$5,(ROW(C6)-1)*10,0))</f>
        <v/>
      </c>
    </row>
    <row r="8" spans="1:22" ht="65.45" customHeight="1" x14ac:dyDescent="0.35">
      <c r="A8" s="68"/>
      <c r="B8" s="164" t="str">
        <f>Akseptkriterier!$D$4</f>
        <v>Meget liten</v>
      </c>
      <c r="C8" s="80">
        <v>1</v>
      </c>
      <c r="D8" s="292" t="str">
        <f ca="1">ProbSevScore($C8,$D$3,Risikovurdering_data!$A$3:$A$493)</f>
        <v/>
      </c>
      <c r="E8" s="290" t="str">
        <f ca="1">ProbSevScore($C8,$E$3,Risikovurdering_data!$A$3:$A$493)</f>
        <v/>
      </c>
      <c r="F8" s="290" t="str">
        <f ca="1">ProbSevScore($C8,$F$3,Risikovurdering_data!$A$3:$A$493)</f>
        <v/>
      </c>
      <c r="G8" s="290" t="str">
        <f ca="1">ProbSevScore($C8,$G$3,Risikovurdering_data!$A$3:$A$493)</f>
        <v/>
      </c>
      <c r="H8" s="290" t="str">
        <f ca="1">ProbSevScore($C8,$H$3,Risikovurdering_data!$A$3:$A$493)</f>
        <v/>
      </c>
      <c r="I8" s="68"/>
      <c r="J8" s="68"/>
      <c r="K8" s="297" t="str">
        <f ca="1">IF(OFFSET(Risikovurdering!$C$5,(ROW(C7)-1)*10,0)="","", CONCATENATE("R",OFFSET(Risikovurdering!$B$5,(ROW(C7)-1)*10,0)))</f>
        <v/>
      </c>
      <c r="L8" s="298" t="str">
        <f ca="1">IF(OFFSET(Risikovurdering!$C$5,(ROW(C5)-1)*10,0)="", "",OFFSET(Risikovurdering!$C$5,(ROW(C7)-1)*10,0))</f>
        <v/>
      </c>
      <c r="M8" s="299" t="str">
        <f ca="1">IF(OFFSET(Risikovurdering!$C$5,(ROW(C8)-1)*10,0)="","", CONCATENATE("R",OFFSET(Risikovurdering!$B$5,(ROW(C8)-1)*10,0)))</f>
        <v/>
      </c>
      <c r="N8" s="298" t="str">
        <f ca="1">IF(OFFSET(Risikovurdering!$C$5,(ROW(C8)-1)*10,0)="", "",OFFSET(Risikovurdering!$C$5,(ROW(C8)-1)*10,0))</f>
        <v/>
      </c>
    </row>
    <row r="9" spans="1:22" ht="20.25" customHeight="1" x14ac:dyDescent="0.35">
      <c r="A9" s="68"/>
      <c r="B9" s="68"/>
      <c r="C9" s="68"/>
      <c r="D9" s="300" t="str">
        <f>Akseptkriterier!$F$4</f>
        <v>Ubetydelig</v>
      </c>
      <c r="E9" s="300" t="str">
        <f>Akseptkriterier!$F$5</f>
        <v>Lav</v>
      </c>
      <c r="F9" s="300" t="str">
        <f>Akseptkriterier!$F$6</f>
        <v>Moderat</v>
      </c>
      <c r="G9" s="300" t="str">
        <f>Akseptkriterier!$F$7</f>
        <v>Alvorlig</v>
      </c>
      <c r="H9" s="300" t="str">
        <f>Akseptkriterier!$F$8</f>
        <v>Svært alvorlig</v>
      </c>
      <c r="I9" s="68"/>
      <c r="J9" s="68"/>
      <c r="K9" s="476" t="str">
        <f ca="1">IF(OFFSET(Risikovurdering!$C$5,(ROW(C9)-1)*10,0)="","", CONCATENATE("R",OFFSET(Risikovurdering!$B$5,(ROW(C9)-1)*10,0)))</f>
        <v/>
      </c>
      <c r="L9" s="475" t="str">
        <f ca="1">IF(OFFSET(Risikovurdering!$C$5,(ROW(C9)-1)*10,0)="", "",OFFSET(Risikovurdering!$C$5,(ROW(C9)-1)*10,0))</f>
        <v/>
      </c>
      <c r="M9" s="477" t="str">
        <f ca="1">IF(OFFSET(Risikovurdering!$C$5,(ROW(C10)-1)*10,0)="","", CONCATENATE("R",OFFSET(Risikovurdering!$B$5,(ROW(C10)-1)*10,0)))</f>
        <v/>
      </c>
      <c r="N9" s="475" t="str">
        <f ca="1">IF(OFFSET(Risikovurdering!$C$5,(ROW(C10)-1)*10,0)="", "",OFFSET(Risikovurdering!$C$5,(ROW(C10)-1)*10,0))</f>
        <v/>
      </c>
    </row>
    <row r="10" spans="1:22" ht="27.75" customHeight="1" x14ac:dyDescent="0.5">
      <c r="A10" s="68"/>
      <c r="B10" s="68"/>
      <c r="C10" s="68"/>
      <c r="D10" s="68"/>
      <c r="E10" s="68"/>
      <c r="F10" s="289" t="s">
        <v>318</v>
      </c>
      <c r="G10" s="68"/>
      <c r="H10" s="68"/>
      <c r="I10" s="68"/>
      <c r="J10" s="68"/>
      <c r="K10" s="476"/>
      <c r="L10" s="475"/>
      <c r="M10" s="477"/>
      <c r="N10" s="475"/>
    </row>
    <row r="11" spans="1:22" ht="9.9499999999999993" customHeight="1" x14ac:dyDescent="0.35">
      <c r="A11" s="68"/>
      <c r="B11" s="68"/>
      <c r="C11" s="68"/>
      <c r="D11" s="68"/>
      <c r="E11" s="68"/>
      <c r="F11" s="68"/>
      <c r="G11" s="68"/>
      <c r="H11" s="68"/>
      <c r="I11" s="68"/>
      <c r="J11" s="68"/>
      <c r="K11" s="476"/>
      <c r="L11" s="475"/>
      <c r="M11" s="477"/>
      <c r="N11" s="475"/>
    </row>
    <row r="12" spans="1:22" ht="60" hidden="1" customHeight="1" x14ac:dyDescent="0.35">
      <c r="A12" s="68"/>
      <c r="B12" s="68"/>
      <c r="C12" s="68"/>
      <c r="D12" s="68"/>
      <c r="E12" s="68"/>
      <c r="F12" s="68"/>
      <c r="G12" s="68"/>
      <c r="H12" s="68"/>
      <c r="I12" s="68"/>
      <c r="J12" s="68"/>
      <c r="K12" s="476"/>
      <c r="L12" s="475"/>
      <c r="M12" s="477"/>
      <c r="N12" s="475"/>
      <c r="U12" s="1" t="str">
        <f ca="1">IF(OFFSET(Risikovurdering!$C$5,(ROW(C8)-1)*10,0)="","", CONCATENATE("R",OFFSET(Risikovurdering!$B$5,(ROW(C8)-1)*10,0)))</f>
        <v/>
      </c>
      <c r="V12" s="1" t="str">
        <f ca="1">IF(OFFSET(Risikovurdering!$C$5,(ROW(C8)-1)*10,0)="", "",OFFSET(Risikovurdering!$C$5,(ROW(C8)-1)*10,0))</f>
        <v/>
      </c>
    </row>
    <row r="13" spans="1:22" ht="28.5" customHeight="1" x14ac:dyDescent="0.5">
      <c r="A13" s="68"/>
      <c r="B13" s="68"/>
      <c r="C13" s="68"/>
      <c r="D13" s="289" t="s">
        <v>229</v>
      </c>
      <c r="E13" s="68"/>
      <c r="F13" s="68"/>
      <c r="G13" s="68"/>
      <c r="H13" s="68"/>
      <c r="I13" s="68"/>
      <c r="J13" s="68"/>
      <c r="K13" s="476"/>
      <c r="L13" s="475"/>
      <c r="M13" s="477"/>
      <c r="N13" s="475"/>
    </row>
    <row r="14" spans="1:22" ht="26.45" hidden="1" customHeight="1" x14ac:dyDescent="0.35">
      <c r="A14" s="68"/>
      <c r="B14" s="68"/>
      <c r="C14" s="68"/>
      <c r="D14" s="127">
        <v>1</v>
      </c>
      <c r="E14" s="127">
        <v>2</v>
      </c>
      <c r="F14" s="127">
        <v>3</v>
      </c>
      <c r="G14" s="127">
        <v>4</v>
      </c>
      <c r="H14" s="127">
        <v>5</v>
      </c>
      <c r="I14" s="68"/>
      <c r="J14" s="68"/>
      <c r="K14" s="297" t="str">
        <f ca="1">IF(OFFSET(Risikovurdering!$C$5,(ROW(C10)-1)*10,0)="","", CONCATENATE("R",OFFSET(Risikovurdering!$B$5,(ROW(C10)-1)*10,0)))</f>
        <v/>
      </c>
      <c r="L14" s="301" t="str">
        <f ca="1">IF(OFFSET(Risikovurdering!$C$5,(ROW(C10)-1)*10,0)="", "",OFFSET(Risikovurdering!$C$5,(ROW(C10)-1)*10,0))</f>
        <v/>
      </c>
      <c r="M14" s="302"/>
      <c r="N14" s="298"/>
    </row>
    <row r="15" spans="1:22" ht="66" customHeight="1" x14ac:dyDescent="0.35">
      <c r="A15" s="68"/>
      <c r="B15" s="164" t="str">
        <f>Akseptkriterier!D$8</f>
        <v>Svært stor</v>
      </c>
      <c r="C15" s="80">
        <v>5</v>
      </c>
      <c r="D15" s="290" t="str">
        <f ca="1">ProbSevScore2($C15,$D$14,Risikovurdering_data!$A$3:$A$493)</f>
        <v/>
      </c>
      <c r="E15" s="290" t="str">
        <f ca="1">ProbSevScore2($C15,$E$14,Risikovurdering_data!$A$3:$A$493)</f>
        <v/>
      </c>
      <c r="F15" s="290" t="str">
        <f ca="1">ProbSevScore2($C15,$F$14,Risikovurdering_data!$A$3:$A$493)</f>
        <v/>
      </c>
      <c r="G15" s="290" t="str">
        <f ca="1">ProbSevScore2($C15,$G$14,Risikovurdering_data!$A$3:$A$493)</f>
        <v/>
      </c>
      <c r="H15" s="303" t="str">
        <f ca="1">ProbSevScore2($C15,$H$14,Risikovurdering_data!$A$3:$A$493)</f>
        <v/>
      </c>
      <c r="I15" s="68"/>
      <c r="J15" s="68"/>
      <c r="K15" s="297" t="str">
        <f ca="1">IF(OFFSET(Risikovurdering!$C$5,(ROW(C11)-1)*10,0)="","", CONCATENATE("R",OFFSET(Risikovurdering!$B$5,(ROW(C11)-1)*10,0)))</f>
        <v/>
      </c>
      <c r="L15" s="298" t="str">
        <f ca="1">IF(OFFSET(Risikovurdering!$C$5,(ROW(C11)-1)*10,0)="", "",OFFSET(Risikovurdering!$C$5,(ROW(C11)-1)*10,0))</f>
        <v/>
      </c>
      <c r="M15" s="299" t="str">
        <f ca="1">IF(OFFSET(Risikovurdering!$C$5,(ROW(C12)-1)*10,0)="","", CONCATENATE("R",OFFSET(Risikovurdering!$B$5,(ROW(C12)-1)*10,0)))</f>
        <v/>
      </c>
      <c r="N15" s="298" t="str">
        <f ca="1">IF(OFFSET(Risikovurdering!$C$5,(ROW(C12)-1)*10,0)="", "",OFFSET(Risikovurdering!$C$5,(ROW(C12)-1)*10,0))</f>
        <v/>
      </c>
    </row>
    <row r="16" spans="1:22" ht="66" customHeight="1" x14ac:dyDescent="0.35">
      <c r="A16" s="68"/>
      <c r="B16" s="164" t="str">
        <f>Akseptkriterier!$D$7</f>
        <v>Stor</v>
      </c>
      <c r="C16" s="80">
        <v>4</v>
      </c>
      <c r="D16" s="290" t="str">
        <f ca="1">ProbSevScore2($C16,$D$14,Risikovurdering_data!$A$3:$A$493)</f>
        <v/>
      </c>
      <c r="E16" s="290" t="str">
        <f ca="1">ProbSevScore2($C16,$E$14,Risikovurdering_data!$A$3:$A$493)</f>
        <v/>
      </c>
      <c r="F16" s="290" t="str">
        <f ca="1">ProbSevScore2($C16,$F$14,Risikovurdering_data!$A$3:$A$493)</f>
        <v/>
      </c>
      <c r="G16" s="290" t="str">
        <f ca="1">ProbSevScore2($C16,$G$14,Risikovurdering_data!$A$3:$A$493)</f>
        <v/>
      </c>
      <c r="H16" s="303" t="str">
        <f ca="1">ProbSevScore2($C16,$H$14,Risikovurdering_data!$A$3:$A$493)</f>
        <v/>
      </c>
      <c r="I16" s="68"/>
      <c r="J16" s="68"/>
      <c r="K16" s="297" t="str">
        <f ca="1">IF(OFFSET(Risikovurdering!$C$5,(ROW(C13)-1)*10,0)="","", CONCATENATE("R",OFFSET(Risikovurdering!$B$5,(ROW(C13)-1)*10,0)))</f>
        <v/>
      </c>
      <c r="L16" s="298" t="str">
        <f ca="1">IF(OFFSET(Risikovurdering!$C$5,(ROW(C13)-1)*10,0)="", "",OFFSET(Risikovurdering!$C$5,(ROW(C13)-1)*10,0))</f>
        <v/>
      </c>
      <c r="M16" s="299" t="str">
        <f ca="1">IF(OFFSET(Risikovurdering!$C$5,(ROW(C14)-1)*10,0)="","", CONCATENATE("R",OFFSET(Risikovurdering!$B$5,(ROW(C14)-1)*10,0)))</f>
        <v/>
      </c>
      <c r="N16" s="298" t="str">
        <f ca="1">IF(OFFSET(Risikovurdering!$C$5,(ROW(C14)-1)*10,0)="", "",OFFSET(Risikovurdering!$C$5,(ROW(C14)-1)*10,0))</f>
        <v/>
      </c>
    </row>
    <row r="17" spans="1:14" ht="66" customHeight="1" x14ac:dyDescent="0.35">
      <c r="A17" s="304"/>
      <c r="B17" s="164" t="str">
        <f>Akseptkriterier!$D$6</f>
        <v>Moderat</v>
      </c>
      <c r="C17" s="80">
        <v>3</v>
      </c>
      <c r="D17" s="290" t="str">
        <f ca="1">ProbSevScore2($C17,$D$14,Risikovurdering_data!$A$3:$A$493)</f>
        <v/>
      </c>
      <c r="E17" s="290" t="str">
        <f ca="1">ProbSevScore2($C17,$E$14,Risikovurdering_data!$A$3:$A$493)</f>
        <v/>
      </c>
      <c r="F17" s="290" t="str">
        <f ca="1">ProbSevScore2($C17,$F$14,Risikovurdering_data!$A$3:$A$493)</f>
        <v/>
      </c>
      <c r="G17" s="290" t="str">
        <f ca="1">ProbSevScore2($C17,$G$14,Risikovurdering_data!$A$3:$A$493)</f>
        <v/>
      </c>
      <c r="H17" s="303" t="str">
        <f ca="1">ProbSevScore2($C17,$H$14,Risikovurdering_data!$A$3:$A$493)</f>
        <v/>
      </c>
      <c r="I17" s="68"/>
      <c r="J17" s="68"/>
      <c r="K17" s="297" t="str">
        <f ca="1">IF(OFFSET(Risikovurdering!$C$5,(ROW(C15)-1)*10,0)="","", CONCATENATE("R",OFFSET(Risikovurdering!$B$5,(ROW(C15)-1)*10,0)))</f>
        <v/>
      </c>
      <c r="L17" s="298" t="str">
        <f ca="1">IF(OFFSET(Risikovurdering!$C$5,(ROW(C15)-1)*10,0)="", "",OFFSET(Risikovurdering!$C$5,(ROW(C15)-1)*10,0))</f>
        <v/>
      </c>
      <c r="M17" s="299" t="str">
        <f ca="1">IF(OFFSET(Risikovurdering!$C$5,(ROW(C16)-1)*10,0)="","", CONCATENATE("R",OFFSET(Risikovurdering!$B$5,(ROW(C16)-1)*10,0)))</f>
        <v/>
      </c>
      <c r="N17" s="298" t="str">
        <f ca="1">IF(OFFSET(Risikovurdering!$C$5,(ROW(C16)-1)*10,0)="", "",OFFSET(Risikovurdering!$C$5,(ROW(C16)-1)*10,0))</f>
        <v/>
      </c>
    </row>
    <row r="18" spans="1:14" ht="66" customHeight="1" x14ac:dyDescent="0.35">
      <c r="A18" s="68"/>
      <c r="B18" s="164" t="str">
        <f>Akseptkriterier!$D$5</f>
        <v>Liten</v>
      </c>
      <c r="C18" s="80">
        <v>2</v>
      </c>
      <c r="D18" s="290" t="str">
        <f ca="1">ProbSevScore2($C18,$D$14,Risikovurdering_data!$A$3:$A$493)</f>
        <v/>
      </c>
      <c r="E18" s="290" t="str">
        <f ca="1">ProbSevScore2($C18,$E$14,Risikovurdering_data!$A$3:$A$493)</f>
        <v/>
      </c>
      <c r="F18" s="290" t="str">
        <f ca="1">ProbSevScore2($C18,$F$14,Risikovurdering_data!$A$3:$A$493)</f>
        <v/>
      </c>
      <c r="G18" s="290" t="str">
        <f ca="1">ProbSevScore2($C18,$G$14,Risikovurdering_data!$A$3:$A$493)</f>
        <v/>
      </c>
      <c r="H18" s="303" t="str">
        <f ca="1">ProbSevScore2($C18,$H$14,Risikovurdering_data!$A$3:$A$493)</f>
        <v/>
      </c>
      <c r="I18" s="68"/>
      <c r="J18" s="68"/>
      <c r="K18" s="297" t="str">
        <f ca="1">IF(OFFSET(Risikovurdering!$C$5,(ROW(C17)-1)*10,0)="","", CONCATENATE("R",OFFSET(Risikovurdering!$B$5,(ROW(C17)-1)*10,0)))</f>
        <v/>
      </c>
      <c r="L18" s="298" t="str">
        <f ca="1">IF(OFFSET(Risikovurdering!$C$5,(ROW(C17)-1)*10,0)="", "",OFFSET(Risikovurdering!$C$5,(ROW(C17)-1)*10,0))</f>
        <v/>
      </c>
      <c r="M18" s="299" t="str">
        <f ca="1">IF(OFFSET(Risikovurdering!$C$5,(ROW(C18)-1)*10,0)="","", CONCATENATE("R",OFFSET(Risikovurdering!$B$5,(ROW(C18)-1)*10,0)))</f>
        <v/>
      </c>
      <c r="N18" s="298" t="str">
        <f ca="1">IF(OFFSET(Risikovurdering!$C$5,(ROW(C18)-1)*10,0)="", "",OFFSET(Risikovurdering!$C$5,(ROW(C18)-1)*10,0))</f>
        <v/>
      </c>
    </row>
    <row r="19" spans="1:14" ht="66" customHeight="1" x14ac:dyDescent="0.35">
      <c r="A19" s="68"/>
      <c r="B19" s="164" t="str">
        <f>Akseptkriterier!$D$4</f>
        <v>Meget liten</v>
      </c>
      <c r="C19" s="80">
        <v>1</v>
      </c>
      <c r="D19" s="290" t="str">
        <f ca="1">ProbSevScore2($C19,$D$14,Risikovurdering_data!$A$3:$A$493)</f>
        <v/>
      </c>
      <c r="E19" s="290" t="str">
        <f ca="1">ProbSevScore2($C19,$E$14,Risikovurdering_data!$A$3:$A$493)</f>
        <v/>
      </c>
      <c r="F19" s="290" t="str">
        <f ca="1">ProbSevScore2($C19,$F$14,Risikovurdering_data!$A$3:$A$493)</f>
        <v/>
      </c>
      <c r="G19" s="290" t="str">
        <f ca="1">ProbSevScore2($C19,$G$14,Risikovurdering_data!$A$3:$A$493)</f>
        <v/>
      </c>
      <c r="H19" s="303" t="str">
        <f ca="1">ProbSevScore2($C19,$H$14,Risikovurdering_data!$A$3:$A$493)</f>
        <v/>
      </c>
      <c r="I19" s="68"/>
      <c r="J19" s="68"/>
      <c r="K19" s="297" t="str">
        <f ca="1">IF(OFFSET(Risikovurdering!$C$5,(ROW(C19)-1)*10,0)="","", CONCATENATE("R",OFFSET(Risikovurdering!$B$5,(ROW(C19)-1)*10,0)))</f>
        <v/>
      </c>
      <c r="L19" s="298" t="str">
        <f ca="1">IF(OFFSET(Risikovurdering!$C$5,(ROW(C19)-1)*10,0)="", "",OFFSET(Risikovurdering!$C$5,(ROW(C19)-1)*10,0))</f>
        <v/>
      </c>
      <c r="M19" s="299" t="str">
        <f ca="1">IF(OFFSET(Risikovurdering!$C$5,(ROW(C20)-1)*10,0)="","", CONCATENATE("R",OFFSET(Risikovurdering!$B$5,(ROW(C20)-1)*10,0)))</f>
        <v/>
      </c>
      <c r="N19" s="298" t="str">
        <f ca="1">IF(OFFSET(Risikovurdering!$C$5,(ROW(C20)-1)*10,0)="", "",OFFSET(Risikovurdering!$C$5,(ROW(C20)-1)*10,0))</f>
        <v/>
      </c>
    </row>
    <row r="20" spans="1:14" ht="20.25" customHeight="1" x14ac:dyDescent="0.35">
      <c r="A20" s="68"/>
      <c r="B20" s="68"/>
      <c r="C20" s="68"/>
      <c r="D20" s="300" t="str">
        <f>Akseptkriterier!$F$4</f>
        <v>Ubetydelig</v>
      </c>
      <c r="E20" s="300" t="str">
        <f>Akseptkriterier!$F$5</f>
        <v>Lav</v>
      </c>
      <c r="F20" s="300" t="str">
        <f>Akseptkriterier!$F$6</f>
        <v>Moderat</v>
      </c>
      <c r="G20" s="300" t="str">
        <f>Akseptkriterier!$F$7</f>
        <v>Alvorlig</v>
      </c>
      <c r="H20" s="300" t="str">
        <f>Akseptkriterier!$F$8</f>
        <v>Svært alvorlig</v>
      </c>
      <c r="I20" s="68"/>
      <c r="J20" s="68"/>
      <c r="K20" s="476" t="str">
        <f ca="1">IF(OFFSET(Risikovurdering!$C$5,(ROW(C21)-1)*10,0)="","", CONCATENATE("R",OFFSET(Risikovurdering!$B$5,(ROW(C21)-1)*10,0)))</f>
        <v/>
      </c>
      <c r="L20" s="475" t="str">
        <f ca="1">IF(OFFSET(Risikovurdering!$C$5,(ROW(C21)-1)*10,0)="", "",OFFSET(Risikovurdering!$C$5,(ROW(C21)-1)*10,0))</f>
        <v/>
      </c>
      <c r="M20" s="477" t="str">
        <f ca="1">IF(OFFSET(Risikovurdering!$C$5,(ROW(C22)-1)*10,0)="","", CONCATENATE("R",OFFSET(Risikovurdering!$B$5,(ROW(C22)-1)*10,0)))</f>
        <v/>
      </c>
      <c r="N20" s="475" t="str">
        <f ca="1">IF(OFFSET(Risikovurdering!$C$5,(ROW(C22)-1)*10,0)="", "",OFFSET(Risikovurdering!$C$5,(ROW(C22)-1)*10,0))</f>
        <v/>
      </c>
    </row>
    <row r="21" spans="1:14" ht="18.75" customHeight="1" x14ac:dyDescent="0.45">
      <c r="A21" s="68"/>
      <c r="B21" s="68"/>
      <c r="C21" s="68"/>
      <c r="D21" s="68"/>
      <c r="E21" s="68"/>
      <c r="F21" s="305" t="s">
        <v>318</v>
      </c>
      <c r="G21" s="68"/>
      <c r="H21" s="68"/>
      <c r="I21" s="68"/>
      <c r="J21" s="68"/>
      <c r="K21" s="476"/>
      <c r="L21" s="475"/>
      <c r="M21" s="477"/>
      <c r="N21" s="475"/>
    </row>
    <row r="22" spans="1:14" ht="18.75" customHeight="1" x14ac:dyDescent="0.35">
      <c r="A22" s="68"/>
      <c r="B22" s="68"/>
      <c r="C22" s="68"/>
      <c r="D22" s="68"/>
      <c r="E22" s="68"/>
      <c r="F22" s="68"/>
      <c r="G22" s="68"/>
      <c r="H22" s="68"/>
      <c r="I22" s="68"/>
      <c r="J22" s="68"/>
      <c r="K22" s="476"/>
      <c r="L22" s="475"/>
      <c r="M22" s="477"/>
      <c r="N22" s="475"/>
    </row>
    <row r="23" spans="1:14" ht="6.95" customHeight="1" x14ac:dyDescent="0.35">
      <c r="A23" s="68"/>
      <c r="B23" s="68"/>
      <c r="C23" s="68"/>
      <c r="D23" s="68"/>
      <c r="E23" s="68"/>
      <c r="F23" s="68"/>
      <c r="G23" s="68"/>
      <c r="H23" s="68"/>
      <c r="I23" s="68"/>
      <c r="J23" s="68"/>
      <c r="K23" s="476"/>
      <c r="L23" s="475"/>
      <c r="M23" s="477"/>
      <c r="N23" s="475"/>
    </row>
    <row r="24" spans="1:14" ht="66" customHeight="1" x14ac:dyDescent="0.35">
      <c r="A24" s="68"/>
      <c r="B24" s="68"/>
      <c r="C24" s="68"/>
      <c r="D24" s="68"/>
      <c r="E24" s="68"/>
      <c r="F24" s="68"/>
      <c r="G24" s="68"/>
      <c r="H24" s="68"/>
      <c r="I24" s="68"/>
      <c r="J24" s="68"/>
      <c r="K24" s="297" t="str">
        <f ca="1">IF(OFFSET(Risikovurdering!$C$5,(ROW(C23)-1)*10,0)="","", CONCATENATE("R",OFFSET(Risikovurdering!$B$5,(ROW(C23)-1)*10,0)))</f>
        <v/>
      </c>
      <c r="L24" s="298" t="str">
        <f ca="1">IF(OFFSET(Risikovurdering!$C$5,(ROW(C23)-1)*10,0)="", "",OFFSET(Risikovurdering!$C$5,(ROW(C23)-1)*10,0))</f>
        <v/>
      </c>
      <c r="M24" s="299" t="str">
        <f ca="1">IF(OFFSET(Risikovurdering!$C$5,(ROW(C24)-1)*10,0)="","", CONCATENATE("R",OFFSET(Risikovurdering!$B$5,(ROW(C24)-1)*10,0)))</f>
        <v/>
      </c>
      <c r="N24" s="306" t="str">
        <f ca="1">IF(OFFSET(Risikovurdering!$C$5,(ROW(C24)-1)*10,0)="", "",OFFSET(Risikovurdering!$C$5,(ROW(C24)-1)*10,0))</f>
        <v/>
      </c>
    </row>
    <row r="25" spans="1:14" ht="66" customHeight="1" x14ac:dyDescent="0.35">
      <c r="A25" s="68"/>
      <c r="B25" s="68"/>
      <c r="C25" s="68"/>
      <c r="D25" s="68"/>
      <c r="E25" s="68"/>
      <c r="F25" s="68"/>
      <c r="G25" s="68"/>
      <c r="H25" s="68"/>
      <c r="I25" s="68"/>
      <c r="J25" s="68"/>
      <c r="K25" s="297" t="str">
        <f ca="1">IF(OFFSET(Risikovurdering!$C$5,(ROW(C25)-1)*10,0)="","", CONCATENATE("R",OFFSET(Risikovurdering!$B$5,(ROW(C25)-1)*10,0)))</f>
        <v/>
      </c>
      <c r="L25" s="298" t="str">
        <f ca="1">IF(OFFSET(Risikovurdering!$C$5,(ROW(C25)-1)*10,0)="", "",OFFSET(Risikovurdering!$C$5,(ROW(C25)-1)*10,0))</f>
        <v/>
      </c>
      <c r="M25" s="299" t="str">
        <f ca="1">IF(OFFSET(Risikovurdering!$C$5,(ROW(C26)-1)*10,0)="","", CONCATENATE("R",OFFSET(Risikovurdering!$B$5,(ROW(C26)-1)*10,0)))</f>
        <v/>
      </c>
      <c r="N25" s="306" t="str">
        <f ca="1">IF(OFFSET(Risikovurdering!$C$5,(ROW(C26)-1)*10,0)="", "",OFFSET(Risikovurdering!$C$5,(ROW(C26)-1)*10,0))</f>
        <v/>
      </c>
    </row>
    <row r="26" spans="1:14" ht="66" customHeight="1" x14ac:dyDescent="0.35">
      <c r="A26" s="68"/>
      <c r="B26" s="68"/>
      <c r="C26" s="68"/>
      <c r="D26" s="68"/>
      <c r="E26" s="68"/>
      <c r="F26" s="68"/>
      <c r="G26" s="68"/>
      <c r="H26" s="68"/>
      <c r="I26" s="68"/>
      <c r="J26" s="68"/>
      <c r="K26" s="297" t="str">
        <f ca="1">IF(OFFSET(Risikovurdering!$C$5,(ROW(C27)-1)*10,0)="","", CONCATENATE("R",OFFSET(Risikovurdering!$B$5,(ROW(C27)-1)*10,0)))</f>
        <v/>
      </c>
      <c r="L26" s="298" t="str">
        <f ca="1">IF(OFFSET(Risikovurdering!$C$5,(ROW(C27)-1)*10,0)="", "",OFFSET(Risikovurdering!$C$5,(ROW(C27)-1)*10,0))</f>
        <v/>
      </c>
      <c r="M26" s="299" t="str">
        <f ca="1">IF(OFFSET(Risikovurdering!$C$5,(ROW(C28)-1)*10,0)="","", CONCATENATE("R",OFFSET(Risikovurdering!$B$5,(ROW(C28)-1)*10,0)))</f>
        <v/>
      </c>
      <c r="N26" s="306" t="str">
        <f ca="1">IF(OFFSET(Risikovurdering!$C$5,(ROW(C28)-1)*10,0)="", "",OFFSET(Risikovurdering!$C$5,(ROW(C28)-1)*10,0))</f>
        <v/>
      </c>
    </row>
    <row r="27" spans="1:14" ht="66" customHeight="1" x14ac:dyDescent="0.35">
      <c r="A27" s="68"/>
      <c r="B27" s="68"/>
      <c r="C27" s="68"/>
      <c r="D27" s="68"/>
      <c r="E27" s="68"/>
      <c r="F27" s="68"/>
      <c r="G27" s="68"/>
      <c r="H27" s="68"/>
      <c r="I27" s="68"/>
      <c r="J27" s="68"/>
      <c r="K27" s="297" t="str">
        <f ca="1">IF(OFFSET(Risikovurdering!$C$5,(ROW(C29)-1)*10,0)="","", CONCATENATE("R",OFFSET(Risikovurdering!$B$5,(ROW(C29)-1)*10,0)))</f>
        <v/>
      </c>
      <c r="L27" s="298" t="str">
        <f ca="1">IF(OFFSET(Risikovurdering!$C$5,(ROW(C29)-1)*10,0)="", "",OFFSET(Risikovurdering!$C$5,(ROW(C29)-1)*10,0))</f>
        <v/>
      </c>
      <c r="M27" s="299" t="str">
        <f ca="1">IF(OFFSET(Risikovurdering!$C$5,(ROW(C30)-1)*10,0)="","", CONCATENATE("R",OFFSET(Risikovurdering!$B$5,(ROW(C30)-1)*10,0)))</f>
        <v/>
      </c>
      <c r="N27" s="306" t="str">
        <f ca="1">IF(OFFSET(Risikovurdering!$C$5,(ROW(C30)-1)*10,0)="", "",OFFSET(Risikovurdering!$C$5,(ROW(C30)-1)*10,0))</f>
        <v/>
      </c>
    </row>
    <row r="28" spans="1:14" ht="66" customHeight="1" x14ac:dyDescent="0.35">
      <c r="A28" s="68"/>
      <c r="B28" s="68"/>
      <c r="C28" s="68"/>
      <c r="D28" s="68"/>
      <c r="E28" s="68"/>
      <c r="F28" s="68"/>
      <c r="G28" s="68"/>
      <c r="H28" s="68"/>
      <c r="I28" s="68"/>
      <c r="J28" s="68"/>
      <c r="K28" s="297" t="str">
        <f ca="1">IF(OFFSET(Risikovurdering!$C$5,(ROW(C31)-1)*10,0)="","", CONCATENATE("R",OFFSET(Risikovurdering!$B$5,(ROW(C31)-1)*10,0)))</f>
        <v/>
      </c>
      <c r="L28" s="298" t="str">
        <f ca="1">IF(OFFSET(Risikovurdering!$C$5,(ROW(C31)-1)*10,0)="", "",OFFSET(Risikovurdering!$C$5,(ROW(C31)-1)*10,0))</f>
        <v/>
      </c>
      <c r="M28" s="299" t="str">
        <f ca="1">IF(OFFSET(Risikovurdering!$C$5,(ROW(C32)-1)*10,0)="","", CONCATENATE("R",OFFSET(Risikovurdering!$B$5,(ROW(C32)-1)*10,0)))</f>
        <v/>
      </c>
      <c r="N28" s="306" t="str">
        <f ca="1">IF(OFFSET(Risikovurdering!$C$5,(ROW(C32)-1)*10,0)="", "",OFFSET(Risikovurdering!$C$5,(ROW(C32)-1)*10,0))</f>
        <v/>
      </c>
    </row>
    <row r="29" spans="1:14" ht="66" customHeight="1" x14ac:dyDescent="0.35">
      <c r="A29" s="68"/>
      <c r="B29" s="68"/>
      <c r="C29" s="68"/>
      <c r="D29" s="68"/>
      <c r="E29" s="68"/>
      <c r="F29" s="68"/>
      <c r="G29" s="68"/>
      <c r="H29" s="68"/>
      <c r="I29" s="68"/>
      <c r="J29" s="68"/>
      <c r="K29" s="297" t="str">
        <f ca="1">IF(OFFSET(Risikovurdering!$C$5,(ROW(C33)-1)*10,0)="","", CONCATENATE("R",OFFSET(Risikovurdering!$B$5,(ROW(C33)-1)*10,0)))</f>
        <v/>
      </c>
      <c r="L29" s="298" t="str">
        <f ca="1">IF(OFFSET(Risikovurdering!$C$5,(ROW(C33)-1)*10,0)="", "",OFFSET(Risikovurdering!$C$5,(ROW(C33)-1)*10,0))</f>
        <v/>
      </c>
      <c r="M29" s="299" t="str">
        <f ca="1">IF(OFFSET(Risikovurdering!$C$5,(ROW(C34)-1)*10,0)="","", CONCATENATE("R",OFFSET(Risikovurdering!$B$5,(ROW(C34)-1)*10,0)))</f>
        <v/>
      </c>
      <c r="N29" s="306" t="str">
        <f ca="1">IF(OFFSET(Risikovurdering!$C$5,(ROW(C34)-1)*10,0)="", "",OFFSET(Risikovurdering!$C$5,(ROW(C34)-1)*10,0))</f>
        <v/>
      </c>
    </row>
    <row r="30" spans="1:14" ht="17.25" x14ac:dyDescent="0.35">
      <c r="A30" s="68"/>
      <c r="B30" s="68"/>
      <c r="C30" s="68"/>
      <c r="D30" s="68"/>
      <c r="E30" s="68"/>
      <c r="F30" s="68"/>
      <c r="G30" s="68"/>
      <c r="H30" s="68"/>
      <c r="I30" s="68"/>
      <c r="J30" s="68"/>
      <c r="K30" s="68"/>
      <c r="L30" s="68"/>
      <c r="M30" s="68"/>
      <c r="N30" s="307"/>
    </row>
    <row r="31" spans="1:14" ht="17.25" x14ac:dyDescent="0.35">
      <c r="A31" s="68"/>
      <c r="B31" s="68"/>
      <c r="C31" s="68"/>
      <c r="D31" s="68"/>
      <c r="E31" s="68"/>
      <c r="F31" s="68"/>
      <c r="G31" s="68"/>
      <c r="H31" s="68"/>
      <c r="I31" s="68"/>
      <c r="J31" s="68"/>
      <c r="K31" s="68"/>
      <c r="L31" s="68"/>
      <c r="M31" s="68"/>
      <c r="N31" s="307"/>
    </row>
    <row r="32" spans="1:14" ht="17.25" x14ac:dyDescent="0.35">
      <c r="A32" s="68"/>
      <c r="B32" s="68"/>
      <c r="C32" s="68"/>
      <c r="D32" s="68"/>
      <c r="E32" s="68"/>
      <c r="F32" s="68"/>
      <c r="G32" s="68"/>
      <c r="H32" s="68"/>
      <c r="I32" s="68"/>
      <c r="J32" s="68"/>
      <c r="K32" s="68"/>
      <c r="L32" s="68"/>
      <c r="M32" s="68"/>
      <c r="N32" s="307"/>
    </row>
    <row r="33" spans="14:14" x14ac:dyDescent="0.25">
      <c r="N33" s="3"/>
    </row>
    <row r="34" spans="14:14" x14ac:dyDescent="0.25">
      <c r="N34" s="3"/>
    </row>
    <row r="35" spans="14:14" x14ac:dyDescent="0.25">
      <c r="N35" s="3"/>
    </row>
    <row r="36" spans="14:14" x14ac:dyDescent="0.25">
      <c r="N36" s="3"/>
    </row>
    <row r="37" spans="14:14" x14ac:dyDescent="0.25">
      <c r="N37" s="3"/>
    </row>
    <row r="38" spans="14:14" x14ac:dyDescent="0.25">
      <c r="N38" s="3"/>
    </row>
    <row r="39" spans="14:14" x14ac:dyDescent="0.25">
      <c r="N39" s="3"/>
    </row>
  </sheetData>
  <sheetProtection selectLockedCells="1"/>
  <mergeCells count="8">
    <mergeCell ref="N9:N13"/>
    <mergeCell ref="N20:N23"/>
    <mergeCell ref="K9:K13"/>
    <mergeCell ref="L9:L13"/>
    <mergeCell ref="K20:K23"/>
    <mergeCell ref="L20:L23"/>
    <mergeCell ref="M9:M13"/>
    <mergeCell ref="M20:M23"/>
  </mergeCells>
  <pageMargins left="0.7" right="0.7" top="0.75" bottom="0.75" header="0.3" footer="0.3"/>
  <pageSetup paperSize="9"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Ark12.SaveAsPdf">
                <anchor>
                  <from>
                    <xdr:col>1</xdr:col>
                    <xdr:colOff>228600</xdr:colOff>
                    <xdr:row>23</xdr:row>
                    <xdr:rowOff>581025</xdr:rowOff>
                  </from>
                  <to>
                    <xdr:col>5</xdr:col>
                    <xdr:colOff>466725</xdr:colOff>
                    <xdr:row>25</xdr:row>
                    <xdr:rowOff>342900</xdr:rowOff>
                  </to>
                </anchor>
              </controlPr>
            </control>
          </mc:Choice>
        </mc:AlternateContent>
        <mc:AlternateContent xmlns:mc="http://schemas.openxmlformats.org/markup-compatibility/2006">
          <mc:Choice Requires="x14">
            <control shapeId="32771" r:id="rId5" name="Button 3">
              <controlPr defaultSize="0" print="0" autoFill="0" autoPict="0" macro="[0]!CopyTabell">
                <anchor>
                  <from>
                    <xdr:col>5</xdr:col>
                    <xdr:colOff>742950</xdr:colOff>
                    <xdr:row>23</xdr:row>
                    <xdr:rowOff>600075</xdr:rowOff>
                  </from>
                  <to>
                    <xdr:col>7</xdr:col>
                    <xdr:colOff>1381125</xdr:colOff>
                    <xdr:row>25</xdr:row>
                    <xdr:rowOff>361950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94" id="{53B0D440-E28B-4312-ACCE-75596EFDE7CE}">
            <xm:f>Akseptkriterier!$G$36=Akseptkriterier!$H$4</xm:f>
            <x14:dxf>
              <fill>
                <patternFill>
                  <bgColor rgb="FF00B050"/>
                </patternFill>
              </fill>
            </x14:dxf>
          </x14:cfRule>
          <x14:cfRule type="expression" priority="2695" id="{98299B74-4EAC-4C73-B01E-1E1B2098AA46}">
            <xm:f>Akseptkriterier!$G$36=Akseptkriterier!$H$8</xm:f>
            <x14:dxf>
              <fill>
                <patternFill>
                  <bgColor rgb="FFFF0000"/>
                </patternFill>
              </fill>
            </x14:dxf>
          </x14:cfRule>
          <x14:cfRule type="expression" priority="2696" id="{1A5C94B3-18F8-4F20-8653-B87A937529D6}">
            <xm:f>Akseptkriterier!$G$36=Akseptkriterier!$H$7</xm:f>
            <x14:dxf>
              <fill>
                <patternFill>
                  <bgColor rgb="FFFFC000"/>
                </patternFill>
              </fill>
            </x14:dxf>
          </x14:cfRule>
          <x14:cfRule type="expression" priority="2697" id="{775D9BCD-C8EB-48B8-8F24-E7CCA639C0FC}">
            <xm:f>Akseptkriterier!$G$36=Akseptkriterier!$H$6</xm:f>
            <x14:dxf>
              <fill>
                <patternFill>
                  <bgColor rgb="FFFFFF00"/>
                </patternFill>
              </fill>
            </x14:dxf>
          </x14:cfRule>
          <x14:cfRule type="expression" priority="2698" id="{3F215D0D-FDC7-4E42-8DC4-517C673E1A1F}">
            <xm:f>Akseptkriterier!$G$36=Akseptkriterier!$H$5</xm:f>
            <x14:dxf>
              <fill>
                <patternFill>
                  <bgColor rgb="FF92D050"/>
                </patternFill>
              </fill>
            </x14:dxf>
          </x14:cfRule>
          <xm:sqref>G7 G18</xm:sqref>
        </x14:conditionalFormatting>
        <x14:conditionalFormatting xmlns:xm="http://schemas.microsoft.com/office/excel/2006/main">
          <x14:cfRule type="expression" priority="2714" id="{8D404B97-2ECB-4889-A509-90D4183BFF67}">
            <xm:f>Akseptkriterier!$E$34=Akseptkriterier!$H$4</xm:f>
            <x14:dxf>
              <fill>
                <patternFill>
                  <bgColor rgb="FF00B050"/>
                </patternFill>
              </fill>
            </x14:dxf>
          </x14:cfRule>
          <x14:cfRule type="expression" priority="2715" id="{1CCF7C84-7502-4EE9-A87C-01368BB6E090}">
            <xm:f>Akseptkriterier!$E$34=Akseptkriterier!$H$8</xm:f>
            <x14:dxf>
              <fill>
                <patternFill>
                  <bgColor rgb="FFFF0000"/>
                </patternFill>
              </fill>
            </x14:dxf>
          </x14:cfRule>
          <x14:cfRule type="expression" priority="2716" id="{DFF67A73-0F6A-45CB-986E-11EE19683DEE}">
            <xm:f>Akseptkriterier!$E$34=Akseptkriterier!$H$7</xm:f>
            <x14:dxf>
              <fill>
                <patternFill>
                  <bgColor rgb="FFFFC000"/>
                </patternFill>
              </fill>
            </x14:dxf>
          </x14:cfRule>
          <x14:cfRule type="expression" priority="2717" id="{45DAAA15-FBD1-40D7-81CA-AAA112A96F8B}">
            <xm:f>Akseptkriterier!$E$34=Akseptkriterier!$H$6</xm:f>
            <x14:dxf>
              <fill>
                <patternFill>
                  <bgColor rgb="FFFFFF00"/>
                </patternFill>
              </fill>
            </x14:dxf>
          </x14:cfRule>
          <x14:cfRule type="expression" priority="2718" id="{9B16F44D-9AFE-4A4E-8A75-4985790597ED}">
            <xm:f>Akseptkriterier!$E$34=Akseptkriterier!$H$5</xm:f>
            <x14:dxf>
              <fill>
                <patternFill>
                  <bgColor rgb="FF92D050"/>
                </patternFill>
              </fill>
            </x14:dxf>
          </x14:cfRule>
          <xm:sqref>E5 E16</xm:sqref>
        </x14:conditionalFormatting>
        <x14:conditionalFormatting xmlns:xm="http://schemas.microsoft.com/office/excel/2006/main">
          <x14:cfRule type="expression" priority="2724" id="{02818F77-79BD-47FA-BB14-E36FE1280BFC}">
            <xm:f>Akseptkriterier!$F$34=Akseptkriterier!$H$4</xm:f>
            <x14:dxf>
              <fill>
                <patternFill>
                  <bgColor rgb="FF00B050"/>
                </patternFill>
              </fill>
            </x14:dxf>
          </x14:cfRule>
          <x14:cfRule type="expression" priority="2725" id="{54B94634-9D6B-4F96-957A-00D4517627F3}">
            <xm:f>Akseptkriterier!$F$34=Akseptkriterier!$H$8</xm:f>
            <x14:dxf>
              <fill>
                <patternFill>
                  <bgColor rgb="FFFF0000"/>
                </patternFill>
              </fill>
            </x14:dxf>
          </x14:cfRule>
          <x14:cfRule type="expression" priority="2726" id="{7382B289-3E9B-4A37-B17A-8C773AFFF071}">
            <xm:f>Akseptkriterier!$F$34=Akseptkriterier!$H$7</xm:f>
            <x14:dxf>
              <fill>
                <patternFill>
                  <bgColor rgb="FFFFC000"/>
                </patternFill>
              </fill>
            </x14:dxf>
          </x14:cfRule>
          <x14:cfRule type="expression" priority="2727" id="{9BD850A2-B8EE-40AD-AF3D-24D4015393A3}">
            <xm:f>Akseptkriterier!$F$34=Akseptkriterier!$H$6</xm:f>
            <x14:dxf>
              <fill>
                <patternFill>
                  <bgColor rgb="FFFFFF00"/>
                </patternFill>
              </fill>
            </x14:dxf>
          </x14:cfRule>
          <x14:cfRule type="expression" priority="2728" id="{05E58ABB-3884-49FC-B931-DD117EC15C42}">
            <xm:f>Akseptkriterier!$F$34=Akseptkriterier!$H$5</xm:f>
            <x14:dxf>
              <fill>
                <patternFill>
                  <bgColor rgb="FF92D050"/>
                </patternFill>
              </fill>
            </x14:dxf>
          </x14:cfRule>
          <xm:sqref>F5 F16</xm:sqref>
        </x14:conditionalFormatting>
        <x14:conditionalFormatting xmlns:xm="http://schemas.microsoft.com/office/excel/2006/main">
          <x14:cfRule type="expression" priority="2734" id="{27D9F719-5447-4A90-A889-23A1A147589F}">
            <xm:f>Akseptkriterier!$D$35=Akseptkriterier!$H$4</xm:f>
            <x14:dxf>
              <fill>
                <patternFill>
                  <bgColor rgb="FF00B050"/>
                </patternFill>
              </fill>
            </x14:dxf>
          </x14:cfRule>
          <x14:cfRule type="expression" priority="2735" id="{E48A39DC-EEE8-4C02-9D8E-6E56C726E95F}">
            <xm:f>Akseptkriterier!$D$35=Akseptkriterier!$H$8</xm:f>
            <x14:dxf>
              <fill>
                <patternFill>
                  <bgColor rgb="FFFF0000"/>
                </patternFill>
              </fill>
            </x14:dxf>
          </x14:cfRule>
          <x14:cfRule type="expression" priority="2736" id="{D7EC1D24-08F7-4284-B787-36E68688E7DE}">
            <xm:f>Akseptkriterier!$D$35=Akseptkriterier!$H$7</xm:f>
            <x14:dxf>
              <fill>
                <patternFill>
                  <bgColor rgb="FFFFC000"/>
                </patternFill>
              </fill>
            </x14:dxf>
          </x14:cfRule>
          <x14:cfRule type="expression" priority="2737" id="{5FAC17D6-1F4B-43F6-9914-ADC99736F215}">
            <xm:f>Akseptkriterier!$D$35=Akseptkriterier!$H$6</xm:f>
            <x14:dxf>
              <fill>
                <patternFill>
                  <bgColor rgb="FFFFFF00"/>
                </patternFill>
              </fill>
            </x14:dxf>
          </x14:cfRule>
          <x14:cfRule type="expression" priority="2738" id="{FCEEA543-91A2-435A-990B-0F7458CE0A5B}">
            <xm:f>Akseptkriterier!$D$35=Akseptkriterier!$H$5</xm:f>
            <x14:dxf>
              <fill>
                <patternFill>
                  <bgColor rgb="FF92D050"/>
                </patternFill>
              </fill>
            </x14:dxf>
          </x14:cfRule>
          <xm:sqref>D6 D17</xm:sqref>
        </x14:conditionalFormatting>
        <x14:conditionalFormatting xmlns:xm="http://schemas.microsoft.com/office/excel/2006/main">
          <x14:cfRule type="expression" priority="2764" id="{493FA103-2F1E-442C-B429-C6727DC5C264}">
            <xm:f>Akseptkriterier!$G$35=Akseptkriterier!$H$4</xm:f>
            <x14:dxf>
              <fill>
                <patternFill>
                  <bgColor rgb="FF00B050"/>
                </patternFill>
              </fill>
            </x14:dxf>
          </x14:cfRule>
          <x14:cfRule type="expression" priority="2765" id="{32879600-E829-46EC-A6EB-734188B11BA1}">
            <xm:f>Akseptkriterier!$G$35=Akseptkriterier!$H$8</xm:f>
            <x14:dxf>
              <fill>
                <patternFill>
                  <bgColor rgb="FFFF0000"/>
                </patternFill>
              </fill>
            </x14:dxf>
          </x14:cfRule>
          <x14:cfRule type="expression" priority="2766" id="{F26E22AD-4931-4F00-9C47-1619EF5498EC}">
            <xm:f>Akseptkriterier!$G$35=Akseptkriterier!$H$7</xm:f>
            <x14:dxf>
              <fill>
                <patternFill>
                  <bgColor rgb="FFFFC000"/>
                </patternFill>
              </fill>
            </x14:dxf>
          </x14:cfRule>
          <x14:cfRule type="expression" priority="2767" id="{59F8B5FA-B996-4384-B281-FFEED8A39128}">
            <xm:f>Akseptkriterier!$G$35=Akseptkriterier!$H$6</xm:f>
            <x14:dxf>
              <fill>
                <patternFill>
                  <bgColor rgb="FFFFFF00"/>
                </patternFill>
              </fill>
            </x14:dxf>
          </x14:cfRule>
          <x14:cfRule type="expression" priority="2768" id="{7EDBC742-07ED-48F4-8957-689F54B35805}">
            <xm:f>Akseptkriterier!$G$35=Akseptkriterier!$H$5</xm:f>
            <x14:dxf>
              <fill>
                <patternFill>
                  <bgColor rgb="FF92D050"/>
                </patternFill>
              </fill>
            </x14:dxf>
          </x14:cfRule>
          <xm:sqref>G6 G17</xm:sqref>
        </x14:conditionalFormatting>
        <x14:conditionalFormatting xmlns:xm="http://schemas.microsoft.com/office/excel/2006/main">
          <x14:cfRule type="expression" priority="2826" id="{ADD376F7-4BEE-47BB-932A-118D26E4E77A}">
            <xm:f>Akseptkriterier!$H$36=Akseptkriterier!$H$8</xm:f>
            <x14:dxf>
              <fill>
                <patternFill>
                  <bgColor rgb="FFFF0000"/>
                </patternFill>
              </fill>
            </x14:dxf>
          </x14:cfRule>
          <x14:cfRule type="expression" priority="2827" id="{39BD090E-9718-4F17-8043-312B38957717}">
            <xm:f>Akseptkriterier!$H$36=Akseptkriterier!$H$7</xm:f>
            <x14:dxf>
              <fill>
                <patternFill>
                  <bgColor rgb="FFFFC000"/>
                </patternFill>
              </fill>
            </x14:dxf>
          </x14:cfRule>
          <x14:cfRule type="expression" priority="2828" id="{D083F814-9C27-433B-9E43-7C13CA2B78ED}">
            <xm:f>Akseptkriterier!$H$36=Akseptkriterier!$H$6</xm:f>
            <x14:dxf>
              <fill>
                <patternFill>
                  <bgColor rgb="FFFFFF00"/>
                </patternFill>
              </fill>
            </x14:dxf>
          </x14:cfRule>
          <x14:cfRule type="expression" priority="2829" id="{A32B6CB8-07B2-478B-AA8B-5BE827866B50}">
            <xm:f>Akseptkriterier!$H$36=Akseptkriterier!$H$5</xm:f>
            <x14:dxf>
              <fill>
                <patternFill>
                  <bgColor rgb="FF92D050"/>
                </patternFill>
              </fill>
            </x14:dxf>
          </x14:cfRule>
          <x14:cfRule type="expression" priority="2830" id="{5B2651FF-9A3C-41E6-A097-8D575B1BA610}">
            <xm:f>Akseptkriterier!$H$36=Akseptkriterier!$H$4</xm:f>
            <x14:dxf>
              <fill>
                <patternFill>
                  <bgColor rgb="FF00B050"/>
                </patternFill>
              </fill>
            </x14:dxf>
          </x14:cfRule>
          <xm:sqref>H7 H18</xm:sqref>
        </x14:conditionalFormatting>
        <x14:conditionalFormatting xmlns:xm="http://schemas.microsoft.com/office/excel/2006/main">
          <x14:cfRule type="expression" priority="2927" id="{14BB158B-6C62-4B8A-A0F3-895A3A161C58}">
            <xm:f>Akseptkriterier!$G$35=Akseptkriterier!$H$4</xm:f>
            <x14:dxf>
              <fill>
                <patternFill>
                  <bgColor rgb="FF00B050"/>
                </patternFill>
              </fill>
            </x14:dxf>
          </x14:cfRule>
          <x14:cfRule type="expression" priority="2928" id="{2FB898C5-D0A3-44BD-ACAC-5539BEBE4EAA}">
            <xm:f>Akseptkriterier!$F$35=Akseptkriterier!$H$4</xm:f>
            <x14:dxf>
              <fill>
                <patternFill>
                  <bgColor rgb="FF00B050"/>
                </patternFill>
              </fill>
            </x14:dxf>
          </x14:cfRule>
          <x14:cfRule type="expression" priority="2929" id="{54B94634-9D6B-4F96-957A-00D4517627F3}">
            <xm:f>Akseptkriterier!$F$35=Akseptkriterier!$H$8</xm:f>
            <x14:dxf>
              <fill>
                <patternFill>
                  <bgColor rgb="FFFF0000"/>
                </patternFill>
              </fill>
            </x14:dxf>
          </x14:cfRule>
          <x14:cfRule type="expression" priority="2930" id="{7382B289-3E9B-4A37-B17A-8C773AFFF071}">
            <xm:f>Akseptkriterier!$F$35=Akseptkriterier!$H$7</xm:f>
            <x14:dxf>
              <fill>
                <patternFill>
                  <bgColor rgb="FFFFC000"/>
                </patternFill>
              </fill>
            </x14:dxf>
          </x14:cfRule>
          <x14:cfRule type="expression" priority="2931" id="{9BD850A2-B8EE-40AD-AF3D-24D4015393A3}">
            <xm:f>Akseptkriterier!$F$35=Akseptkriterier!$H$6</xm:f>
            <x14:dxf>
              <fill>
                <patternFill>
                  <bgColor rgb="FFFFFF00"/>
                </patternFill>
              </fill>
            </x14:dxf>
          </x14:cfRule>
          <x14:cfRule type="expression" priority="2932" id="{05E58ABB-3884-49FC-B931-DD117EC15C42}">
            <xm:f>Akseptkriterier!$F$35=Akseptkriterier!$H$5</xm:f>
            <x14:dxf>
              <fill>
                <patternFill>
                  <bgColor rgb="FF92D050"/>
                </patternFill>
              </fill>
            </x14:dxf>
          </x14:cfRule>
          <x14:cfRule type="expression" priority="2933" id="{A1EAF64B-C334-4142-A86B-4F896FF6FB90}">
            <xm:f>Akseptkriterier!$G$35=Akseptkriterier!$H$8</xm:f>
            <x14:dxf>
              <fill>
                <patternFill>
                  <bgColor rgb="FFFF0000"/>
                </patternFill>
              </fill>
            </x14:dxf>
          </x14:cfRule>
          <xm:sqref>F6 F17</xm:sqref>
        </x14:conditionalFormatting>
        <x14:conditionalFormatting xmlns:xm="http://schemas.microsoft.com/office/excel/2006/main">
          <x14:cfRule type="expression" priority="2951" id="{5D063A4B-B9B3-45D8-83ED-DDA32F77FCAF}">
            <xm:f>Akseptkriterier!$D$33=Akseptkriterier!$H$4</xm:f>
            <x14:dxf>
              <fill>
                <patternFill>
                  <bgColor rgb="FF00B050"/>
                </patternFill>
              </fill>
            </x14:dxf>
          </x14:cfRule>
          <x14:cfRule type="expression" priority="2952" id="{34CC4293-07A9-4B64-9E93-42E85D810293}">
            <xm:f>Akseptkriterier!$D$33=Akseptkriterier!$H$8</xm:f>
            <x14:dxf>
              <fill>
                <patternFill>
                  <bgColor rgb="FFFF0000"/>
                </patternFill>
              </fill>
            </x14:dxf>
          </x14:cfRule>
          <x14:cfRule type="expression" priority="2953" id="{B78CF49F-3344-4ADF-BF2E-A975E8355848}">
            <xm:f>Akseptkriterier!$D$33=Akseptkriterier!$H$7</xm:f>
            <x14:dxf>
              <font>
                <color auto="1"/>
              </font>
              <fill>
                <patternFill>
                  <bgColor rgb="FFFFC000"/>
                </patternFill>
              </fill>
            </x14:dxf>
          </x14:cfRule>
          <x14:cfRule type="expression" priority="2954" id="{15C22ACA-C0A4-47C0-ACC8-CCE5390AB701}">
            <xm:f>Akseptkriterier!$D$33=Akseptkriterier!$H$6</xm:f>
            <x14:dxf>
              <fill>
                <patternFill>
                  <bgColor rgb="FFFFFF00"/>
                </patternFill>
              </fill>
            </x14:dxf>
          </x14:cfRule>
          <x14:cfRule type="expression" priority="2955" id="{B12E8AA7-A383-4029-B28D-252145549F7B}">
            <xm:f>Akseptkriterier!$D$33=Akseptkriterier!$H$5</xm:f>
            <x14:dxf>
              <fill>
                <patternFill>
                  <bgColor rgb="FF92D050"/>
                </patternFill>
              </fill>
            </x14:dxf>
          </x14:cfRule>
          <xm:sqref>D4 D15</xm:sqref>
        </x14:conditionalFormatting>
        <x14:conditionalFormatting xmlns:xm="http://schemas.microsoft.com/office/excel/2006/main">
          <x14:cfRule type="expression" priority="2961" id="{8D404B97-2ECB-4889-A509-90D4183BFF67}">
            <xm:f>Akseptkriterier!$E$33=Akseptkriterier!$H$4</xm:f>
            <x14:dxf>
              <fill>
                <patternFill>
                  <bgColor rgb="FF00B050"/>
                </patternFill>
              </fill>
            </x14:dxf>
          </x14:cfRule>
          <x14:cfRule type="expression" priority="2962" id="{1CCF7C84-7502-4EE9-A87C-01368BB6E090}">
            <xm:f>Akseptkriterier!$E$33=Akseptkriterier!$H$8</xm:f>
            <x14:dxf>
              <fill>
                <patternFill>
                  <bgColor rgb="FFFF0000"/>
                </patternFill>
              </fill>
            </x14:dxf>
          </x14:cfRule>
          <x14:cfRule type="expression" priority="2963" id="{DFF67A73-0F6A-45CB-986E-11EE19683DEE}">
            <xm:f>Akseptkriterier!$E$33=Akseptkriterier!$H$7</xm:f>
            <x14:dxf>
              <fill>
                <patternFill>
                  <bgColor rgb="FFFFC000"/>
                </patternFill>
              </fill>
            </x14:dxf>
          </x14:cfRule>
          <x14:cfRule type="expression" priority="2964" id="{45DAAA15-FBD1-40D7-81CA-AAA112A96F8B}">
            <xm:f>Akseptkriterier!$E$33=Akseptkriterier!$H$6</xm:f>
            <x14:dxf>
              <fill>
                <patternFill>
                  <bgColor rgb="FFFFFF00"/>
                </patternFill>
              </fill>
            </x14:dxf>
          </x14:cfRule>
          <x14:cfRule type="expression" priority="2965" id="{9B16F44D-9AFE-4A4E-8A75-4985790597ED}">
            <xm:f>Akseptkriterier!$E$33=Akseptkriterier!$H$5</xm:f>
            <x14:dxf>
              <fill>
                <patternFill>
                  <bgColor rgb="FF92D050"/>
                </patternFill>
              </fill>
            </x14:dxf>
          </x14:cfRule>
          <xm:sqref>E4 E15</xm:sqref>
        </x14:conditionalFormatting>
        <x14:conditionalFormatting xmlns:xm="http://schemas.microsoft.com/office/excel/2006/main">
          <x14:cfRule type="expression" priority="2971" id="{02818F77-79BD-47FA-BB14-E36FE1280BFC}">
            <xm:f>Akseptkriterier!$F$33=Akseptkriterier!$H$4</xm:f>
            <x14:dxf>
              <fill>
                <patternFill>
                  <bgColor rgb="FF00B050"/>
                </patternFill>
              </fill>
            </x14:dxf>
          </x14:cfRule>
          <x14:cfRule type="expression" priority="2972" id="{54B94634-9D6B-4F96-957A-00D4517627F3}">
            <xm:f>Akseptkriterier!$F$33=Akseptkriterier!$H$8</xm:f>
            <x14:dxf>
              <fill>
                <patternFill>
                  <bgColor rgb="FFFF0000"/>
                </patternFill>
              </fill>
            </x14:dxf>
          </x14:cfRule>
          <x14:cfRule type="expression" priority="2973" id="{7382B289-3E9B-4A37-B17A-8C773AFFF071}">
            <xm:f>Akseptkriterier!$F$33=Akseptkriterier!$H$7</xm:f>
            <x14:dxf>
              <fill>
                <patternFill>
                  <bgColor rgb="FFFFC000"/>
                </patternFill>
              </fill>
            </x14:dxf>
          </x14:cfRule>
          <x14:cfRule type="expression" priority="2974" id="{9BD850A2-B8EE-40AD-AF3D-24D4015393A3}">
            <xm:f>Akseptkriterier!$F$33=Akseptkriterier!$H$6</xm:f>
            <x14:dxf>
              <fill>
                <patternFill>
                  <bgColor rgb="FFFFFF00"/>
                </patternFill>
              </fill>
            </x14:dxf>
          </x14:cfRule>
          <x14:cfRule type="expression" priority="2975" id="{05E58ABB-3884-49FC-B931-DD117EC15C42}">
            <xm:f>Akseptkriterier!$F$33=Akseptkriterier!$H$5</xm:f>
            <x14:dxf>
              <fill>
                <patternFill>
                  <bgColor rgb="FF92D050"/>
                </patternFill>
              </fill>
            </x14:dxf>
          </x14:cfRule>
          <xm:sqref>F4 F15</xm:sqref>
        </x14:conditionalFormatting>
        <x14:conditionalFormatting xmlns:xm="http://schemas.microsoft.com/office/excel/2006/main">
          <x14:cfRule type="expression" priority="2981" id="{27D9F719-5447-4A90-A889-23A1A147589F}">
            <xm:f>Akseptkriterier!$D$34=Akseptkriterier!$H$4</xm:f>
            <x14:dxf>
              <fill>
                <patternFill>
                  <bgColor rgb="FF00B050"/>
                </patternFill>
              </fill>
            </x14:dxf>
          </x14:cfRule>
          <x14:cfRule type="expression" priority="2982" id="{E48A39DC-EEE8-4C02-9D8E-6E56C726E95F}">
            <xm:f>Akseptkriterier!$D$34=Akseptkriterier!$H$8</xm:f>
            <x14:dxf>
              <fill>
                <patternFill>
                  <bgColor rgb="FFFF0000"/>
                </patternFill>
              </fill>
            </x14:dxf>
          </x14:cfRule>
          <x14:cfRule type="expression" priority="2983" id="{D7EC1D24-08F7-4284-B787-36E68688E7DE}">
            <xm:f>Akseptkriterier!$D$34=Akseptkriterier!$H$7</xm:f>
            <x14:dxf>
              <fill>
                <patternFill>
                  <bgColor rgb="FFFFC000"/>
                </patternFill>
              </fill>
            </x14:dxf>
          </x14:cfRule>
          <x14:cfRule type="expression" priority="2984" id="{5FAC17D6-1F4B-43F6-9914-ADC99736F215}">
            <xm:f>Akseptkriterier!$D$34=Akseptkriterier!$H$6</xm:f>
            <x14:dxf>
              <fill>
                <patternFill>
                  <bgColor rgb="FFFFFF00"/>
                </patternFill>
              </fill>
            </x14:dxf>
          </x14:cfRule>
          <x14:cfRule type="expression" priority="2985" id="{FCEEA543-91A2-435A-990B-0F7458CE0A5B}">
            <xm:f>Akseptkriterier!$D$34=Akseptkriterier!$H$5</xm:f>
            <x14:dxf>
              <fill>
                <patternFill>
                  <bgColor rgb="FF92D050"/>
                </patternFill>
              </fill>
            </x14:dxf>
          </x14:cfRule>
          <xm:sqref>D5 D16</xm:sqref>
        </x14:conditionalFormatting>
        <x14:conditionalFormatting xmlns:xm="http://schemas.microsoft.com/office/excel/2006/main">
          <x14:cfRule type="expression" priority="3011" id="{493FA103-2F1E-442C-B429-C6727DC5C264}">
            <xm:f>Akseptkriterier!$G$34=Akseptkriterier!$H$4</xm:f>
            <x14:dxf>
              <fill>
                <patternFill>
                  <bgColor rgb="FF00B050"/>
                </patternFill>
              </fill>
            </x14:dxf>
          </x14:cfRule>
          <x14:cfRule type="expression" priority="3012" id="{32879600-E829-46EC-A6EB-734188B11BA1}">
            <xm:f>Akseptkriterier!$G$34=Akseptkriterier!$H$8</xm:f>
            <x14:dxf>
              <fill>
                <patternFill>
                  <bgColor rgb="FFFF0000"/>
                </patternFill>
              </fill>
            </x14:dxf>
          </x14:cfRule>
          <x14:cfRule type="expression" priority="3013" id="{F26E22AD-4931-4F00-9C47-1619EF5498EC}">
            <xm:f>Akseptkriterier!$G$34=Akseptkriterier!$H$7</xm:f>
            <x14:dxf>
              <fill>
                <patternFill>
                  <bgColor rgb="FFFFC000"/>
                </patternFill>
              </fill>
            </x14:dxf>
          </x14:cfRule>
          <x14:cfRule type="expression" priority="3014" id="{59F8B5FA-B996-4384-B281-FFEED8A39128}">
            <xm:f>Akseptkriterier!$G$34=Akseptkriterier!$H$6</xm:f>
            <x14:dxf>
              <fill>
                <patternFill>
                  <bgColor rgb="FFFFFF00"/>
                </patternFill>
              </fill>
            </x14:dxf>
          </x14:cfRule>
          <x14:cfRule type="expression" priority="3015" id="{7EDBC742-07ED-48F4-8957-689F54B35805}">
            <xm:f>Akseptkriterier!$G$34=Akseptkriterier!$H$5</xm:f>
            <x14:dxf>
              <fill>
                <patternFill>
                  <bgColor rgb="FF92D050"/>
                </patternFill>
              </fill>
            </x14:dxf>
          </x14:cfRule>
          <xm:sqref>G5 G16</xm:sqref>
        </x14:conditionalFormatting>
        <x14:conditionalFormatting xmlns:xm="http://schemas.microsoft.com/office/excel/2006/main">
          <x14:cfRule type="expression" priority="3031" id="{97A5B839-7C0C-4176-A121-459ACF4AF43D}">
            <xm:f>Akseptkriterier!$D$36=Akseptkriterier!$H$4</xm:f>
            <x14:dxf>
              <fill>
                <patternFill>
                  <bgColor rgb="FF00B050"/>
                </patternFill>
              </fill>
            </x14:dxf>
          </x14:cfRule>
          <xm:sqref>D7 D18</xm:sqref>
        </x14:conditionalFormatting>
        <x14:conditionalFormatting xmlns:xm="http://schemas.microsoft.com/office/excel/2006/main">
          <x14:cfRule type="expression" priority="3033" id="{155B901F-D256-422A-821C-5E9E0880499E}">
            <xm:f>Akseptkriterier!$G$33=Akseptkriterier!$H$8</xm:f>
            <x14:dxf>
              <fill>
                <patternFill>
                  <bgColor rgb="FFFF0000"/>
                </patternFill>
              </fill>
            </x14:dxf>
          </x14:cfRule>
          <x14:cfRule type="expression" priority="3034" id="{3D7B7D9E-50D9-4FC9-B457-7079659F347A}">
            <xm:f>Akseptkriterier!$G$33=Akseptkriterier!$H$7</xm:f>
            <x14:dxf>
              <fill>
                <patternFill>
                  <bgColor rgb="FFFFC000"/>
                </patternFill>
              </fill>
            </x14:dxf>
          </x14:cfRule>
          <x14:cfRule type="expression" priority="3035" id="{29E88807-8E53-4313-A27D-A283A43B8C50}">
            <xm:f>Akseptkriterier!$G$33=Akseptkriterier!$H$6</xm:f>
            <x14:dxf>
              <fill>
                <patternFill>
                  <bgColor rgb="FFFFFF00"/>
                </patternFill>
              </fill>
            </x14:dxf>
          </x14:cfRule>
          <x14:cfRule type="expression" priority="3036" id="{FDC66165-1502-4420-922C-D0E6D303983B}">
            <xm:f>Akseptkriterier!$G$33=Akseptkriterier!$H$5</xm:f>
            <x14:dxf>
              <fill>
                <patternFill>
                  <bgColor rgb="FF92D050"/>
                </patternFill>
              </fill>
            </x14:dxf>
          </x14:cfRule>
          <x14:cfRule type="expression" priority="3037" id="{B621078C-505A-4F4B-A6F4-A004DC2ADABE}">
            <xm:f>Akseptkriterier!$G$33=Akseptkriterier!$H$4</xm:f>
            <x14:dxf>
              <fill>
                <patternFill>
                  <bgColor rgb="FF00B050"/>
                </patternFill>
              </fill>
            </x14:dxf>
          </x14:cfRule>
          <xm:sqref>G4 G15</xm:sqref>
        </x14:conditionalFormatting>
        <x14:conditionalFormatting xmlns:xm="http://schemas.microsoft.com/office/excel/2006/main">
          <x14:cfRule type="expression" priority="3043" id="{9D786D8B-B1FC-4604-BB1A-22817CDB2CE2}">
            <xm:f>Akseptkriterier!$H$33=Akseptkriterier!$H$7</xm:f>
            <x14:dxf>
              <fill>
                <patternFill>
                  <bgColor rgb="FFFFC000"/>
                </patternFill>
              </fill>
            </x14:dxf>
          </x14:cfRule>
          <x14:cfRule type="expression" priority="3044" id="{17848615-F6F3-45B9-B3A3-3FA76F4AA871}">
            <xm:f>Akseptkriterier!$H$33=Akseptkriterier!$H$6</xm:f>
            <x14:dxf>
              <fill>
                <patternFill>
                  <bgColor rgb="FFFFFF00"/>
                </patternFill>
              </fill>
            </x14:dxf>
          </x14:cfRule>
          <x14:cfRule type="expression" priority="3045" id="{E1C84FDD-C597-472C-A063-C8367BC664EF}">
            <xm:f>Akseptkriterier!$H$33=Akseptkriterier!$H$5</xm:f>
            <x14:dxf>
              <fill>
                <patternFill>
                  <bgColor rgb="FF92D050"/>
                </patternFill>
              </fill>
            </x14:dxf>
          </x14:cfRule>
          <x14:cfRule type="expression" priority="3046" id="{DCBB4B4E-D281-4B38-8DAE-A046FE87C014}">
            <xm:f>Akseptkriterier!$H$33=Akseptkriterier!$H$4</xm:f>
            <x14:dxf>
              <fill>
                <patternFill>
                  <bgColor rgb="FF00B050"/>
                </patternFill>
              </fill>
            </x14:dxf>
          </x14:cfRule>
          <x14:cfRule type="expression" priority="3047" id="{B4E17BF3-8284-4EDD-84F5-64D6FBEFD22E}">
            <xm:f>Akseptkriterier!$H$33=Akseptkriterier!$H$8</xm:f>
            <x14:dxf>
              <fill>
                <patternFill>
                  <bgColor rgb="FFFF0000"/>
                </patternFill>
              </fill>
            </x14:dxf>
          </x14:cfRule>
          <xm:sqref>H4 H15</xm:sqref>
        </x14:conditionalFormatting>
        <x14:conditionalFormatting xmlns:xm="http://schemas.microsoft.com/office/excel/2006/main">
          <x14:cfRule type="expression" priority="3053" id="{266C26CE-1682-49D3-8296-20E76C4C8D19}">
            <xm:f>Akseptkriterier!$H$34=Akseptkriterier!$H$8</xm:f>
            <x14:dxf>
              <fill>
                <patternFill>
                  <bgColor rgb="FFFF0000"/>
                </patternFill>
              </fill>
            </x14:dxf>
          </x14:cfRule>
          <x14:cfRule type="expression" priority="3054" id="{A1EAF64B-C334-4142-A86B-4F896FF6FB90}">
            <xm:f>Akseptkriterier!$H$34=Akseptkriterier!$H$4</xm:f>
            <x14:dxf>
              <fill>
                <patternFill>
                  <bgColor rgb="FF00B050"/>
                </patternFill>
              </fill>
            </x14:dxf>
          </x14:cfRule>
          <x14:cfRule type="expression" priority="3055" id="{1A5C94B3-18F8-4F20-8653-B87A937529D6}">
            <xm:f>Akseptkriterier!$H$34=Akseptkriterier!$H$7</xm:f>
            <x14:dxf>
              <fill>
                <patternFill>
                  <bgColor rgb="FFFFC000"/>
                </patternFill>
              </fill>
            </x14:dxf>
          </x14:cfRule>
          <x14:cfRule type="expression" priority="3056" id="{775D9BCD-C8EB-48B8-8F24-E7CCA639C0FC}">
            <xm:f>Akseptkriterier!$H$34=Akseptkriterier!$H$6</xm:f>
            <x14:dxf>
              <fill>
                <patternFill>
                  <bgColor rgb="FFFFFF00"/>
                </patternFill>
              </fill>
            </x14:dxf>
          </x14:cfRule>
          <x14:cfRule type="expression" priority="3057" id="{3F215D0D-FDC7-4E42-8DC4-517C673E1A1F}">
            <xm:f>Akseptkriterier!$H$34=Akseptkriterier!$H$5</xm:f>
            <x14:dxf>
              <fill>
                <patternFill>
                  <bgColor rgb="FF92D050"/>
                </patternFill>
              </fill>
            </x14:dxf>
          </x14:cfRule>
          <xm:sqref>H5 H16</xm:sqref>
        </x14:conditionalFormatting>
        <x14:conditionalFormatting xmlns:xm="http://schemas.microsoft.com/office/excel/2006/main">
          <x14:cfRule type="expression" priority="3063" id="{BA15432F-4578-4043-B9EB-AA01651F732C}">
            <xm:f>Akseptkriterier!$E$35=Akseptkriterier!$H$8</xm:f>
            <x14:dxf>
              <fill>
                <patternFill>
                  <bgColor rgb="FFFF0000"/>
                </patternFill>
              </fill>
            </x14:dxf>
          </x14:cfRule>
          <x14:cfRule type="expression" priority="3064" id="{D60D004E-752A-4D1A-9962-17CA3322181E}">
            <xm:f>Akseptkriterier!$E$35=Akseptkriterier!$H$7</xm:f>
            <x14:dxf>
              <fill>
                <patternFill>
                  <bgColor rgb="FFFFC000"/>
                </patternFill>
              </fill>
            </x14:dxf>
          </x14:cfRule>
          <x14:cfRule type="expression" priority="3065" id="{ED4D0759-98A7-450A-9BB0-233D19C58606}">
            <xm:f>Akseptkriterier!$E$35=Akseptkriterier!$H$6</xm:f>
            <x14:dxf>
              <fill>
                <patternFill>
                  <bgColor rgb="FFFFFF00"/>
                </patternFill>
              </fill>
            </x14:dxf>
          </x14:cfRule>
          <x14:cfRule type="expression" priority="3066" id="{BB0C4D86-509C-45A8-B907-3820DF4D8C1D}">
            <xm:f>Akseptkriterier!$E$35=Akseptkriterier!$H$5</xm:f>
            <x14:dxf>
              <fill>
                <patternFill>
                  <bgColor rgb="FF92D050"/>
                </patternFill>
              </fill>
            </x14:dxf>
          </x14:cfRule>
          <x14:cfRule type="expression" priority="3067" id="{8AB2C5D9-3B5E-4F1B-985F-916A047E1C52}">
            <xm:f>Akseptkriterier!$E$35=Akseptkriterier!$H$4</xm:f>
            <x14:dxf>
              <fill>
                <patternFill>
                  <bgColor rgb="FF00B050"/>
                </patternFill>
              </fill>
            </x14:dxf>
          </x14:cfRule>
          <xm:sqref>E6 E17</xm:sqref>
        </x14:conditionalFormatting>
        <x14:conditionalFormatting xmlns:xm="http://schemas.microsoft.com/office/excel/2006/main">
          <x14:cfRule type="expression" priority="3073" id="{ADD376F7-4BEE-47BB-932A-118D26E4E77A}">
            <xm:f>Akseptkriterier!$H$35=Akseptkriterier!$H$8</xm:f>
            <x14:dxf>
              <fill>
                <patternFill>
                  <bgColor rgb="FFFF0000"/>
                </patternFill>
              </fill>
            </x14:dxf>
          </x14:cfRule>
          <x14:cfRule type="expression" priority="3074" id="{39BD090E-9718-4F17-8043-312B38957717}">
            <xm:f>Akseptkriterier!$H$35=Akseptkriterier!$H$7</xm:f>
            <x14:dxf>
              <fill>
                <patternFill>
                  <bgColor rgb="FFFFC000"/>
                </patternFill>
              </fill>
            </x14:dxf>
          </x14:cfRule>
          <x14:cfRule type="expression" priority="3075" id="{D083F814-9C27-433B-9E43-7C13CA2B78ED}">
            <xm:f>Akseptkriterier!$H$35=Akseptkriterier!$H$6</xm:f>
            <x14:dxf>
              <fill>
                <patternFill>
                  <bgColor rgb="FFFFFF00"/>
                </patternFill>
              </fill>
            </x14:dxf>
          </x14:cfRule>
          <x14:cfRule type="expression" priority="3076" id="{A32B6CB8-07B2-478B-AA8B-5BE827866B50}">
            <xm:f>Akseptkriterier!$H$35=Akseptkriterier!$H$5</xm:f>
            <x14:dxf>
              <fill>
                <patternFill>
                  <bgColor rgb="FF92D050"/>
                </patternFill>
              </fill>
            </x14:dxf>
          </x14:cfRule>
          <x14:cfRule type="expression" priority="3077" id="{5B2651FF-9A3C-41E6-A097-8D575B1BA610}">
            <xm:f>Akseptkriterier!$H$35=Akseptkriterier!$H$4</xm:f>
            <x14:dxf>
              <fill>
                <patternFill>
                  <bgColor rgb="FF00B050"/>
                </patternFill>
              </fill>
            </x14:dxf>
          </x14:cfRule>
          <xm:sqref>H6 H17</xm:sqref>
        </x14:conditionalFormatting>
        <x14:conditionalFormatting xmlns:xm="http://schemas.microsoft.com/office/excel/2006/main">
          <x14:cfRule type="expression" priority="3083" id="{D7EC1D24-08F7-4284-B787-36E68688E7DE}">
            <xm:f>Akseptkriterier!$D$36=Akseptkriterier!$H$7</xm:f>
            <x14:dxf>
              <fill>
                <patternFill>
                  <bgColor rgb="FFFFC000"/>
                </patternFill>
              </fill>
            </x14:dxf>
          </x14:cfRule>
          <x14:cfRule type="expression" priority="3084" id="{5FAC17D6-1F4B-43F6-9914-ADC99736F215}">
            <xm:f>Akseptkriterier!$D$36=Akseptkriterier!$H$6</xm:f>
            <x14:dxf>
              <fill>
                <patternFill>
                  <bgColor rgb="FFFFFF00"/>
                </patternFill>
              </fill>
            </x14:dxf>
          </x14:cfRule>
          <x14:cfRule type="expression" priority="3085" id="{FCEEA543-91A2-435A-990B-0F7458CE0A5B}">
            <xm:f>Akseptkriterier!$D$36=Akseptkriterier!$H$5</xm:f>
            <x14:dxf>
              <fill>
                <patternFill>
                  <bgColor rgb="FF92D050"/>
                </patternFill>
              </fill>
            </x14:dxf>
          </x14:cfRule>
          <xm:sqref>D18 D7</xm:sqref>
        </x14:conditionalFormatting>
        <x14:conditionalFormatting xmlns:xm="http://schemas.microsoft.com/office/excel/2006/main">
          <x14:cfRule type="expression" priority="3089" id="{03297BC6-6A3E-41EC-82B8-9C9A9D3939FD}">
            <xm:f>Akseptkriterier!$E$36=Akseptkriterier!$H$4</xm:f>
            <x14:dxf>
              <fill>
                <patternFill>
                  <bgColor rgb="FF00B050"/>
                </patternFill>
              </fill>
            </x14:dxf>
          </x14:cfRule>
          <x14:cfRule type="expression" priority="3090" id="{FB3EFA31-38EA-4139-A014-4607909DA728}">
            <xm:f>Akseptkriterier!$E$36=Akseptkriterier!$H$8</xm:f>
            <x14:dxf>
              <fill>
                <patternFill>
                  <bgColor rgb="FFFF0000"/>
                </patternFill>
              </fill>
            </x14:dxf>
          </x14:cfRule>
          <x14:cfRule type="expression" priority="3091" id="{A325F2FD-3894-404E-B35D-42A97EE2E8FE}">
            <xm:f>Akseptkriterier!$E$36=Akseptkriterier!$H$7</xm:f>
            <x14:dxf>
              <fill>
                <patternFill>
                  <bgColor rgb="FFFFC000"/>
                </patternFill>
              </fill>
            </x14:dxf>
          </x14:cfRule>
          <x14:cfRule type="expression" priority="3092" id="{A2467E84-54E8-4353-B6F3-22E4019B5E11}">
            <xm:f>Akseptkriterier!$E$36=Akseptkriterier!$H$6</xm:f>
            <x14:dxf>
              <fill>
                <patternFill>
                  <bgColor rgb="FFFFFF00"/>
                </patternFill>
              </fill>
            </x14:dxf>
          </x14:cfRule>
          <x14:cfRule type="expression" priority="3093" id="{D7B6C962-BC48-4C31-B529-C79573DD736C}">
            <xm:f>Akseptkriterier!$E$36=Akseptkriterier!$H$5</xm:f>
            <x14:dxf>
              <fill>
                <patternFill>
                  <bgColor rgb="FF92D050"/>
                </patternFill>
              </fill>
            </x14:dxf>
          </x14:cfRule>
          <xm:sqref>E18 E7</xm:sqref>
        </x14:conditionalFormatting>
        <x14:conditionalFormatting xmlns:xm="http://schemas.microsoft.com/office/excel/2006/main">
          <x14:cfRule type="expression" priority="3099" id="{B921BC04-4A1D-4D8F-91BA-9BA1F662DCBC}">
            <xm:f>Akseptkriterier!$F$36=Akseptkriterier!$H$4</xm:f>
            <x14:dxf>
              <fill>
                <patternFill>
                  <bgColor rgb="FF00B050"/>
                </patternFill>
              </fill>
            </x14:dxf>
          </x14:cfRule>
          <x14:cfRule type="expression" priority="3100" id="{ED4B494C-22CF-4864-9CC1-8C6B3A0EF941}">
            <xm:f>Akseptkriterier!$F$36=Akseptkriterier!$H$8</xm:f>
            <x14:dxf>
              <fill>
                <patternFill>
                  <bgColor rgb="FFFF0000"/>
                </patternFill>
              </fill>
            </x14:dxf>
          </x14:cfRule>
          <x14:cfRule type="expression" priority="3101" id="{A5467EE9-81C4-4803-A141-E53004EDBD0B}">
            <xm:f>Akseptkriterier!$F$36=Akseptkriterier!$H$7</xm:f>
            <x14:dxf>
              <fill>
                <patternFill>
                  <bgColor rgb="FFFFC000"/>
                </patternFill>
              </fill>
            </x14:dxf>
          </x14:cfRule>
          <x14:cfRule type="expression" priority="3102" id="{18E4FAD1-87C9-4BD7-8A34-D2CDDFE11A29}">
            <xm:f>Akseptkriterier!$F$36=Akseptkriterier!$H$6</xm:f>
            <x14:dxf>
              <fill>
                <patternFill>
                  <bgColor rgb="FFFFFF00"/>
                </patternFill>
              </fill>
            </x14:dxf>
          </x14:cfRule>
          <x14:cfRule type="expression" priority="3103" id="{33FD8D17-7759-4AC6-B29E-2BA22EDADE8D}">
            <xm:f>Akseptkriterier!$F$36=Akseptkriterier!$H$5</xm:f>
            <x14:dxf>
              <fill>
                <patternFill>
                  <bgColor rgb="FF92D050"/>
                </patternFill>
              </fill>
            </x14:dxf>
          </x14:cfRule>
          <xm:sqref>F7 F18</xm:sqref>
        </x14:conditionalFormatting>
        <x14:conditionalFormatting xmlns:xm="http://schemas.microsoft.com/office/excel/2006/main">
          <x14:cfRule type="expression" priority="3129" id="{8ABB5456-E1DD-4E97-97DE-F6842401782A}">
            <xm:f>Akseptkriterier!$D$37=Akseptkriterier!$H$4</xm:f>
            <x14:dxf>
              <fill>
                <patternFill>
                  <bgColor rgb="FF00B050"/>
                </patternFill>
              </fill>
            </x14:dxf>
          </x14:cfRule>
          <x14:cfRule type="expression" priority="3130" id="{4507F87F-0A15-496B-B7C5-5B552BB5BD1E}">
            <xm:f>Akseptkriterier!$D$37=Akseptkriterier!$H$5</xm:f>
            <x14:dxf>
              <fill>
                <patternFill>
                  <bgColor rgb="FF92D050"/>
                </patternFill>
              </fill>
            </x14:dxf>
          </x14:cfRule>
          <x14:cfRule type="expression" priority="3131" id="{9D57BC1A-27EA-470B-B185-67A5C0916834}">
            <xm:f>Akseptkriterier!$D$37=Akseptkriterier!$H$6</xm:f>
            <x14:dxf>
              <fill>
                <patternFill>
                  <bgColor rgb="FFFFFF00"/>
                </patternFill>
              </fill>
            </x14:dxf>
          </x14:cfRule>
          <x14:cfRule type="expression" priority="3132" id="{A8160453-86E1-4DF3-A98E-350BDE38DEE4}">
            <xm:f>Akseptkriterier!$D$37=Akseptkriterier!$H$7</xm:f>
            <x14:dxf>
              <fill>
                <patternFill>
                  <bgColor rgb="FFFFC000"/>
                </patternFill>
              </fill>
            </x14:dxf>
          </x14:cfRule>
          <x14:cfRule type="expression" priority="3133" id="{E48A39DC-EEE8-4C02-9D8E-6E56C726E95F}">
            <xm:f>Akseptkriterier!$D$37=Akseptkriterier!$H$8</xm:f>
            <x14:dxf>
              <fill>
                <patternFill>
                  <bgColor rgb="FFFF0000"/>
                </patternFill>
              </fill>
            </x14:dxf>
          </x14:cfRule>
          <xm:sqref>D8 D19</xm:sqref>
        </x14:conditionalFormatting>
        <x14:conditionalFormatting xmlns:xm="http://schemas.microsoft.com/office/excel/2006/main">
          <x14:cfRule type="expression" priority="3139" id="{07A9C3A0-002F-49E2-81A3-6F386C2F51DB}">
            <xm:f>Akseptkriterier!$E$37=Akseptkriterier!$H$8</xm:f>
            <x14:dxf>
              <fill>
                <patternFill>
                  <bgColor rgb="FFFF0000"/>
                </patternFill>
              </fill>
            </x14:dxf>
          </x14:cfRule>
          <x14:cfRule type="expression" priority="3140" id="{28686D11-CCF4-44F8-AE52-1C8E6CD7FA23}">
            <xm:f>Akseptkriterier!$E$37=Akseptkriterier!$H$7</xm:f>
            <x14:dxf>
              <fill>
                <patternFill>
                  <bgColor rgb="FFFFC000"/>
                </patternFill>
              </fill>
            </x14:dxf>
          </x14:cfRule>
          <x14:cfRule type="expression" priority="3141" id="{3E1C9A24-B81F-4D93-BA49-EBF7053F12CB}">
            <xm:f>Akseptkriterier!$E$37=Akseptkriterier!$H$6</xm:f>
            <x14:dxf>
              <fill>
                <patternFill>
                  <bgColor rgb="FFFFFF00"/>
                </patternFill>
              </fill>
            </x14:dxf>
          </x14:cfRule>
          <x14:cfRule type="expression" priority="3142" id="{05832F8A-3225-4F9E-9A51-A49A1B9AB766}">
            <xm:f>Akseptkriterier!$E$37=Akseptkriterier!$H$5</xm:f>
            <x14:dxf>
              <fill>
                <patternFill>
                  <bgColor rgb="FF92D050"/>
                </patternFill>
              </fill>
            </x14:dxf>
          </x14:cfRule>
          <x14:cfRule type="expression" priority="3143" id="{B6266740-7330-40B1-B7EF-35A02E2597B8}">
            <xm:f>Akseptkriterier!$E$37=Akseptkriterier!$H$4</xm:f>
            <x14:dxf>
              <fill>
                <patternFill>
                  <bgColor rgb="FF00B050"/>
                </patternFill>
              </fill>
            </x14:dxf>
          </x14:cfRule>
          <xm:sqref>E8 E19</xm:sqref>
        </x14:conditionalFormatting>
        <x14:conditionalFormatting xmlns:xm="http://schemas.microsoft.com/office/excel/2006/main">
          <x14:cfRule type="expression" priority="3149" id="{A8A796AE-AA4A-4005-8C66-ACB273489C09}">
            <xm:f>Akseptkriterier!$F$37=Akseptkriterier!$H$4</xm:f>
            <x14:dxf>
              <fill>
                <patternFill>
                  <bgColor rgb="FF00B050"/>
                </patternFill>
              </fill>
            </x14:dxf>
          </x14:cfRule>
          <x14:cfRule type="expression" priority="3150" id="{3D13B6F9-2A13-4134-A369-586843E614E9}">
            <xm:f>Akseptkriterier!$F$37=Akseptkriterier!$H$5</xm:f>
            <x14:dxf>
              <fill>
                <patternFill>
                  <bgColor rgb="FF92D050"/>
                </patternFill>
              </fill>
            </x14:dxf>
          </x14:cfRule>
          <x14:cfRule type="expression" priority="3151" id="{201DC9A7-3179-4DE7-8A65-7D2FEB570FA4}">
            <xm:f>Akseptkriterier!$F$37=Akseptkriterier!$H$6</xm:f>
            <x14:dxf>
              <fill>
                <patternFill>
                  <bgColor rgb="FFFFFF00"/>
                </patternFill>
              </fill>
            </x14:dxf>
          </x14:cfRule>
          <x14:cfRule type="expression" priority="3152" id="{6192C458-68BB-4EDD-9988-7E79BBFE35A1}">
            <xm:f>Akseptkriterier!$F$37=Akseptkriterier!$H$7</xm:f>
            <x14:dxf>
              <fill>
                <patternFill>
                  <bgColor rgb="FFFFC000"/>
                </patternFill>
              </fill>
            </x14:dxf>
          </x14:cfRule>
          <x14:cfRule type="expression" priority="3153" id="{925EC7AF-4C59-46C8-A9CC-A67418CE7B23}">
            <xm:f>Akseptkriterier!$F$37=Akseptkriterier!$H$8</xm:f>
            <x14:dxf>
              <fill>
                <patternFill>
                  <bgColor rgb="FFFF0000"/>
                </patternFill>
              </fill>
            </x14:dxf>
          </x14:cfRule>
          <xm:sqref>F8 F19</xm:sqref>
        </x14:conditionalFormatting>
        <x14:conditionalFormatting xmlns:xm="http://schemas.microsoft.com/office/excel/2006/main">
          <x14:cfRule type="expression" priority="3159" id="{5401BC52-C9B3-48BD-B75B-CD80F4FD679C}">
            <xm:f>Akseptkriterier!$G$37=Akseptkriterier!$H$8</xm:f>
            <x14:dxf>
              <fill>
                <patternFill>
                  <bgColor rgb="FFFF0000"/>
                </patternFill>
              </fill>
            </x14:dxf>
          </x14:cfRule>
          <x14:cfRule type="expression" priority="3160" id="{FDE5AE71-D773-4822-AD55-413F22BBCEC2}">
            <xm:f>Akseptkriterier!$G$37=Akseptkriterier!$H$7</xm:f>
            <x14:dxf>
              <fill>
                <patternFill>
                  <bgColor rgb="FFFFC000"/>
                </patternFill>
              </fill>
            </x14:dxf>
          </x14:cfRule>
          <x14:cfRule type="expression" priority="3161" id="{CB1A0FD4-75AC-45B4-AF71-7341CC5A9954}">
            <xm:f>Akseptkriterier!$G$37=Akseptkriterier!$H$6</xm:f>
            <x14:dxf>
              <fill>
                <patternFill>
                  <bgColor rgb="FFFFFF00"/>
                </patternFill>
              </fill>
            </x14:dxf>
          </x14:cfRule>
          <x14:cfRule type="expression" priority="3162" id="{6D65CBDB-3162-4505-A0A9-4F1B0AA4AADA}">
            <xm:f>Akseptkriterier!$G$37=Akseptkriterier!$H$5</xm:f>
            <x14:dxf>
              <fill>
                <patternFill>
                  <bgColor rgb="FF92D050"/>
                </patternFill>
              </fill>
            </x14:dxf>
          </x14:cfRule>
          <x14:cfRule type="expression" priority="3163" id="{B05AD7E3-70C7-404B-B647-04437BF629A9}">
            <xm:f>Akseptkriterier!$G$37=Akseptkriterier!$H$4</xm:f>
            <x14:dxf>
              <fill>
                <patternFill>
                  <bgColor rgb="FF00B050"/>
                </patternFill>
              </fill>
            </x14:dxf>
          </x14:cfRule>
          <xm:sqref>G8 G19</xm:sqref>
        </x14:conditionalFormatting>
        <x14:conditionalFormatting xmlns:xm="http://schemas.microsoft.com/office/excel/2006/main">
          <x14:cfRule type="expression" priority="3169" id="{4F6A15E0-DF1E-4BEA-928F-46685CDB61B1}">
            <xm:f>Akseptkriterier!$H$37=Akseptkriterier!$H$4</xm:f>
            <x14:dxf>
              <fill>
                <patternFill>
                  <bgColor rgb="FF00B050"/>
                </patternFill>
              </fill>
            </x14:dxf>
          </x14:cfRule>
          <x14:cfRule type="expression" priority="3170" id="{144D9CA6-053B-4913-A467-8737E405BACC}">
            <xm:f>Akseptkriterier!$H$37=Akseptkriterier!$H$5</xm:f>
            <x14:dxf>
              <fill>
                <patternFill>
                  <bgColor rgb="FF92D050"/>
                </patternFill>
              </fill>
            </x14:dxf>
          </x14:cfRule>
          <x14:cfRule type="expression" priority="3171" id="{77A52C5A-BAB0-463B-A493-BE17C07B4286}">
            <xm:f>Akseptkriterier!$H$37=Akseptkriterier!$H$6</xm:f>
            <x14:dxf>
              <fill>
                <patternFill>
                  <bgColor rgb="FFFFFF00"/>
                </patternFill>
              </fill>
            </x14:dxf>
          </x14:cfRule>
          <x14:cfRule type="expression" priority="3172" id="{13057640-CE42-42CB-ADB4-5C909A6BE0E3}">
            <xm:f>Akseptkriterier!$H$37=Akseptkriterier!$H$7</xm:f>
            <x14:dxf>
              <fill>
                <patternFill>
                  <bgColor rgb="FFFFC000"/>
                </patternFill>
              </fill>
            </x14:dxf>
          </x14:cfRule>
          <x14:cfRule type="expression" priority="3173" id="{D342344A-B4CC-4988-879D-6B81E3D1DF90}">
            <xm:f>Akseptkriterier!$H$37=Akseptkriterier!$H$8</xm:f>
            <x14:dxf>
              <fill>
                <patternFill>
                  <bgColor rgb="FFFF0000"/>
                </patternFill>
              </fill>
            </x14:dxf>
          </x14:cfRule>
          <xm:sqref>H8 H19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17">
    <tabColor rgb="FFD5FDFA"/>
  </sheetPr>
  <dimension ref="A1:G1200"/>
  <sheetViews>
    <sheetView showGridLines="0" zoomScale="83" zoomScaleNormal="83" workbookViewId="0">
      <selection activeCell="A2" sqref="A2"/>
    </sheetView>
  </sheetViews>
  <sheetFormatPr baseColWidth="10" defaultColWidth="11.42578125" defaultRowHeight="17.25" x14ac:dyDescent="0.35"/>
  <cols>
    <col min="1" max="1" width="5.7109375" style="72" customWidth="1"/>
    <col min="2" max="2" width="12.5703125" style="72" customWidth="1"/>
    <col min="3" max="3" width="86.42578125" style="89" customWidth="1"/>
    <col min="4" max="4" width="24.140625" style="72" customWidth="1"/>
    <col min="5" max="5" width="28.140625" style="72" customWidth="1"/>
    <col min="6" max="6" width="29.85546875" style="72" customWidth="1"/>
    <col min="7" max="7" width="57.140625" style="72" customWidth="1"/>
    <col min="8" max="16384" width="11.42578125" style="72"/>
  </cols>
  <sheetData>
    <row r="1" spans="1:7" ht="40.35" customHeight="1" x14ac:dyDescent="0.35">
      <c r="A1" s="282" t="s">
        <v>233</v>
      </c>
      <c r="B1" s="283" t="s">
        <v>234</v>
      </c>
      <c r="C1" s="284" t="s">
        <v>235</v>
      </c>
      <c r="D1" s="308" t="s">
        <v>236</v>
      </c>
      <c r="E1" s="286" t="s">
        <v>237</v>
      </c>
      <c r="F1" s="287" t="s">
        <v>238</v>
      </c>
      <c r="G1" s="275"/>
    </row>
    <row r="2" spans="1:7" x14ac:dyDescent="0.35">
      <c r="A2" s="276"/>
      <c r="B2" s="276"/>
      <c r="C2" s="276"/>
      <c r="D2" s="276"/>
      <c r="E2" s="276"/>
      <c r="F2" s="276"/>
      <c r="G2" s="276"/>
    </row>
    <row r="3" spans="1:7" x14ac:dyDescent="0.35">
      <c r="A3" s="276"/>
      <c r="B3" s="276"/>
      <c r="C3" s="276"/>
      <c r="D3" s="276"/>
      <c r="E3" s="276"/>
      <c r="F3" s="276"/>
      <c r="G3" s="276"/>
    </row>
    <row r="4" spans="1:7" x14ac:dyDescent="0.35">
      <c r="A4" s="276"/>
      <c r="B4" s="276"/>
      <c r="C4" s="276"/>
      <c r="D4" s="276"/>
      <c r="E4" s="276"/>
      <c r="F4" s="276"/>
      <c r="G4" s="276"/>
    </row>
    <row r="5" spans="1:7" x14ac:dyDescent="0.35">
      <c r="A5" s="276"/>
      <c r="B5" s="276"/>
      <c r="C5" s="276"/>
      <c r="D5" s="276"/>
      <c r="E5" s="276"/>
      <c r="F5" s="276"/>
      <c r="G5" s="276"/>
    </row>
    <row r="6" spans="1:7" x14ac:dyDescent="0.35">
      <c r="A6" s="276"/>
      <c r="B6" s="276"/>
      <c r="C6" s="276"/>
      <c r="D6" s="276"/>
      <c r="E6" s="276"/>
      <c r="F6" s="276"/>
      <c r="G6" s="276"/>
    </row>
    <row r="7" spans="1:7" x14ac:dyDescent="0.35">
      <c r="A7" s="276"/>
      <c r="B7" s="276"/>
      <c r="C7" s="276"/>
      <c r="D7" s="276"/>
      <c r="E7" s="276"/>
      <c r="F7" s="276"/>
      <c r="G7" s="276"/>
    </row>
    <row r="8" spans="1:7" x14ac:dyDescent="0.35">
      <c r="A8" s="276"/>
      <c r="B8" s="276"/>
      <c r="C8" s="276"/>
      <c r="D8" s="276"/>
      <c r="E8" s="276"/>
      <c r="F8" s="276"/>
      <c r="G8" s="276"/>
    </row>
    <row r="9" spans="1:7" x14ac:dyDescent="0.35">
      <c r="A9" s="276"/>
      <c r="B9" s="276"/>
      <c r="C9" s="276"/>
      <c r="D9" s="276"/>
      <c r="E9" s="276"/>
      <c r="F9" s="276"/>
      <c r="G9" s="276"/>
    </row>
    <row r="10" spans="1:7" x14ac:dyDescent="0.35">
      <c r="A10" s="276"/>
      <c r="B10" s="276"/>
      <c r="C10" s="276"/>
      <c r="D10" s="276"/>
      <c r="E10" s="276"/>
      <c r="F10" s="276"/>
      <c r="G10" s="276"/>
    </row>
    <row r="11" spans="1:7" x14ac:dyDescent="0.35">
      <c r="A11" s="276"/>
      <c r="B11" s="276"/>
      <c r="C11" s="276"/>
      <c r="D11" s="276"/>
      <c r="E11" s="276"/>
      <c r="F11" s="276"/>
      <c r="G11" s="276"/>
    </row>
    <row r="12" spans="1:7" x14ac:dyDescent="0.35">
      <c r="A12" s="276"/>
      <c r="B12" s="276"/>
      <c r="C12" s="276"/>
      <c r="D12" s="276"/>
      <c r="E12" s="276"/>
      <c r="F12" s="276"/>
      <c r="G12" s="276"/>
    </row>
    <row r="13" spans="1:7" x14ac:dyDescent="0.35">
      <c r="A13" s="276"/>
      <c r="B13" s="276"/>
      <c r="C13" s="276"/>
      <c r="D13" s="276"/>
      <c r="E13" s="276"/>
      <c r="F13" s="276"/>
      <c r="G13" s="276"/>
    </row>
    <row r="14" spans="1:7" x14ac:dyDescent="0.35">
      <c r="A14" s="276"/>
      <c r="B14" s="276"/>
      <c r="C14" s="276"/>
      <c r="D14" s="276"/>
      <c r="E14" s="276"/>
      <c r="F14" s="276"/>
      <c r="G14" s="276"/>
    </row>
    <row r="15" spans="1:7" x14ac:dyDescent="0.35">
      <c r="A15" s="276"/>
      <c r="B15" s="276"/>
      <c r="C15" s="276"/>
      <c r="D15" s="276"/>
      <c r="E15" s="276"/>
      <c r="F15" s="276"/>
      <c r="G15" s="276"/>
    </row>
    <row r="16" spans="1:7" x14ac:dyDescent="0.35">
      <c r="A16" s="276"/>
      <c r="B16" s="276"/>
      <c r="C16" s="276"/>
      <c r="D16" s="276"/>
      <c r="E16" s="276"/>
      <c r="F16" s="276"/>
      <c r="G16" s="276"/>
    </row>
    <row r="17" spans="1:7" x14ac:dyDescent="0.35">
      <c r="A17" s="276"/>
      <c r="B17" s="276"/>
      <c r="C17" s="276"/>
      <c r="D17" s="276"/>
      <c r="E17" s="276"/>
      <c r="F17" s="276"/>
      <c r="G17" s="276"/>
    </row>
    <row r="18" spans="1:7" x14ac:dyDescent="0.35">
      <c r="A18" s="276"/>
      <c r="B18" s="276"/>
      <c r="C18" s="276"/>
      <c r="D18" s="276"/>
      <c r="E18" s="276"/>
      <c r="F18" s="276"/>
      <c r="G18" s="276"/>
    </row>
    <row r="19" spans="1:7" x14ac:dyDescent="0.35">
      <c r="A19" s="276"/>
      <c r="B19" s="276"/>
      <c r="C19" s="276"/>
      <c r="D19" s="276"/>
      <c r="E19" s="276"/>
      <c r="F19" s="276"/>
      <c r="G19" s="276"/>
    </row>
    <row r="20" spans="1:7" x14ac:dyDescent="0.35">
      <c r="A20" s="276"/>
      <c r="B20" s="276"/>
      <c r="C20" s="276"/>
      <c r="D20" s="276"/>
      <c r="E20" s="276"/>
      <c r="F20" s="276"/>
      <c r="G20" s="276"/>
    </row>
    <row r="21" spans="1:7" x14ac:dyDescent="0.35">
      <c r="A21" s="276"/>
      <c r="B21" s="276"/>
      <c r="C21" s="276"/>
      <c r="D21" s="276"/>
      <c r="E21" s="276"/>
      <c r="F21" s="276"/>
      <c r="G21" s="276"/>
    </row>
    <row r="22" spans="1:7" x14ac:dyDescent="0.35">
      <c r="A22" s="276"/>
      <c r="B22" s="276"/>
      <c r="C22" s="276"/>
      <c r="D22" s="276"/>
      <c r="E22" s="276"/>
      <c r="F22" s="276"/>
      <c r="G22" s="276"/>
    </row>
    <row r="23" spans="1:7" x14ac:dyDescent="0.35">
      <c r="A23" s="276"/>
      <c r="B23" s="276"/>
      <c r="C23" s="276"/>
      <c r="D23" s="276"/>
      <c r="E23" s="276"/>
      <c r="F23" s="276"/>
      <c r="G23" s="276"/>
    </row>
    <row r="24" spans="1:7" x14ac:dyDescent="0.35">
      <c r="A24" s="276"/>
      <c r="B24" s="276"/>
      <c r="C24" s="276"/>
      <c r="D24" s="276"/>
      <c r="E24" s="276"/>
      <c r="F24" s="276"/>
      <c r="G24" s="276"/>
    </row>
    <row r="25" spans="1:7" x14ac:dyDescent="0.35">
      <c r="A25" s="276"/>
      <c r="B25" s="276"/>
      <c r="C25" s="276"/>
      <c r="D25" s="276"/>
      <c r="E25" s="276"/>
      <c r="F25" s="276"/>
      <c r="G25" s="276"/>
    </row>
    <row r="26" spans="1:7" x14ac:dyDescent="0.35">
      <c r="A26" s="276"/>
      <c r="B26" s="276"/>
      <c r="C26" s="276"/>
      <c r="D26" s="276"/>
      <c r="E26" s="276"/>
      <c r="F26" s="276"/>
      <c r="G26" s="276"/>
    </row>
    <row r="27" spans="1:7" x14ac:dyDescent="0.35">
      <c r="A27" s="276"/>
      <c r="B27" s="276"/>
      <c r="C27" s="276"/>
      <c r="D27" s="276"/>
      <c r="E27" s="276"/>
      <c r="F27" s="276"/>
      <c r="G27" s="276"/>
    </row>
    <row r="28" spans="1:7" x14ac:dyDescent="0.35">
      <c r="A28" s="276"/>
      <c r="B28" s="276"/>
      <c r="C28" s="276"/>
      <c r="D28" s="276"/>
      <c r="E28" s="276"/>
      <c r="F28" s="276"/>
      <c r="G28" s="276"/>
    </row>
    <row r="29" spans="1:7" x14ac:dyDescent="0.35">
      <c r="A29" s="276"/>
      <c r="B29" s="276"/>
      <c r="C29" s="276"/>
      <c r="D29" s="276"/>
      <c r="E29" s="276"/>
      <c r="F29" s="276"/>
      <c r="G29" s="276"/>
    </row>
    <row r="30" spans="1:7" x14ac:dyDescent="0.35">
      <c r="A30" s="276"/>
      <c r="B30" s="276"/>
      <c r="C30" s="276"/>
      <c r="D30" s="276"/>
      <c r="E30" s="276"/>
      <c r="F30" s="276"/>
      <c r="G30" s="276"/>
    </row>
    <row r="31" spans="1:7" x14ac:dyDescent="0.35">
      <c r="A31" s="276"/>
      <c r="B31" s="276"/>
      <c r="C31" s="276"/>
      <c r="D31" s="276"/>
      <c r="E31" s="276"/>
      <c r="F31" s="276"/>
      <c r="G31" s="276"/>
    </row>
    <row r="32" spans="1:7" x14ac:dyDescent="0.35">
      <c r="A32" s="276"/>
      <c r="B32" s="276"/>
      <c r="C32" s="276"/>
      <c r="D32" s="276"/>
      <c r="E32" s="276"/>
      <c r="F32" s="276"/>
      <c r="G32" s="276"/>
    </row>
    <row r="33" spans="1:7" x14ac:dyDescent="0.35">
      <c r="A33" s="276"/>
      <c r="B33" s="276"/>
      <c r="C33" s="276"/>
      <c r="D33" s="276"/>
      <c r="E33" s="276"/>
      <c r="F33" s="276"/>
      <c r="G33" s="276"/>
    </row>
    <row r="34" spans="1:7" x14ac:dyDescent="0.35">
      <c r="A34" s="276"/>
      <c r="B34" s="276"/>
      <c r="C34" s="276"/>
      <c r="D34" s="276"/>
      <c r="E34" s="276"/>
      <c r="F34" s="276"/>
      <c r="G34" s="276"/>
    </row>
    <row r="35" spans="1:7" x14ac:dyDescent="0.35">
      <c r="A35" s="276"/>
      <c r="B35" s="276"/>
      <c r="C35" s="276"/>
      <c r="D35" s="276"/>
      <c r="E35" s="276"/>
      <c r="F35" s="276"/>
      <c r="G35" s="276"/>
    </row>
    <row r="36" spans="1:7" x14ac:dyDescent="0.35">
      <c r="A36" s="276"/>
      <c r="B36" s="276"/>
      <c r="C36" s="276"/>
      <c r="D36" s="276"/>
      <c r="E36" s="276"/>
      <c r="F36" s="276"/>
      <c r="G36" s="276"/>
    </row>
    <row r="37" spans="1:7" x14ac:dyDescent="0.35">
      <c r="A37" s="276"/>
      <c r="B37" s="276"/>
      <c r="C37" s="276"/>
      <c r="D37" s="276"/>
      <c r="E37" s="276"/>
      <c r="F37" s="276"/>
      <c r="G37" s="276"/>
    </row>
    <row r="38" spans="1:7" x14ac:dyDescent="0.35">
      <c r="A38" s="276"/>
      <c r="B38" s="276"/>
      <c r="C38" s="276"/>
      <c r="D38" s="276"/>
      <c r="E38" s="276"/>
      <c r="F38" s="276"/>
      <c r="G38" s="276"/>
    </row>
    <row r="39" spans="1:7" x14ac:dyDescent="0.35">
      <c r="A39" s="276"/>
      <c r="B39" s="276"/>
      <c r="C39" s="276"/>
      <c r="D39" s="276"/>
      <c r="E39" s="276"/>
      <c r="F39" s="276"/>
      <c r="G39" s="276"/>
    </row>
    <row r="40" spans="1:7" x14ac:dyDescent="0.35">
      <c r="A40" s="276"/>
      <c r="B40" s="276"/>
      <c r="C40" s="276"/>
      <c r="D40" s="276"/>
      <c r="E40" s="276"/>
      <c r="F40" s="276"/>
      <c r="G40" s="276"/>
    </row>
    <row r="41" spans="1:7" x14ac:dyDescent="0.35">
      <c r="A41" s="276"/>
      <c r="B41" s="276"/>
      <c r="C41" s="276"/>
      <c r="D41" s="276"/>
      <c r="E41" s="276"/>
      <c r="F41" s="276"/>
      <c r="G41" s="276"/>
    </row>
    <row r="42" spans="1:7" x14ac:dyDescent="0.35">
      <c r="A42" s="276"/>
      <c r="B42" s="276"/>
      <c r="C42" s="276"/>
      <c r="D42" s="276"/>
      <c r="E42" s="276"/>
      <c r="F42" s="276"/>
      <c r="G42" s="276"/>
    </row>
    <row r="43" spans="1:7" x14ac:dyDescent="0.35">
      <c r="A43" s="276"/>
      <c r="B43" s="276"/>
      <c r="C43" s="276"/>
      <c r="D43" s="276"/>
      <c r="E43" s="276"/>
      <c r="F43" s="276"/>
      <c r="G43" s="276"/>
    </row>
    <row r="44" spans="1:7" x14ac:dyDescent="0.35">
      <c r="A44" s="276"/>
      <c r="B44" s="276"/>
      <c r="C44" s="276"/>
      <c r="D44" s="276"/>
      <c r="E44" s="276"/>
      <c r="F44" s="276"/>
      <c r="G44" s="276"/>
    </row>
    <row r="45" spans="1:7" x14ac:dyDescent="0.35">
      <c r="A45" s="276"/>
      <c r="B45" s="276"/>
      <c r="C45" s="276"/>
      <c r="D45" s="276"/>
      <c r="E45" s="276"/>
      <c r="F45" s="276"/>
      <c r="G45" s="276"/>
    </row>
    <row r="46" spans="1:7" x14ac:dyDescent="0.35">
      <c r="A46" s="276"/>
      <c r="B46" s="276"/>
      <c r="C46" s="276"/>
      <c r="D46" s="276"/>
      <c r="E46" s="276"/>
      <c r="F46" s="276"/>
      <c r="G46" s="276"/>
    </row>
    <row r="47" spans="1:7" x14ac:dyDescent="0.35">
      <c r="A47" s="276"/>
      <c r="B47" s="276"/>
      <c r="C47" s="276"/>
      <c r="D47" s="276"/>
      <c r="E47" s="276"/>
      <c r="F47" s="276"/>
      <c r="G47" s="276"/>
    </row>
    <row r="48" spans="1:7" x14ac:dyDescent="0.35">
      <c r="A48" s="276"/>
      <c r="B48" s="276"/>
      <c r="C48" s="276"/>
      <c r="D48" s="276"/>
      <c r="E48" s="276"/>
      <c r="F48" s="276"/>
      <c r="G48" s="276"/>
    </row>
    <row r="49" spans="1:7" x14ac:dyDescent="0.35">
      <c r="A49" s="276"/>
      <c r="B49" s="276"/>
      <c r="C49" s="276"/>
      <c r="D49" s="276"/>
      <c r="E49" s="276"/>
      <c r="F49" s="276"/>
      <c r="G49" s="276"/>
    </row>
    <row r="50" spans="1:7" x14ac:dyDescent="0.35">
      <c r="A50" s="276"/>
      <c r="B50" s="276"/>
      <c r="C50" s="276"/>
      <c r="D50" s="276"/>
      <c r="E50" s="276"/>
      <c r="F50" s="276"/>
      <c r="G50" s="276"/>
    </row>
    <row r="51" spans="1:7" x14ac:dyDescent="0.35">
      <c r="A51" s="276"/>
      <c r="B51" s="276"/>
      <c r="C51" s="276"/>
      <c r="D51" s="276"/>
      <c r="E51" s="276"/>
      <c r="F51" s="276"/>
      <c r="G51" s="276"/>
    </row>
    <row r="52" spans="1:7" x14ac:dyDescent="0.35">
      <c r="A52" s="276"/>
      <c r="B52" s="276"/>
      <c r="C52" s="276"/>
      <c r="D52" s="276"/>
      <c r="E52" s="276"/>
      <c r="F52" s="276"/>
      <c r="G52" s="276"/>
    </row>
    <row r="53" spans="1:7" x14ac:dyDescent="0.35">
      <c r="A53" s="276"/>
      <c r="B53" s="276"/>
      <c r="C53" s="276"/>
      <c r="D53" s="276"/>
      <c r="E53" s="276"/>
      <c r="F53" s="276"/>
      <c r="G53" s="276"/>
    </row>
    <row r="54" spans="1:7" x14ac:dyDescent="0.35">
      <c r="A54" s="276"/>
      <c r="B54" s="276"/>
      <c r="C54" s="276"/>
      <c r="D54" s="276"/>
      <c r="E54" s="276"/>
      <c r="F54" s="276"/>
      <c r="G54" s="276"/>
    </row>
    <row r="55" spans="1:7" x14ac:dyDescent="0.35">
      <c r="A55" s="276"/>
      <c r="B55" s="276"/>
      <c r="C55" s="276"/>
      <c r="D55" s="276"/>
      <c r="E55" s="276"/>
      <c r="F55" s="276"/>
      <c r="G55" s="276"/>
    </row>
    <row r="56" spans="1:7" x14ac:dyDescent="0.35">
      <c r="A56" s="276"/>
      <c r="B56" s="276"/>
      <c r="C56" s="276"/>
      <c r="D56" s="276"/>
      <c r="E56" s="276"/>
      <c r="F56" s="276"/>
      <c r="G56" s="276"/>
    </row>
    <row r="57" spans="1:7" x14ac:dyDescent="0.35">
      <c r="A57" s="276"/>
      <c r="B57" s="276"/>
      <c r="C57" s="276"/>
      <c r="D57" s="276"/>
      <c r="E57" s="276"/>
      <c r="F57" s="276"/>
      <c r="G57" s="276"/>
    </row>
    <row r="58" spans="1:7" x14ac:dyDescent="0.35">
      <c r="A58" s="276"/>
      <c r="B58" s="276"/>
      <c r="C58" s="276"/>
      <c r="D58" s="276"/>
      <c r="E58" s="276"/>
      <c r="F58" s="276"/>
      <c r="G58" s="276"/>
    </row>
    <row r="59" spans="1:7" x14ac:dyDescent="0.35">
      <c r="A59" s="276"/>
      <c r="B59" s="276"/>
      <c r="C59" s="276"/>
      <c r="D59" s="276"/>
      <c r="E59" s="276"/>
      <c r="F59" s="276"/>
      <c r="G59" s="276"/>
    </row>
    <row r="60" spans="1:7" x14ac:dyDescent="0.35">
      <c r="A60" s="276"/>
      <c r="B60" s="276"/>
      <c r="C60" s="276"/>
      <c r="D60" s="276"/>
      <c r="E60" s="276"/>
      <c r="F60" s="276"/>
      <c r="G60" s="276"/>
    </row>
    <row r="61" spans="1:7" x14ac:dyDescent="0.35">
      <c r="A61" s="276"/>
      <c r="B61" s="276"/>
      <c r="C61" s="276"/>
      <c r="D61" s="276"/>
      <c r="E61" s="276"/>
      <c r="F61" s="276"/>
      <c r="G61" s="276"/>
    </row>
    <row r="62" spans="1:7" x14ac:dyDescent="0.35">
      <c r="A62" s="276"/>
      <c r="B62" s="276"/>
      <c r="C62" s="276"/>
      <c r="D62" s="276"/>
      <c r="E62" s="276"/>
      <c r="F62" s="276"/>
      <c r="G62" s="276"/>
    </row>
    <row r="63" spans="1:7" x14ac:dyDescent="0.35">
      <c r="A63" s="276"/>
      <c r="B63" s="276"/>
      <c r="C63" s="276"/>
      <c r="D63" s="276"/>
      <c r="E63" s="276"/>
      <c r="F63" s="276"/>
      <c r="G63" s="276"/>
    </row>
    <row r="64" spans="1:7" x14ac:dyDescent="0.35">
      <c r="A64" s="276"/>
      <c r="B64" s="276"/>
      <c r="C64" s="276"/>
      <c r="D64" s="276"/>
      <c r="E64" s="276"/>
      <c r="F64" s="276"/>
      <c r="G64" s="276"/>
    </row>
    <row r="65" spans="1:7" x14ac:dyDescent="0.35">
      <c r="A65" s="276"/>
      <c r="B65" s="276"/>
      <c r="C65" s="276"/>
      <c r="D65" s="276"/>
      <c r="E65" s="276"/>
      <c r="F65" s="276"/>
      <c r="G65" s="276"/>
    </row>
    <row r="66" spans="1:7" x14ac:dyDescent="0.35">
      <c r="A66" s="276"/>
      <c r="B66" s="276"/>
      <c r="C66" s="276"/>
      <c r="D66" s="276"/>
      <c r="E66" s="276"/>
      <c r="F66" s="276"/>
      <c r="G66" s="276"/>
    </row>
    <row r="67" spans="1:7" x14ac:dyDescent="0.35">
      <c r="A67" s="276"/>
      <c r="B67" s="276"/>
      <c r="C67" s="276"/>
      <c r="D67" s="276"/>
      <c r="E67" s="276"/>
      <c r="F67" s="276"/>
      <c r="G67" s="276"/>
    </row>
    <row r="68" spans="1:7" x14ac:dyDescent="0.35">
      <c r="A68" s="276"/>
      <c r="B68" s="276"/>
      <c r="C68" s="276"/>
      <c r="D68" s="276"/>
      <c r="E68" s="276"/>
      <c r="F68" s="276"/>
      <c r="G68" s="276"/>
    </row>
    <row r="69" spans="1:7" x14ac:dyDescent="0.35">
      <c r="A69" s="276"/>
      <c r="B69" s="276"/>
      <c r="C69" s="276"/>
      <c r="D69" s="276"/>
      <c r="E69" s="276"/>
      <c r="F69" s="276"/>
      <c r="G69" s="276"/>
    </row>
    <row r="70" spans="1:7" x14ac:dyDescent="0.35">
      <c r="A70" s="276"/>
      <c r="B70" s="276"/>
      <c r="C70" s="276"/>
      <c r="D70" s="276"/>
      <c r="E70" s="276"/>
      <c r="F70" s="276"/>
      <c r="G70" s="276"/>
    </row>
    <row r="71" spans="1:7" x14ac:dyDescent="0.35">
      <c r="A71" s="276"/>
      <c r="B71" s="276"/>
      <c r="C71" s="276"/>
      <c r="D71" s="276"/>
      <c r="E71" s="276"/>
      <c r="F71" s="276"/>
      <c r="G71" s="276"/>
    </row>
    <row r="72" spans="1:7" x14ac:dyDescent="0.35">
      <c r="A72" s="276"/>
      <c r="B72" s="276"/>
      <c r="C72" s="276"/>
      <c r="D72" s="276"/>
      <c r="E72" s="276"/>
      <c r="F72" s="276"/>
      <c r="G72" s="276"/>
    </row>
    <row r="73" spans="1:7" x14ac:dyDescent="0.35">
      <c r="A73" s="276"/>
      <c r="B73" s="276"/>
      <c r="C73" s="276"/>
      <c r="D73" s="276"/>
      <c r="E73" s="276"/>
      <c r="F73" s="276"/>
      <c r="G73" s="276"/>
    </row>
    <row r="74" spans="1:7" x14ac:dyDescent="0.35">
      <c r="A74" s="276"/>
      <c r="B74" s="276"/>
      <c r="C74" s="276"/>
      <c r="D74" s="276"/>
      <c r="E74" s="276"/>
      <c r="F74" s="276"/>
      <c r="G74" s="276"/>
    </row>
    <row r="75" spans="1:7" x14ac:dyDescent="0.35">
      <c r="A75" s="276"/>
      <c r="B75" s="276"/>
      <c r="C75" s="276"/>
      <c r="D75" s="276"/>
      <c r="E75" s="276"/>
      <c r="F75" s="276"/>
      <c r="G75" s="276"/>
    </row>
    <row r="76" spans="1:7" x14ac:dyDescent="0.35">
      <c r="A76" s="276"/>
      <c r="B76" s="276"/>
      <c r="C76" s="276"/>
      <c r="D76" s="276"/>
      <c r="E76" s="276"/>
      <c r="F76" s="276"/>
      <c r="G76" s="276"/>
    </row>
    <row r="77" spans="1:7" x14ac:dyDescent="0.35">
      <c r="A77" s="276"/>
      <c r="B77" s="276"/>
      <c r="C77" s="276"/>
      <c r="D77" s="276"/>
      <c r="E77" s="276"/>
      <c r="F77" s="276"/>
      <c r="G77" s="276"/>
    </row>
    <row r="78" spans="1:7" x14ac:dyDescent="0.35">
      <c r="A78" s="276"/>
      <c r="B78" s="276"/>
      <c r="C78" s="276"/>
      <c r="D78" s="276"/>
      <c r="E78" s="276"/>
      <c r="F78" s="276"/>
      <c r="G78" s="276"/>
    </row>
    <row r="79" spans="1:7" x14ac:dyDescent="0.35">
      <c r="A79" s="276"/>
      <c r="B79" s="276"/>
      <c r="C79" s="276"/>
      <c r="D79" s="276"/>
      <c r="E79" s="276"/>
      <c r="F79" s="276"/>
      <c r="G79" s="276"/>
    </row>
    <row r="80" spans="1:7" x14ac:dyDescent="0.35">
      <c r="A80" s="276"/>
      <c r="B80" s="276"/>
      <c r="C80" s="276"/>
      <c r="D80" s="276"/>
      <c r="E80" s="276"/>
      <c r="F80" s="276"/>
      <c r="G80" s="276"/>
    </row>
    <row r="81" spans="1:7" x14ac:dyDescent="0.35">
      <c r="A81" s="276"/>
      <c r="B81" s="276"/>
      <c r="C81" s="276"/>
      <c r="D81" s="276"/>
      <c r="E81" s="276"/>
      <c r="F81" s="276"/>
      <c r="G81" s="276"/>
    </row>
    <row r="82" spans="1:7" x14ac:dyDescent="0.35">
      <c r="A82" s="276"/>
      <c r="B82" s="276"/>
      <c r="C82" s="276"/>
      <c r="D82" s="276"/>
      <c r="E82" s="276"/>
      <c r="F82" s="276"/>
      <c r="G82" s="276"/>
    </row>
    <row r="83" spans="1:7" x14ac:dyDescent="0.35">
      <c r="A83" s="276"/>
      <c r="B83" s="276"/>
      <c r="C83" s="276"/>
      <c r="D83" s="276"/>
      <c r="E83" s="276"/>
      <c r="F83" s="276"/>
      <c r="G83" s="276"/>
    </row>
    <row r="84" spans="1:7" x14ac:dyDescent="0.35">
      <c r="A84" s="276"/>
      <c r="B84" s="276"/>
      <c r="C84" s="276"/>
      <c r="D84" s="276"/>
      <c r="E84" s="276"/>
      <c r="F84" s="276"/>
      <c r="G84" s="276"/>
    </row>
    <row r="85" spans="1:7" x14ac:dyDescent="0.35">
      <c r="A85" s="276"/>
      <c r="B85" s="276"/>
      <c r="C85" s="276"/>
      <c r="D85" s="276"/>
      <c r="E85" s="276"/>
      <c r="F85" s="276"/>
      <c r="G85" s="276"/>
    </row>
    <row r="86" spans="1:7" x14ac:dyDescent="0.35">
      <c r="A86" s="276"/>
      <c r="B86" s="276"/>
      <c r="C86" s="276"/>
      <c r="D86" s="276"/>
      <c r="E86" s="276"/>
      <c r="F86" s="276"/>
      <c r="G86" s="276"/>
    </row>
    <row r="87" spans="1:7" x14ac:dyDescent="0.35">
      <c r="A87" s="276"/>
      <c r="B87" s="276"/>
      <c r="C87" s="276"/>
      <c r="D87" s="276"/>
      <c r="E87" s="276"/>
      <c r="F87" s="276"/>
      <c r="G87" s="276"/>
    </row>
    <row r="88" spans="1:7" x14ac:dyDescent="0.35">
      <c r="A88" s="276"/>
      <c r="B88" s="276"/>
      <c r="C88" s="276"/>
      <c r="D88" s="276"/>
      <c r="E88" s="276"/>
      <c r="F88" s="276"/>
      <c r="G88" s="276"/>
    </row>
    <row r="89" spans="1:7" x14ac:dyDescent="0.35">
      <c r="A89" s="276"/>
      <c r="B89" s="276"/>
      <c r="C89" s="276"/>
      <c r="D89" s="276"/>
      <c r="E89" s="276"/>
      <c r="F89" s="276"/>
      <c r="G89" s="276"/>
    </row>
    <row r="90" spans="1:7" x14ac:dyDescent="0.35">
      <c r="A90" s="276"/>
      <c r="B90" s="276"/>
      <c r="C90" s="276"/>
      <c r="D90" s="276"/>
      <c r="E90" s="276"/>
      <c r="F90" s="276"/>
      <c r="G90" s="276"/>
    </row>
    <row r="91" spans="1:7" x14ac:dyDescent="0.35">
      <c r="A91" s="276"/>
      <c r="B91" s="276"/>
      <c r="C91" s="276"/>
      <c r="D91" s="276"/>
      <c r="E91" s="276"/>
      <c r="F91" s="276"/>
      <c r="G91" s="276"/>
    </row>
    <row r="92" spans="1:7" x14ac:dyDescent="0.35">
      <c r="A92" s="276"/>
      <c r="B92" s="276"/>
      <c r="C92" s="276"/>
      <c r="D92" s="276"/>
      <c r="E92" s="276"/>
      <c r="F92" s="276"/>
      <c r="G92" s="276"/>
    </row>
    <row r="93" spans="1:7" x14ac:dyDescent="0.35">
      <c r="A93" s="276"/>
      <c r="B93" s="276"/>
      <c r="C93" s="276"/>
      <c r="D93" s="276"/>
      <c r="E93" s="276"/>
      <c r="F93" s="276"/>
      <c r="G93" s="276"/>
    </row>
    <row r="94" spans="1:7" x14ac:dyDescent="0.35">
      <c r="A94" s="276"/>
      <c r="B94" s="276"/>
      <c r="C94" s="276"/>
      <c r="D94" s="276"/>
      <c r="E94" s="276"/>
      <c r="F94" s="276"/>
      <c r="G94" s="276"/>
    </row>
    <row r="95" spans="1:7" x14ac:dyDescent="0.35">
      <c r="A95" s="276"/>
      <c r="B95" s="276"/>
      <c r="C95" s="276"/>
      <c r="D95" s="276"/>
      <c r="E95" s="276"/>
      <c r="F95" s="276"/>
      <c r="G95" s="276"/>
    </row>
    <row r="96" spans="1:7" x14ac:dyDescent="0.35">
      <c r="A96" s="276"/>
      <c r="B96" s="276"/>
      <c r="C96" s="276"/>
      <c r="D96" s="276"/>
      <c r="E96" s="276"/>
      <c r="F96" s="276"/>
      <c r="G96" s="276"/>
    </row>
    <row r="97" spans="1:7" x14ac:dyDescent="0.35">
      <c r="A97" s="276"/>
      <c r="B97" s="276"/>
      <c r="C97" s="276"/>
      <c r="D97" s="276"/>
      <c r="E97" s="276"/>
      <c r="F97" s="276"/>
      <c r="G97" s="276"/>
    </row>
    <row r="98" spans="1:7" x14ac:dyDescent="0.35">
      <c r="A98" s="276"/>
      <c r="B98" s="276"/>
      <c r="C98" s="276"/>
      <c r="D98" s="276"/>
      <c r="E98" s="276"/>
      <c r="F98" s="276"/>
      <c r="G98" s="276"/>
    </row>
    <row r="99" spans="1:7" x14ac:dyDescent="0.35">
      <c r="A99" s="276"/>
      <c r="B99" s="276"/>
      <c r="C99" s="276"/>
      <c r="D99" s="276"/>
      <c r="E99" s="276"/>
      <c r="F99" s="276"/>
      <c r="G99" s="276"/>
    </row>
    <row r="100" spans="1:7" x14ac:dyDescent="0.35">
      <c r="A100" s="276"/>
      <c r="B100" s="276"/>
      <c r="C100" s="276"/>
      <c r="D100" s="276"/>
      <c r="E100" s="276"/>
      <c r="F100" s="276"/>
      <c r="G100" s="276"/>
    </row>
    <row r="101" spans="1:7" x14ac:dyDescent="0.35">
      <c r="A101" s="276"/>
      <c r="B101" s="276"/>
      <c r="C101" s="276"/>
      <c r="D101" s="276"/>
      <c r="E101" s="276"/>
      <c r="F101" s="276"/>
      <c r="G101" s="276"/>
    </row>
    <row r="102" spans="1:7" x14ac:dyDescent="0.35">
      <c r="A102" s="276"/>
      <c r="B102" s="276"/>
      <c r="C102" s="276"/>
      <c r="D102" s="276"/>
      <c r="E102" s="276"/>
      <c r="F102" s="276"/>
      <c r="G102" s="276"/>
    </row>
    <row r="103" spans="1:7" x14ac:dyDescent="0.35">
      <c r="A103" s="276"/>
      <c r="B103" s="276"/>
      <c r="C103" s="276"/>
      <c r="D103" s="276"/>
      <c r="E103" s="276"/>
      <c r="F103" s="276"/>
      <c r="G103" s="276"/>
    </row>
    <row r="104" spans="1:7" x14ac:dyDescent="0.35">
      <c r="A104" s="276"/>
      <c r="B104" s="276"/>
      <c r="C104" s="276"/>
      <c r="D104" s="276"/>
      <c r="E104" s="276"/>
      <c r="F104" s="276"/>
      <c r="G104" s="276"/>
    </row>
    <row r="105" spans="1:7" x14ac:dyDescent="0.35">
      <c r="A105" s="276"/>
      <c r="B105" s="276"/>
      <c r="C105" s="276"/>
      <c r="D105" s="276"/>
      <c r="E105" s="276"/>
      <c r="F105" s="276"/>
      <c r="G105" s="276"/>
    </row>
    <row r="106" spans="1:7" x14ac:dyDescent="0.35">
      <c r="A106" s="276"/>
      <c r="B106" s="276"/>
      <c r="C106" s="276"/>
      <c r="D106" s="276"/>
      <c r="E106" s="276"/>
      <c r="F106" s="276"/>
      <c r="G106" s="276"/>
    </row>
    <row r="107" spans="1:7" x14ac:dyDescent="0.35">
      <c r="A107" s="276"/>
      <c r="B107" s="276"/>
      <c r="C107" s="276"/>
      <c r="D107" s="276"/>
      <c r="E107" s="276"/>
      <c r="F107" s="276"/>
      <c r="G107" s="276"/>
    </row>
    <row r="108" spans="1:7" x14ac:dyDescent="0.35">
      <c r="A108" s="276"/>
      <c r="B108" s="276"/>
      <c r="C108" s="276"/>
      <c r="D108" s="276"/>
      <c r="E108" s="276"/>
      <c r="F108" s="276"/>
      <c r="G108" s="276"/>
    </row>
    <row r="109" spans="1:7" x14ac:dyDescent="0.35">
      <c r="A109" s="276"/>
      <c r="B109" s="276"/>
      <c r="C109" s="276"/>
      <c r="D109" s="276"/>
      <c r="E109" s="276"/>
      <c r="F109" s="276"/>
      <c r="G109" s="276"/>
    </row>
    <row r="110" spans="1:7" x14ac:dyDescent="0.35">
      <c r="A110" s="276"/>
      <c r="B110" s="276"/>
      <c r="C110" s="276"/>
      <c r="D110" s="276"/>
      <c r="E110" s="276"/>
      <c r="F110" s="276"/>
      <c r="G110" s="276"/>
    </row>
    <row r="111" spans="1:7" x14ac:dyDescent="0.35">
      <c r="A111" s="276"/>
      <c r="B111" s="276"/>
      <c r="C111" s="276"/>
      <c r="D111" s="276"/>
      <c r="E111" s="276"/>
      <c r="F111" s="276"/>
      <c r="G111" s="276"/>
    </row>
    <row r="112" spans="1:7" x14ac:dyDescent="0.35">
      <c r="A112" s="276"/>
      <c r="B112" s="276"/>
      <c r="C112" s="276"/>
      <c r="D112" s="276"/>
      <c r="E112" s="276"/>
      <c r="F112" s="276"/>
      <c r="G112" s="276"/>
    </row>
    <row r="113" spans="1:7" x14ac:dyDescent="0.35">
      <c r="A113" s="276"/>
      <c r="B113" s="276"/>
      <c r="C113" s="276"/>
      <c r="D113" s="276"/>
      <c r="E113" s="276"/>
      <c r="F113" s="276"/>
      <c r="G113" s="276"/>
    </row>
    <row r="114" spans="1:7" x14ac:dyDescent="0.35">
      <c r="A114" s="276"/>
      <c r="B114" s="276"/>
      <c r="C114" s="276"/>
      <c r="D114" s="276"/>
      <c r="E114" s="276"/>
      <c r="F114" s="276"/>
      <c r="G114" s="276"/>
    </row>
    <row r="115" spans="1:7" x14ac:dyDescent="0.35">
      <c r="A115" s="276"/>
      <c r="B115" s="276"/>
      <c r="C115" s="276"/>
      <c r="D115" s="276"/>
      <c r="E115" s="276"/>
      <c r="F115" s="276"/>
      <c r="G115" s="276"/>
    </row>
    <row r="116" spans="1:7" x14ac:dyDescent="0.35">
      <c r="A116" s="276"/>
      <c r="B116" s="276"/>
      <c r="C116" s="276"/>
      <c r="D116" s="276"/>
      <c r="E116" s="276"/>
      <c r="F116" s="276"/>
      <c r="G116" s="276"/>
    </row>
    <row r="117" spans="1:7" x14ac:dyDescent="0.35">
      <c r="A117" s="276"/>
      <c r="B117" s="276"/>
      <c r="C117" s="276"/>
      <c r="D117" s="276"/>
      <c r="E117" s="276"/>
      <c r="F117" s="276"/>
      <c r="G117" s="276"/>
    </row>
    <row r="118" spans="1:7" x14ac:dyDescent="0.35">
      <c r="A118" s="276"/>
      <c r="B118" s="276"/>
      <c r="C118" s="276"/>
      <c r="D118" s="276"/>
      <c r="E118" s="276"/>
      <c r="F118" s="276"/>
      <c r="G118" s="276"/>
    </row>
    <row r="119" spans="1:7" x14ac:dyDescent="0.35">
      <c r="A119" s="276"/>
      <c r="B119" s="276"/>
      <c r="C119" s="276"/>
      <c r="D119" s="276"/>
      <c r="E119" s="276"/>
      <c r="F119" s="276"/>
      <c r="G119" s="276"/>
    </row>
    <row r="120" spans="1:7" x14ac:dyDescent="0.35">
      <c r="A120" s="276"/>
      <c r="B120" s="276"/>
      <c r="C120" s="276"/>
      <c r="D120" s="276"/>
      <c r="E120" s="276"/>
      <c r="F120" s="276"/>
      <c r="G120" s="276"/>
    </row>
    <row r="121" spans="1:7" x14ac:dyDescent="0.35">
      <c r="A121" s="276"/>
      <c r="B121" s="276"/>
      <c r="C121" s="276"/>
      <c r="D121" s="276"/>
      <c r="E121" s="276"/>
      <c r="F121" s="276"/>
      <c r="G121" s="276"/>
    </row>
    <row r="122" spans="1:7" x14ac:dyDescent="0.35">
      <c r="A122" s="276"/>
      <c r="B122" s="276"/>
      <c r="C122" s="276"/>
      <c r="D122" s="276"/>
      <c r="E122" s="276"/>
      <c r="F122" s="276"/>
      <c r="G122" s="276"/>
    </row>
    <row r="123" spans="1:7" x14ac:dyDescent="0.35">
      <c r="A123" s="276"/>
      <c r="B123" s="276"/>
      <c r="C123" s="276"/>
      <c r="D123" s="276"/>
      <c r="E123" s="276"/>
      <c r="F123" s="276"/>
      <c r="G123" s="276"/>
    </row>
    <row r="124" spans="1:7" x14ac:dyDescent="0.35">
      <c r="A124" s="276"/>
      <c r="B124" s="276"/>
      <c r="C124" s="276"/>
      <c r="D124" s="276"/>
      <c r="E124" s="276"/>
      <c r="F124" s="276"/>
      <c r="G124" s="276"/>
    </row>
    <row r="125" spans="1:7" x14ac:dyDescent="0.35">
      <c r="A125" s="276"/>
      <c r="B125" s="276"/>
      <c r="C125" s="276"/>
      <c r="D125" s="276"/>
      <c r="E125" s="276"/>
      <c r="F125" s="276"/>
      <c r="G125" s="276"/>
    </row>
    <row r="126" spans="1:7" x14ac:dyDescent="0.35">
      <c r="A126" s="276"/>
      <c r="B126" s="276"/>
      <c r="C126" s="276"/>
      <c r="D126" s="276"/>
      <c r="E126" s="276"/>
      <c r="F126" s="276"/>
      <c r="G126" s="276"/>
    </row>
    <row r="127" spans="1:7" x14ac:dyDescent="0.35">
      <c r="A127" s="276"/>
      <c r="B127" s="276"/>
      <c r="C127" s="276"/>
      <c r="D127" s="276"/>
      <c r="E127" s="276"/>
      <c r="F127" s="276"/>
      <c r="G127" s="276"/>
    </row>
    <row r="128" spans="1:7" x14ac:dyDescent="0.35">
      <c r="A128" s="276"/>
      <c r="B128" s="276"/>
      <c r="C128" s="276"/>
      <c r="D128" s="276"/>
      <c r="E128" s="276"/>
      <c r="F128" s="276"/>
      <c r="G128" s="276"/>
    </row>
    <row r="129" spans="1:7" x14ac:dyDescent="0.35">
      <c r="A129" s="276"/>
      <c r="B129" s="276"/>
      <c r="C129" s="276"/>
      <c r="D129" s="276"/>
      <c r="E129" s="276"/>
      <c r="F129" s="276"/>
      <c r="G129" s="276"/>
    </row>
    <row r="130" spans="1:7" x14ac:dyDescent="0.35">
      <c r="A130" s="276"/>
      <c r="B130" s="276"/>
      <c r="C130" s="276"/>
      <c r="D130" s="276"/>
      <c r="E130" s="276"/>
      <c r="F130" s="276"/>
      <c r="G130" s="276"/>
    </row>
    <row r="131" spans="1:7" x14ac:dyDescent="0.35">
      <c r="A131" s="276"/>
      <c r="B131" s="276"/>
      <c r="C131" s="276"/>
      <c r="D131" s="276"/>
      <c r="E131" s="276"/>
      <c r="F131" s="276"/>
      <c r="G131" s="276"/>
    </row>
    <row r="132" spans="1:7" x14ac:dyDescent="0.35">
      <c r="A132" s="276"/>
      <c r="B132" s="276"/>
      <c r="C132" s="276"/>
      <c r="D132" s="276"/>
      <c r="E132" s="276"/>
      <c r="F132" s="276"/>
      <c r="G132" s="276"/>
    </row>
    <row r="133" spans="1:7" x14ac:dyDescent="0.35">
      <c r="A133" s="276"/>
      <c r="B133" s="276"/>
      <c r="C133" s="276"/>
      <c r="D133" s="276"/>
      <c r="E133" s="276"/>
      <c r="F133" s="276"/>
      <c r="G133" s="276"/>
    </row>
    <row r="134" spans="1:7" x14ac:dyDescent="0.35">
      <c r="A134" s="276"/>
      <c r="B134" s="276"/>
      <c r="C134" s="276"/>
      <c r="D134" s="276"/>
      <c r="E134" s="276"/>
      <c r="F134" s="276"/>
      <c r="G134" s="276"/>
    </row>
    <row r="135" spans="1:7" x14ac:dyDescent="0.35">
      <c r="A135" s="276"/>
      <c r="B135" s="276"/>
      <c r="C135" s="276"/>
      <c r="D135" s="276"/>
      <c r="E135" s="276"/>
      <c r="F135" s="276"/>
      <c r="G135" s="276"/>
    </row>
    <row r="136" spans="1:7" x14ac:dyDescent="0.35">
      <c r="A136" s="276"/>
      <c r="B136" s="276"/>
      <c r="C136" s="276"/>
      <c r="D136" s="276"/>
      <c r="E136" s="276"/>
      <c r="F136" s="276"/>
      <c r="G136" s="276"/>
    </row>
    <row r="137" spans="1:7" x14ac:dyDescent="0.35">
      <c r="A137" s="276"/>
      <c r="B137" s="276"/>
      <c r="C137" s="276"/>
      <c r="D137" s="276"/>
      <c r="E137" s="276"/>
      <c r="F137" s="276"/>
      <c r="G137" s="276"/>
    </row>
    <row r="138" spans="1:7" x14ac:dyDescent="0.35">
      <c r="A138" s="276"/>
      <c r="B138" s="276"/>
      <c r="C138" s="276"/>
      <c r="D138" s="276"/>
      <c r="E138" s="276"/>
      <c r="F138" s="276"/>
      <c r="G138" s="276"/>
    </row>
    <row r="139" spans="1:7" x14ac:dyDescent="0.35">
      <c r="A139" s="276"/>
      <c r="B139" s="276"/>
      <c r="C139" s="276"/>
      <c r="D139" s="276"/>
      <c r="E139" s="276"/>
      <c r="F139" s="276"/>
      <c r="G139" s="276"/>
    </row>
    <row r="140" spans="1:7" x14ac:dyDescent="0.35">
      <c r="A140" s="276"/>
      <c r="B140" s="276"/>
      <c r="C140" s="276"/>
      <c r="D140" s="276"/>
      <c r="E140" s="276"/>
      <c r="F140" s="276"/>
      <c r="G140" s="276"/>
    </row>
    <row r="141" spans="1:7" x14ac:dyDescent="0.35">
      <c r="A141" s="276"/>
      <c r="B141" s="276"/>
      <c r="C141" s="276"/>
      <c r="D141" s="276"/>
      <c r="E141" s="276"/>
      <c r="F141" s="276"/>
      <c r="G141" s="276"/>
    </row>
    <row r="142" spans="1:7" x14ac:dyDescent="0.35">
      <c r="A142" s="276"/>
      <c r="B142" s="276"/>
      <c r="C142" s="276"/>
      <c r="D142" s="276"/>
      <c r="E142" s="276"/>
      <c r="F142" s="276"/>
      <c r="G142" s="276"/>
    </row>
    <row r="143" spans="1:7" x14ac:dyDescent="0.35">
      <c r="A143" s="276"/>
      <c r="B143" s="276"/>
      <c r="C143" s="276"/>
      <c r="D143" s="276"/>
      <c r="E143" s="276"/>
      <c r="F143" s="276"/>
      <c r="G143" s="276"/>
    </row>
    <row r="144" spans="1:7" x14ac:dyDescent="0.35">
      <c r="A144" s="276"/>
      <c r="B144" s="276"/>
      <c r="C144" s="276"/>
      <c r="D144" s="276"/>
      <c r="E144" s="276"/>
      <c r="F144" s="276"/>
      <c r="G144" s="276"/>
    </row>
    <row r="145" spans="1:7" x14ac:dyDescent="0.35">
      <c r="A145" s="276"/>
      <c r="B145" s="276"/>
      <c r="C145" s="276"/>
      <c r="D145" s="276"/>
      <c r="E145" s="276"/>
      <c r="F145" s="276"/>
      <c r="G145" s="276"/>
    </row>
    <row r="146" spans="1:7" x14ac:dyDescent="0.35">
      <c r="A146" s="276"/>
      <c r="B146" s="276"/>
      <c r="C146" s="276"/>
      <c r="D146" s="276"/>
      <c r="E146" s="276"/>
      <c r="F146" s="276"/>
      <c r="G146" s="276"/>
    </row>
    <row r="147" spans="1:7" x14ac:dyDescent="0.35">
      <c r="A147" s="276"/>
      <c r="B147" s="276"/>
      <c r="C147" s="276"/>
      <c r="D147" s="276"/>
      <c r="E147" s="276"/>
      <c r="F147" s="276"/>
      <c r="G147" s="276"/>
    </row>
    <row r="148" spans="1:7" x14ac:dyDescent="0.35">
      <c r="A148" s="276"/>
      <c r="B148" s="276"/>
      <c r="C148" s="276"/>
      <c r="D148" s="276"/>
      <c r="E148" s="276"/>
      <c r="F148" s="276"/>
      <c r="G148" s="276"/>
    </row>
    <row r="149" spans="1:7" x14ac:dyDescent="0.35">
      <c r="A149" s="276"/>
      <c r="B149" s="276"/>
      <c r="C149" s="276"/>
      <c r="D149" s="276"/>
      <c r="E149" s="276"/>
      <c r="F149" s="276"/>
      <c r="G149" s="276"/>
    </row>
    <row r="150" spans="1:7" x14ac:dyDescent="0.35">
      <c r="A150" s="276"/>
      <c r="B150" s="276"/>
      <c r="C150" s="276"/>
      <c r="D150" s="276"/>
      <c r="E150" s="276"/>
      <c r="F150" s="276"/>
      <c r="G150" s="276"/>
    </row>
    <row r="151" spans="1:7" x14ac:dyDescent="0.35">
      <c r="A151" s="276"/>
      <c r="B151" s="276"/>
      <c r="C151" s="276"/>
      <c r="D151" s="276"/>
      <c r="E151" s="276"/>
      <c r="F151" s="276"/>
      <c r="G151" s="276"/>
    </row>
    <row r="152" spans="1:7" x14ac:dyDescent="0.35">
      <c r="A152" s="276"/>
      <c r="B152" s="276"/>
      <c r="C152" s="276"/>
      <c r="D152" s="276"/>
      <c r="E152" s="276"/>
      <c r="F152" s="276"/>
      <c r="G152" s="276"/>
    </row>
    <row r="153" spans="1:7" x14ac:dyDescent="0.35">
      <c r="A153" s="276"/>
      <c r="B153" s="276"/>
      <c r="C153" s="276"/>
      <c r="D153" s="276"/>
      <c r="E153" s="276"/>
      <c r="F153" s="276"/>
      <c r="G153" s="276"/>
    </row>
    <row r="154" spans="1:7" x14ac:dyDescent="0.35">
      <c r="A154" s="276"/>
      <c r="B154" s="276"/>
      <c r="C154" s="276"/>
      <c r="D154" s="276"/>
      <c r="E154" s="276"/>
      <c r="F154" s="276"/>
      <c r="G154" s="276"/>
    </row>
    <row r="155" spans="1:7" x14ac:dyDescent="0.35">
      <c r="A155" s="276"/>
      <c r="B155" s="276"/>
      <c r="C155" s="276"/>
      <c r="D155" s="276"/>
      <c r="E155" s="276"/>
      <c r="F155" s="276"/>
      <c r="G155" s="276"/>
    </row>
    <row r="156" spans="1:7" x14ac:dyDescent="0.35">
      <c r="A156" s="276"/>
      <c r="B156" s="276"/>
      <c r="C156" s="276"/>
      <c r="D156" s="276"/>
      <c r="E156" s="276"/>
      <c r="F156" s="276"/>
      <c r="G156" s="276"/>
    </row>
    <row r="157" spans="1:7" x14ac:dyDescent="0.35">
      <c r="A157" s="276"/>
      <c r="B157" s="276"/>
      <c r="C157" s="276"/>
      <c r="D157" s="276"/>
      <c r="E157" s="276"/>
      <c r="F157" s="276"/>
      <c r="G157" s="276"/>
    </row>
    <row r="158" spans="1:7" x14ac:dyDescent="0.35">
      <c r="A158" s="276"/>
      <c r="B158" s="276"/>
      <c r="C158" s="276"/>
      <c r="D158" s="276"/>
      <c r="E158" s="276"/>
      <c r="F158" s="276"/>
      <c r="G158" s="276"/>
    </row>
    <row r="159" spans="1:7" x14ac:dyDescent="0.35">
      <c r="A159" s="276"/>
      <c r="B159" s="276"/>
      <c r="C159" s="276"/>
      <c r="D159" s="276"/>
      <c r="E159" s="276"/>
      <c r="F159" s="276"/>
      <c r="G159" s="276"/>
    </row>
    <row r="160" spans="1:7" x14ac:dyDescent="0.35">
      <c r="A160" s="276"/>
      <c r="B160" s="276"/>
      <c r="C160" s="276"/>
      <c r="D160" s="276"/>
      <c r="E160" s="276"/>
      <c r="F160" s="276"/>
      <c r="G160" s="276"/>
    </row>
    <row r="161" spans="1:7" x14ac:dyDescent="0.35">
      <c r="A161" s="276"/>
      <c r="B161" s="276"/>
      <c r="C161" s="276"/>
      <c r="D161" s="276"/>
      <c r="E161" s="276"/>
      <c r="F161" s="276"/>
      <c r="G161" s="276"/>
    </row>
    <row r="162" spans="1:7" x14ac:dyDescent="0.35">
      <c r="A162" s="276"/>
      <c r="B162" s="276"/>
      <c r="C162" s="276"/>
      <c r="D162" s="276"/>
      <c r="E162" s="276"/>
      <c r="F162" s="276"/>
      <c r="G162" s="276"/>
    </row>
    <row r="163" spans="1:7" x14ac:dyDescent="0.35">
      <c r="A163" s="276"/>
      <c r="B163" s="276"/>
      <c r="C163" s="276"/>
      <c r="D163" s="276"/>
      <c r="E163" s="276"/>
      <c r="F163" s="276"/>
      <c r="G163" s="276"/>
    </row>
    <row r="164" spans="1:7" x14ac:dyDescent="0.35">
      <c r="A164" s="276"/>
      <c r="B164" s="276"/>
      <c r="C164" s="276"/>
      <c r="D164" s="276"/>
      <c r="E164" s="276"/>
      <c r="F164" s="276"/>
      <c r="G164" s="276"/>
    </row>
    <row r="165" spans="1:7" x14ac:dyDescent="0.35">
      <c r="A165" s="276"/>
      <c r="B165" s="276"/>
      <c r="C165" s="276"/>
      <c r="D165" s="276"/>
      <c r="E165" s="276"/>
      <c r="F165" s="276"/>
      <c r="G165" s="276"/>
    </row>
    <row r="166" spans="1:7" x14ac:dyDescent="0.35">
      <c r="A166" s="276"/>
      <c r="B166" s="276"/>
      <c r="C166" s="276"/>
      <c r="D166" s="276"/>
      <c r="E166" s="276"/>
      <c r="F166" s="276"/>
      <c r="G166" s="276"/>
    </row>
    <row r="167" spans="1:7" x14ac:dyDescent="0.35">
      <c r="A167" s="276"/>
      <c r="B167" s="276"/>
      <c r="C167" s="276"/>
      <c r="D167" s="276"/>
      <c r="E167" s="276"/>
      <c r="F167" s="276"/>
      <c r="G167" s="276"/>
    </row>
    <row r="168" spans="1:7" x14ac:dyDescent="0.35">
      <c r="A168" s="276"/>
      <c r="B168" s="276"/>
      <c r="C168" s="276"/>
      <c r="D168" s="276"/>
      <c r="E168" s="276"/>
      <c r="F168" s="276"/>
      <c r="G168" s="276"/>
    </row>
    <row r="169" spans="1:7" x14ac:dyDescent="0.35">
      <c r="A169" s="276"/>
      <c r="B169" s="276"/>
      <c r="C169" s="276"/>
      <c r="D169" s="276"/>
      <c r="E169" s="276"/>
      <c r="F169" s="276"/>
      <c r="G169" s="276"/>
    </row>
    <row r="170" spans="1:7" x14ac:dyDescent="0.35">
      <c r="A170" s="276"/>
      <c r="B170" s="276"/>
      <c r="C170" s="276"/>
      <c r="D170" s="276"/>
      <c r="E170" s="276"/>
      <c r="F170" s="276"/>
      <c r="G170" s="276"/>
    </row>
    <row r="171" spans="1:7" x14ac:dyDescent="0.35">
      <c r="A171" s="276"/>
      <c r="B171" s="276"/>
      <c r="C171" s="276"/>
      <c r="D171" s="276"/>
      <c r="E171" s="276"/>
      <c r="F171" s="276"/>
      <c r="G171" s="276"/>
    </row>
    <row r="172" spans="1:7" x14ac:dyDescent="0.35">
      <c r="A172" s="276"/>
      <c r="B172" s="276"/>
      <c r="C172" s="276"/>
      <c r="D172" s="276"/>
      <c r="E172" s="276"/>
      <c r="F172" s="276"/>
      <c r="G172" s="276"/>
    </row>
    <row r="173" spans="1:7" x14ac:dyDescent="0.35">
      <c r="A173" s="276"/>
      <c r="B173" s="276"/>
      <c r="C173" s="276"/>
      <c r="D173" s="276"/>
      <c r="E173" s="276"/>
      <c r="F173" s="276"/>
      <c r="G173" s="276"/>
    </row>
    <row r="174" spans="1:7" x14ac:dyDescent="0.35">
      <c r="A174" s="276"/>
      <c r="B174" s="276"/>
      <c r="C174" s="276"/>
      <c r="D174" s="276"/>
      <c r="E174" s="276"/>
      <c r="F174" s="276"/>
      <c r="G174" s="276"/>
    </row>
    <row r="175" spans="1:7" x14ac:dyDescent="0.35">
      <c r="A175" s="276"/>
      <c r="B175" s="276"/>
      <c r="C175" s="276"/>
      <c r="D175" s="276"/>
      <c r="E175" s="276"/>
      <c r="F175" s="276"/>
      <c r="G175" s="276"/>
    </row>
    <row r="176" spans="1:7" x14ac:dyDescent="0.35">
      <c r="A176" s="276"/>
      <c r="B176" s="276"/>
      <c r="C176" s="276"/>
      <c r="D176" s="276"/>
      <c r="E176" s="276"/>
      <c r="F176" s="276"/>
      <c r="G176" s="276"/>
    </row>
    <row r="177" spans="1:7" x14ac:dyDescent="0.35">
      <c r="A177" s="276"/>
      <c r="B177" s="276"/>
      <c r="C177" s="276"/>
      <c r="D177" s="276"/>
      <c r="E177" s="276"/>
      <c r="F177" s="276"/>
      <c r="G177" s="276"/>
    </row>
    <row r="178" spans="1:7" x14ac:dyDescent="0.35">
      <c r="A178" s="276"/>
      <c r="B178" s="276"/>
      <c r="C178" s="276"/>
      <c r="D178" s="276"/>
      <c r="E178" s="276"/>
      <c r="F178" s="276"/>
      <c r="G178" s="276"/>
    </row>
    <row r="179" spans="1:7" x14ac:dyDescent="0.35">
      <c r="A179" s="276"/>
      <c r="B179" s="276"/>
      <c r="C179" s="276"/>
      <c r="D179" s="276"/>
      <c r="E179" s="276"/>
      <c r="F179" s="276"/>
      <c r="G179" s="276"/>
    </row>
    <row r="180" spans="1:7" x14ac:dyDescent="0.35">
      <c r="A180" s="276"/>
      <c r="B180" s="276"/>
      <c r="C180" s="276"/>
      <c r="D180" s="276"/>
      <c r="E180" s="276"/>
      <c r="F180" s="276"/>
      <c r="G180" s="276"/>
    </row>
    <row r="181" spans="1:7" x14ac:dyDescent="0.35">
      <c r="A181" s="276"/>
      <c r="B181" s="276"/>
      <c r="C181" s="276"/>
      <c r="D181" s="276"/>
      <c r="E181" s="276"/>
      <c r="F181" s="276"/>
      <c r="G181" s="276"/>
    </row>
    <row r="182" spans="1:7" x14ac:dyDescent="0.35">
      <c r="A182" s="276"/>
      <c r="B182" s="276"/>
      <c r="C182" s="276"/>
      <c r="D182" s="276"/>
      <c r="E182" s="276"/>
      <c r="F182" s="276"/>
      <c r="G182" s="276"/>
    </row>
    <row r="183" spans="1:7" x14ac:dyDescent="0.35">
      <c r="A183" s="276"/>
      <c r="B183" s="276"/>
      <c r="C183" s="276"/>
      <c r="D183" s="276"/>
      <c r="E183" s="276"/>
      <c r="F183" s="276"/>
      <c r="G183" s="276"/>
    </row>
    <row r="184" spans="1:7" x14ac:dyDescent="0.35">
      <c r="A184" s="276"/>
      <c r="B184" s="276"/>
      <c r="C184" s="276"/>
      <c r="D184" s="276"/>
      <c r="E184" s="276"/>
      <c r="F184" s="276"/>
      <c r="G184" s="276"/>
    </row>
    <row r="185" spans="1:7" x14ac:dyDescent="0.35">
      <c r="A185" s="276"/>
      <c r="B185" s="276"/>
      <c r="C185" s="276"/>
      <c r="D185" s="276"/>
      <c r="E185" s="276"/>
      <c r="F185" s="276"/>
      <c r="G185" s="276"/>
    </row>
    <row r="186" spans="1:7" x14ac:dyDescent="0.35">
      <c r="A186" s="276"/>
      <c r="B186" s="276"/>
      <c r="C186" s="276"/>
      <c r="D186" s="276"/>
      <c r="E186" s="276"/>
      <c r="F186" s="276"/>
      <c r="G186" s="276"/>
    </row>
    <row r="187" spans="1:7" x14ac:dyDescent="0.35">
      <c r="A187" s="276"/>
      <c r="B187" s="276"/>
      <c r="C187" s="276"/>
      <c r="D187" s="276"/>
      <c r="E187" s="276"/>
      <c r="F187" s="276"/>
      <c r="G187" s="276"/>
    </row>
    <row r="188" spans="1:7" x14ac:dyDescent="0.35">
      <c r="A188" s="276"/>
      <c r="B188" s="276"/>
      <c r="C188" s="276"/>
      <c r="D188" s="276"/>
      <c r="E188" s="276"/>
      <c r="F188" s="276"/>
      <c r="G188" s="276"/>
    </row>
    <row r="189" spans="1:7" x14ac:dyDescent="0.35">
      <c r="A189" s="276"/>
      <c r="B189" s="276"/>
      <c r="C189" s="276"/>
      <c r="D189" s="276"/>
      <c r="E189" s="276"/>
      <c r="F189" s="276"/>
      <c r="G189" s="276"/>
    </row>
    <row r="190" spans="1:7" x14ac:dyDescent="0.35">
      <c r="A190" s="276"/>
      <c r="B190" s="276"/>
      <c r="C190" s="276"/>
      <c r="D190" s="276"/>
      <c r="E190" s="276"/>
      <c r="F190" s="276"/>
      <c r="G190" s="276"/>
    </row>
    <row r="191" spans="1:7" x14ac:dyDescent="0.35">
      <c r="A191" s="276"/>
      <c r="B191" s="276"/>
      <c r="C191" s="276"/>
      <c r="D191" s="276"/>
      <c r="E191" s="276"/>
      <c r="F191" s="276"/>
      <c r="G191" s="276"/>
    </row>
    <row r="192" spans="1:7" x14ac:dyDescent="0.35">
      <c r="A192" s="276"/>
      <c r="B192" s="276"/>
      <c r="C192" s="276"/>
      <c r="D192" s="276"/>
      <c r="E192" s="276"/>
      <c r="F192" s="276"/>
      <c r="G192" s="276"/>
    </row>
    <row r="193" spans="1:7" x14ac:dyDescent="0.35">
      <c r="A193" s="276"/>
      <c r="B193" s="276"/>
      <c r="C193" s="276"/>
      <c r="D193" s="276"/>
      <c r="E193" s="276"/>
      <c r="F193" s="276"/>
      <c r="G193" s="276"/>
    </row>
    <row r="194" spans="1:7" x14ac:dyDescent="0.35">
      <c r="A194" s="276"/>
      <c r="B194" s="276"/>
      <c r="C194" s="276"/>
      <c r="D194" s="276"/>
      <c r="E194" s="276"/>
      <c r="F194" s="276"/>
      <c r="G194" s="276"/>
    </row>
    <row r="195" spans="1:7" x14ac:dyDescent="0.35">
      <c r="A195" s="276"/>
      <c r="B195" s="276"/>
      <c r="C195" s="276"/>
      <c r="D195" s="276"/>
      <c r="E195" s="276"/>
      <c r="F195" s="276"/>
      <c r="G195" s="276"/>
    </row>
    <row r="196" spans="1:7" x14ac:dyDescent="0.35">
      <c r="A196" s="276"/>
      <c r="B196" s="276"/>
      <c r="C196" s="276"/>
      <c r="D196" s="276"/>
      <c r="E196" s="276"/>
      <c r="F196" s="276"/>
      <c r="G196" s="276"/>
    </row>
    <row r="197" spans="1:7" x14ac:dyDescent="0.35">
      <c r="A197" s="276"/>
      <c r="B197" s="276"/>
      <c r="C197" s="276"/>
      <c r="D197" s="276"/>
      <c r="E197" s="276"/>
      <c r="F197" s="276"/>
      <c r="G197" s="276"/>
    </row>
    <row r="198" spans="1:7" x14ac:dyDescent="0.35">
      <c r="A198" s="276"/>
      <c r="B198" s="276"/>
      <c r="C198" s="276"/>
      <c r="D198" s="276"/>
      <c r="E198" s="276"/>
      <c r="F198" s="276"/>
      <c r="G198" s="276"/>
    </row>
    <row r="199" spans="1:7" x14ac:dyDescent="0.35">
      <c r="A199" s="276"/>
      <c r="B199" s="276"/>
      <c r="C199" s="276"/>
      <c r="D199" s="276"/>
      <c r="E199" s="276"/>
      <c r="F199" s="276"/>
      <c r="G199" s="276"/>
    </row>
    <row r="200" spans="1:7" x14ac:dyDescent="0.35">
      <c r="A200" s="276"/>
      <c r="B200" s="276"/>
      <c r="C200" s="276"/>
      <c r="D200" s="276"/>
      <c r="E200" s="276"/>
      <c r="F200" s="278"/>
      <c r="G200" s="276"/>
    </row>
    <row r="201" spans="1:7" x14ac:dyDescent="0.35">
      <c r="A201" s="276"/>
      <c r="B201" s="276"/>
      <c r="C201" s="276"/>
      <c r="D201" s="276"/>
      <c r="E201" s="276"/>
      <c r="F201" s="276"/>
      <c r="G201" s="276"/>
    </row>
    <row r="202" spans="1:7" x14ac:dyDescent="0.35">
      <c r="A202" s="276"/>
      <c r="B202" s="276"/>
      <c r="C202" s="276"/>
      <c r="D202" s="276"/>
      <c r="E202" s="276"/>
      <c r="F202" s="276"/>
      <c r="G202" s="276"/>
    </row>
    <row r="203" spans="1:7" x14ac:dyDescent="0.35">
      <c r="A203" s="276"/>
      <c r="B203" s="276"/>
      <c r="C203" s="276"/>
      <c r="D203" s="276"/>
      <c r="E203" s="276"/>
      <c r="F203" s="276"/>
      <c r="G203" s="276"/>
    </row>
    <row r="204" spans="1:7" x14ac:dyDescent="0.35">
      <c r="A204" s="276"/>
      <c r="B204" s="276"/>
      <c r="C204" s="276"/>
      <c r="D204" s="276"/>
      <c r="E204" s="276"/>
      <c r="F204" s="276"/>
      <c r="G204" s="276"/>
    </row>
    <row r="205" spans="1:7" x14ac:dyDescent="0.35">
      <c r="A205" s="276"/>
      <c r="B205" s="276"/>
      <c r="C205" s="276"/>
      <c r="D205" s="276"/>
      <c r="E205" s="276"/>
      <c r="F205" s="276"/>
      <c r="G205" s="276"/>
    </row>
    <row r="206" spans="1:7" x14ac:dyDescent="0.35">
      <c r="A206" s="276"/>
      <c r="B206" s="276"/>
      <c r="C206" s="276"/>
      <c r="D206" s="276"/>
      <c r="E206" s="276"/>
      <c r="F206" s="276"/>
      <c r="G206" s="276"/>
    </row>
    <row r="207" spans="1:7" x14ac:dyDescent="0.35">
      <c r="A207" s="276"/>
      <c r="B207" s="276"/>
      <c r="C207" s="276"/>
      <c r="D207" s="276"/>
      <c r="E207" s="276"/>
      <c r="F207" s="276"/>
      <c r="G207" s="276"/>
    </row>
    <row r="208" spans="1:7" x14ac:dyDescent="0.35">
      <c r="A208" s="276"/>
      <c r="B208" s="276"/>
      <c r="C208" s="276"/>
      <c r="D208" s="276"/>
      <c r="E208" s="276"/>
      <c r="F208" s="276"/>
      <c r="G208" s="276"/>
    </row>
    <row r="209" spans="1:7" x14ac:dyDescent="0.35">
      <c r="A209" s="276"/>
      <c r="B209" s="276"/>
      <c r="C209" s="276"/>
      <c r="D209" s="276"/>
      <c r="E209" s="276"/>
      <c r="F209" s="276"/>
      <c r="G209" s="276"/>
    </row>
    <row r="210" spans="1:7" x14ac:dyDescent="0.35">
      <c r="A210" s="276"/>
      <c r="B210" s="276"/>
      <c r="C210" s="276"/>
      <c r="D210" s="276"/>
      <c r="E210" s="276"/>
      <c r="F210" s="276"/>
      <c r="G210" s="276"/>
    </row>
    <row r="211" spans="1:7" x14ac:dyDescent="0.35">
      <c r="A211" s="276"/>
      <c r="B211" s="276"/>
      <c r="C211" s="276"/>
      <c r="D211" s="276"/>
      <c r="E211" s="276"/>
      <c r="F211" s="276"/>
      <c r="G211" s="276"/>
    </row>
    <row r="212" spans="1:7" x14ac:dyDescent="0.35">
      <c r="A212" s="276"/>
      <c r="B212" s="276"/>
      <c r="C212" s="276"/>
      <c r="D212" s="276"/>
      <c r="E212" s="276"/>
      <c r="F212" s="276"/>
      <c r="G212" s="276"/>
    </row>
    <row r="213" spans="1:7" x14ac:dyDescent="0.35">
      <c r="A213" s="276"/>
      <c r="B213" s="276"/>
      <c r="C213" s="276"/>
      <c r="D213" s="276"/>
      <c r="E213" s="276"/>
      <c r="F213" s="276"/>
      <c r="G213" s="276"/>
    </row>
    <row r="214" spans="1:7" x14ac:dyDescent="0.35">
      <c r="A214" s="276"/>
      <c r="B214" s="276"/>
      <c r="C214" s="276"/>
      <c r="D214" s="276"/>
      <c r="E214" s="276"/>
      <c r="F214" s="276"/>
      <c r="G214" s="276"/>
    </row>
    <row r="215" spans="1:7" x14ac:dyDescent="0.35">
      <c r="A215" s="276"/>
      <c r="B215" s="276"/>
      <c r="C215" s="276"/>
      <c r="D215" s="276"/>
      <c r="E215" s="276"/>
      <c r="F215" s="276"/>
      <c r="G215" s="276"/>
    </row>
    <row r="216" spans="1:7" x14ac:dyDescent="0.35">
      <c r="A216" s="276"/>
      <c r="B216" s="276"/>
      <c r="C216" s="276"/>
      <c r="D216" s="276"/>
      <c r="E216" s="276"/>
      <c r="F216" s="276"/>
      <c r="G216" s="276"/>
    </row>
    <row r="217" spans="1:7" x14ac:dyDescent="0.35">
      <c r="A217" s="276"/>
      <c r="B217" s="276"/>
      <c r="C217" s="276"/>
      <c r="D217" s="276"/>
      <c r="E217" s="276"/>
      <c r="F217" s="276"/>
      <c r="G217" s="276"/>
    </row>
    <row r="218" spans="1:7" x14ac:dyDescent="0.35">
      <c r="A218" s="276"/>
      <c r="B218" s="276"/>
      <c r="C218" s="276"/>
      <c r="D218" s="276"/>
      <c r="E218" s="276"/>
      <c r="F218" s="276"/>
      <c r="G218" s="276"/>
    </row>
    <row r="219" spans="1:7" x14ac:dyDescent="0.35">
      <c r="A219" s="276"/>
      <c r="B219" s="276"/>
      <c r="C219" s="276"/>
      <c r="D219" s="276"/>
      <c r="E219" s="276"/>
      <c r="F219" s="276"/>
      <c r="G219" s="276"/>
    </row>
    <row r="220" spans="1:7" x14ac:dyDescent="0.35">
      <c r="A220" s="276"/>
      <c r="B220" s="276"/>
      <c r="C220" s="276"/>
      <c r="D220" s="276"/>
      <c r="E220" s="276"/>
      <c r="F220" s="276"/>
      <c r="G220" s="276"/>
    </row>
    <row r="221" spans="1:7" x14ac:dyDescent="0.35">
      <c r="A221" s="276"/>
      <c r="B221" s="276"/>
      <c r="C221" s="276"/>
      <c r="D221" s="276"/>
      <c r="E221" s="276"/>
      <c r="F221" s="276"/>
      <c r="G221" s="276"/>
    </row>
    <row r="222" spans="1:7" x14ac:dyDescent="0.35">
      <c r="A222" s="276"/>
      <c r="B222" s="276"/>
      <c r="C222" s="276"/>
      <c r="D222" s="276"/>
      <c r="E222" s="276"/>
      <c r="F222" s="276"/>
      <c r="G222" s="276"/>
    </row>
    <row r="223" spans="1:7" x14ac:dyDescent="0.35">
      <c r="A223" s="276"/>
      <c r="B223" s="276"/>
      <c r="C223" s="276"/>
      <c r="D223" s="276"/>
      <c r="E223" s="276"/>
      <c r="F223" s="276"/>
      <c r="G223" s="276"/>
    </row>
    <row r="224" spans="1:7" x14ac:dyDescent="0.35">
      <c r="A224" s="276"/>
      <c r="B224" s="276"/>
      <c r="C224" s="276"/>
      <c r="D224" s="276"/>
      <c r="E224" s="276"/>
      <c r="F224" s="276"/>
      <c r="G224" s="276"/>
    </row>
    <row r="225" spans="1:7" x14ac:dyDescent="0.35">
      <c r="A225" s="276"/>
      <c r="B225" s="276"/>
      <c r="C225" s="276"/>
      <c r="D225" s="276"/>
      <c r="E225" s="276"/>
      <c r="F225" s="276"/>
      <c r="G225" s="276"/>
    </row>
    <row r="226" spans="1:7" x14ac:dyDescent="0.35">
      <c r="A226" s="276"/>
      <c r="B226" s="276"/>
      <c r="C226" s="276"/>
      <c r="D226" s="276"/>
      <c r="E226" s="276"/>
      <c r="F226" s="276"/>
      <c r="G226" s="276"/>
    </row>
    <row r="227" spans="1:7" x14ac:dyDescent="0.35">
      <c r="A227" s="276"/>
      <c r="B227" s="276"/>
      <c r="C227" s="276"/>
      <c r="D227" s="276"/>
      <c r="E227" s="276"/>
      <c r="F227" s="276"/>
      <c r="G227" s="276"/>
    </row>
    <row r="228" spans="1:7" x14ac:dyDescent="0.35">
      <c r="A228" s="276"/>
      <c r="B228" s="276"/>
      <c r="C228" s="276"/>
      <c r="D228" s="276"/>
      <c r="E228" s="276"/>
      <c r="F228" s="276"/>
      <c r="G228" s="276"/>
    </row>
    <row r="229" spans="1:7" x14ac:dyDescent="0.35">
      <c r="A229" s="276"/>
      <c r="B229" s="276"/>
      <c r="C229" s="276"/>
      <c r="D229" s="276"/>
      <c r="E229" s="276"/>
      <c r="F229" s="276"/>
      <c r="G229" s="276"/>
    </row>
    <row r="230" spans="1:7" x14ac:dyDescent="0.35">
      <c r="A230" s="276"/>
      <c r="B230" s="276"/>
      <c r="C230" s="276"/>
      <c r="D230" s="276"/>
      <c r="E230" s="276"/>
      <c r="F230" s="276"/>
      <c r="G230" s="276"/>
    </row>
    <row r="231" spans="1:7" x14ac:dyDescent="0.35">
      <c r="A231" s="276"/>
      <c r="B231" s="276"/>
      <c r="C231" s="276"/>
      <c r="D231" s="276"/>
      <c r="E231" s="276"/>
      <c r="F231" s="276"/>
      <c r="G231" s="276"/>
    </row>
    <row r="232" spans="1:7" x14ac:dyDescent="0.35">
      <c r="A232" s="276"/>
      <c r="B232" s="276"/>
      <c r="C232" s="276"/>
      <c r="D232" s="276"/>
      <c r="E232" s="276"/>
      <c r="F232" s="276"/>
      <c r="G232" s="276"/>
    </row>
    <row r="233" spans="1:7" x14ac:dyDescent="0.35">
      <c r="A233" s="276"/>
      <c r="B233" s="276"/>
      <c r="C233" s="276"/>
      <c r="D233" s="276"/>
      <c r="E233" s="276"/>
      <c r="F233" s="276"/>
      <c r="G233" s="276"/>
    </row>
    <row r="234" spans="1:7" x14ac:dyDescent="0.35">
      <c r="A234" s="276"/>
      <c r="B234" s="276"/>
      <c r="C234" s="276"/>
      <c r="D234" s="276"/>
      <c r="E234" s="276"/>
      <c r="F234" s="276"/>
      <c r="G234" s="276"/>
    </row>
    <row r="235" spans="1:7" x14ac:dyDescent="0.35">
      <c r="A235" s="276"/>
      <c r="B235" s="276"/>
      <c r="C235" s="276"/>
      <c r="D235" s="276"/>
      <c r="E235" s="276"/>
      <c r="F235" s="276"/>
      <c r="G235" s="276"/>
    </row>
    <row r="236" spans="1:7" x14ac:dyDescent="0.35">
      <c r="A236" s="276"/>
      <c r="B236" s="276"/>
      <c r="C236" s="276"/>
      <c r="D236" s="276"/>
      <c r="E236" s="276"/>
      <c r="F236" s="276"/>
      <c r="G236" s="276"/>
    </row>
    <row r="237" spans="1:7" x14ac:dyDescent="0.35">
      <c r="A237" s="276"/>
      <c r="B237" s="276"/>
      <c r="C237" s="276"/>
      <c r="D237" s="276"/>
      <c r="E237" s="276"/>
      <c r="F237" s="276"/>
      <c r="G237" s="276"/>
    </row>
    <row r="238" spans="1:7" x14ac:dyDescent="0.35">
      <c r="A238" s="276"/>
      <c r="B238" s="276"/>
      <c r="C238" s="276"/>
      <c r="D238" s="276"/>
      <c r="E238" s="276"/>
      <c r="F238" s="276"/>
      <c r="G238" s="276"/>
    </row>
    <row r="239" spans="1:7" x14ac:dyDescent="0.35">
      <c r="A239" s="276"/>
      <c r="B239" s="276"/>
      <c r="C239" s="276"/>
      <c r="D239" s="276"/>
      <c r="E239" s="276"/>
      <c r="F239" s="276"/>
      <c r="G239" s="276"/>
    </row>
    <row r="240" spans="1:7" x14ac:dyDescent="0.35">
      <c r="A240" s="276"/>
      <c r="B240" s="276"/>
      <c r="C240" s="276"/>
      <c r="D240" s="276"/>
      <c r="E240" s="276"/>
      <c r="F240" s="276"/>
      <c r="G240" s="276"/>
    </row>
    <row r="241" spans="1:7" x14ac:dyDescent="0.35">
      <c r="A241" s="276"/>
      <c r="B241" s="276"/>
      <c r="C241" s="276"/>
      <c r="D241" s="276"/>
      <c r="E241" s="276"/>
      <c r="F241" s="276"/>
      <c r="G241" s="276"/>
    </row>
    <row r="242" spans="1:7" x14ac:dyDescent="0.35">
      <c r="A242" s="276"/>
      <c r="B242" s="276"/>
      <c r="C242" s="276"/>
      <c r="D242" s="276"/>
      <c r="E242" s="276"/>
      <c r="F242" s="276"/>
      <c r="G242" s="276"/>
    </row>
    <row r="243" spans="1:7" x14ac:dyDescent="0.35">
      <c r="A243" s="276"/>
      <c r="B243" s="276"/>
      <c r="C243" s="276"/>
      <c r="D243" s="276"/>
      <c r="E243" s="276"/>
      <c r="F243" s="276"/>
      <c r="G243" s="276"/>
    </row>
    <row r="244" spans="1:7" x14ac:dyDescent="0.35">
      <c r="A244" s="276"/>
      <c r="B244" s="276"/>
      <c r="C244" s="276"/>
      <c r="D244" s="276"/>
      <c r="E244" s="276"/>
      <c r="F244" s="276"/>
      <c r="G244" s="276"/>
    </row>
    <row r="245" spans="1:7" x14ac:dyDescent="0.35">
      <c r="A245" s="276"/>
      <c r="B245" s="276"/>
      <c r="C245" s="276"/>
      <c r="D245" s="276"/>
      <c r="E245" s="276"/>
      <c r="F245" s="276"/>
      <c r="G245" s="276"/>
    </row>
    <row r="246" spans="1:7" x14ac:dyDescent="0.35">
      <c r="A246" s="276"/>
      <c r="B246" s="276"/>
      <c r="C246" s="276"/>
      <c r="D246" s="276"/>
      <c r="E246" s="276"/>
      <c r="F246" s="276"/>
      <c r="G246" s="276"/>
    </row>
    <row r="247" spans="1:7" x14ac:dyDescent="0.35">
      <c r="A247" s="276"/>
      <c r="B247" s="276"/>
      <c r="C247" s="276"/>
      <c r="D247" s="276"/>
      <c r="E247" s="276"/>
      <c r="F247" s="276"/>
      <c r="G247" s="276"/>
    </row>
    <row r="248" spans="1:7" x14ac:dyDescent="0.35">
      <c r="A248" s="276"/>
      <c r="B248" s="276"/>
      <c r="C248" s="276"/>
      <c r="D248" s="276"/>
      <c r="E248" s="276"/>
      <c r="F248" s="276"/>
      <c r="G248" s="276"/>
    </row>
    <row r="249" spans="1:7" x14ac:dyDescent="0.35">
      <c r="A249" s="276"/>
      <c r="B249" s="276"/>
      <c r="C249" s="276"/>
      <c r="D249" s="276"/>
      <c r="E249" s="276"/>
      <c r="F249" s="276"/>
      <c r="G249" s="276"/>
    </row>
    <row r="250" spans="1:7" x14ac:dyDescent="0.35">
      <c r="A250" s="276"/>
      <c r="B250" s="276"/>
      <c r="C250" s="276"/>
      <c r="D250" s="276"/>
      <c r="E250" s="276"/>
      <c r="F250" s="276"/>
      <c r="G250" s="276"/>
    </row>
    <row r="251" spans="1:7" x14ac:dyDescent="0.35">
      <c r="A251" s="276"/>
      <c r="B251" s="276"/>
      <c r="C251" s="276"/>
      <c r="D251" s="276"/>
      <c r="E251" s="276"/>
      <c r="F251" s="276"/>
      <c r="G251" s="276"/>
    </row>
    <row r="252" spans="1:7" x14ac:dyDescent="0.35">
      <c r="A252" s="276"/>
      <c r="B252" s="276"/>
      <c r="C252" s="276"/>
      <c r="D252" s="276"/>
      <c r="E252" s="276"/>
      <c r="F252" s="276"/>
      <c r="G252" s="276"/>
    </row>
    <row r="253" spans="1:7" x14ac:dyDescent="0.35">
      <c r="A253" s="276"/>
      <c r="B253" s="276"/>
      <c r="C253" s="276"/>
      <c r="D253" s="276"/>
      <c r="E253" s="276"/>
      <c r="F253" s="276"/>
      <c r="G253" s="276"/>
    </row>
    <row r="254" spans="1:7" x14ac:dyDescent="0.35">
      <c r="A254" s="276"/>
      <c r="B254" s="276"/>
      <c r="C254" s="276"/>
      <c r="D254" s="276"/>
      <c r="E254" s="276"/>
      <c r="F254" s="276"/>
      <c r="G254" s="276"/>
    </row>
    <row r="255" spans="1:7" x14ac:dyDescent="0.35">
      <c r="A255" s="276"/>
      <c r="B255" s="276"/>
      <c r="C255" s="276"/>
      <c r="D255" s="276"/>
      <c r="E255" s="276"/>
      <c r="F255" s="276"/>
      <c r="G255" s="276"/>
    </row>
    <row r="256" spans="1:7" x14ac:dyDescent="0.35">
      <c r="A256" s="276"/>
      <c r="B256" s="276"/>
      <c r="C256" s="276"/>
      <c r="D256" s="276"/>
      <c r="E256" s="276"/>
      <c r="F256" s="276"/>
      <c r="G256" s="276"/>
    </row>
    <row r="257" spans="1:7" x14ac:dyDescent="0.35">
      <c r="A257" s="276"/>
      <c r="B257" s="276"/>
      <c r="C257" s="276"/>
      <c r="D257" s="276"/>
      <c r="E257" s="276"/>
      <c r="F257" s="276"/>
      <c r="G257" s="276"/>
    </row>
    <row r="258" spans="1:7" x14ac:dyDescent="0.35">
      <c r="A258" s="276"/>
      <c r="B258" s="276"/>
      <c r="C258" s="276"/>
      <c r="D258" s="276"/>
      <c r="E258" s="276"/>
      <c r="F258" s="276"/>
      <c r="G258" s="276"/>
    </row>
    <row r="259" spans="1:7" x14ac:dyDescent="0.35">
      <c r="A259" s="276"/>
      <c r="B259" s="276"/>
      <c r="C259" s="276"/>
      <c r="D259" s="276"/>
      <c r="E259" s="276"/>
      <c r="F259" s="276"/>
      <c r="G259" s="276"/>
    </row>
    <row r="260" spans="1:7" x14ac:dyDescent="0.35">
      <c r="A260" s="276"/>
      <c r="B260" s="276"/>
      <c r="C260" s="276"/>
      <c r="D260" s="276"/>
      <c r="E260" s="276"/>
      <c r="F260" s="276"/>
      <c r="G260" s="276"/>
    </row>
    <row r="261" spans="1:7" x14ac:dyDescent="0.35">
      <c r="A261" s="276"/>
      <c r="B261" s="276"/>
      <c r="C261" s="276"/>
      <c r="D261" s="276"/>
      <c r="E261" s="276"/>
      <c r="F261" s="276"/>
      <c r="G261" s="276"/>
    </row>
    <row r="262" spans="1:7" x14ac:dyDescent="0.35">
      <c r="A262" s="276"/>
      <c r="B262" s="276"/>
      <c r="C262" s="276"/>
      <c r="D262" s="276"/>
      <c r="E262" s="276"/>
      <c r="F262" s="276"/>
      <c r="G262" s="276"/>
    </row>
    <row r="263" spans="1:7" x14ac:dyDescent="0.35">
      <c r="A263" s="276"/>
      <c r="B263" s="276"/>
      <c r="C263" s="276"/>
      <c r="D263" s="276"/>
      <c r="E263" s="276"/>
      <c r="F263" s="276"/>
      <c r="G263" s="276"/>
    </row>
    <row r="264" spans="1:7" x14ac:dyDescent="0.35">
      <c r="A264" s="276"/>
      <c r="B264" s="276"/>
      <c r="C264" s="276"/>
      <c r="D264" s="276"/>
      <c r="E264" s="276"/>
      <c r="F264" s="276"/>
      <c r="G264" s="276"/>
    </row>
    <row r="265" spans="1:7" x14ac:dyDescent="0.35">
      <c r="A265" s="276"/>
      <c r="B265" s="276"/>
      <c r="C265" s="276"/>
      <c r="D265" s="276"/>
      <c r="E265" s="276"/>
      <c r="F265" s="276"/>
      <c r="G265" s="276"/>
    </row>
    <row r="266" spans="1:7" x14ac:dyDescent="0.35">
      <c r="A266" s="276"/>
      <c r="B266" s="276"/>
      <c r="C266" s="276"/>
      <c r="D266" s="276"/>
      <c r="E266" s="276"/>
      <c r="F266" s="276"/>
      <c r="G266" s="276"/>
    </row>
    <row r="267" spans="1:7" x14ac:dyDescent="0.35">
      <c r="A267" s="276"/>
      <c r="B267" s="276"/>
      <c r="C267" s="276"/>
      <c r="D267" s="276"/>
      <c r="E267" s="276"/>
      <c r="F267" s="276"/>
      <c r="G267" s="276"/>
    </row>
    <row r="268" spans="1:7" x14ac:dyDescent="0.35">
      <c r="A268" s="276"/>
      <c r="B268" s="276"/>
      <c r="C268" s="276"/>
      <c r="D268" s="276"/>
      <c r="E268" s="276"/>
      <c r="F268" s="276"/>
      <c r="G268" s="276"/>
    </row>
    <row r="269" spans="1:7" x14ac:dyDescent="0.35">
      <c r="A269" s="276"/>
      <c r="B269" s="276"/>
      <c r="C269" s="276"/>
      <c r="D269" s="276"/>
      <c r="E269" s="276"/>
      <c r="F269" s="276"/>
      <c r="G269" s="276"/>
    </row>
    <row r="270" spans="1:7" x14ac:dyDescent="0.35">
      <c r="A270" s="276"/>
      <c r="B270" s="276"/>
      <c r="C270" s="276"/>
      <c r="D270" s="276"/>
      <c r="E270" s="276"/>
      <c r="F270" s="276"/>
      <c r="G270" s="276"/>
    </row>
    <row r="271" spans="1:7" x14ac:dyDescent="0.35">
      <c r="A271" s="276"/>
      <c r="B271" s="276"/>
      <c r="C271" s="276"/>
      <c r="D271" s="276"/>
      <c r="E271" s="276"/>
      <c r="F271" s="276"/>
      <c r="G271" s="276"/>
    </row>
    <row r="272" spans="1:7" x14ac:dyDescent="0.35">
      <c r="A272" s="276"/>
      <c r="B272" s="276"/>
      <c r="C272" s="276"/>
      <c r="D272" s="276"/>
      <c r="E272" s="276"/>
      <c r="F272" s="276"/>
      <c r="G272" s="276"/>
    </row>
    <row r="273" spans="1:7" x14ac:dyDescent="0.35">
      <c r="A273" s="276"/>
      <c r="B273" s="276"/>
      <c r="C273" s="276"/>
      <c r="D273" s="276"/>
      <c r="E273" s="276"/>
      <c r="F273" s="276"/>
      <c r="G273" s="276"/>
    </row>
    <row r="274" spans="1:7" x14ac:dyDescent="0.35">
      <c r="A274" s="276"/>
      <c r="B274" s="276"/>
      <c r="C274" s="276"/>
      <c r="D274" s="276"/>
      <c r="E274" s="276"/>
      <c r="F274" s="276"/>
      <c r="G274" s="276"/>
    </row>
    <row r="275" spans="1:7" x14ac:dyDescent="0.35">
      <c r="A275" s="276"/>
      <c r="B275" s="276"/>
      <c r="C275" s="276"/>
      <c r="D275" s="276"/>
      <c r="E275" s="276"/>
      <c r="F275" s="276"/>
      <c r="G275" s="276"/>
    </row>
    <row r="276" spans="1:7" x14ac:dyDescent="0.35">
      <c r="A276" s="276"/>
      <c r="B276" s="276"/>
      <c r="C276" s="276"/>
      <c r="D276" s="276"/>
      <c r="E276" s="276"/>
      <c r="F276" s="276"/>
      <c r="G276" s="276"/>
    </row>
    <row r="277" spans="1:7" x14ac:dyDescent="0.35">
      <c r="A277" s="276"/>
      <c r="B277" s="276"/>
      <c r="C277" s="276"/>
      <c r="D277" s="276"/>
      <c r="E277" s="276"/>
      <c r="F277" s="276"/>
      <c r="G277" s="276"/>
    </row>
    <row r="278" spans="1:7" x14ac:dyDescent="0.35">
      <c r="A278" s="276"/>
      <c r="B278" s="276"/>
      <c r="C278" s="276"/>
      <c r="D278" s="276"/>
      <c r="E278" s="276"/>
      <c r="F278" s="276"/>
      <c r="G278" s="276"/>
    </row>
    <row r="279" spans="1:7" x14ac:dyDescent="0.35">
      <c r="A279" s="276"/>
      <c r="B279" s="276"/>
      <c r="C279" s="276"/>
      <c r="D279" s="276"/>
      <c r="E279" s="276"/>
      <c r="F279" s="276"/>
      <c r="G279" s="276"/>
    </row>
    <row r="280" spans="1:7" x14ac:dyDescent="0.35">
      <c r="A280" s="276"/>
      <c r="B280" s="276"/>
      <c r="C280" s="276"/>
      <c r="D280" s="276"/>
      <c r="E280" s="276"/>
      <c r="F280" s="276"/>
      <c r="G280" s="276"/>
    </row>
    <row r="281" spans="1:7" x14ac:dyDescent="0.35">
      <c r="A281" s="276"/>
      <c r="B281" s="276"/>
      <c r="C281" s="276"/>
      <c r="D281" s="276"/>
      <c r="E281" s="276"/>
      <c r="F281" s="276"/>
      <c r="G281" s="276"/>
    </row>
    <row r="282" spans="1:7" x14ac:dyDescent="0.35">
      <c r="A282" s="276"/>
      <c r="B282" s="276"/>
      <c r="C282" s="276"/>
      <c r="D282" s="276"/>
      <c r="E282" s="276"/>
      <c r="F282" s="276"/>
      <c r="G282" s="276"/>
    </row>
    <row r="283" spans="1:7" x14ac:dyDescent="0.35">
      <c r="A283" s="276"/>
      <c r="B283" s="276"/>
      <c r="C283" s="276"/>
      <c r="D283" s="276"/>
      <c r="E283" s="276"/>
      <c r="F283" s="276"/>
      <c r="G283" s="276"/>
    </row>
    <row r="284" spans="1:7" x14ac:dyDescent="0.35">
      <c r="A284" s="276"/>
      <c r="B284" s="276"/>
      <c r="C284" s="276"/>
      <c r="D284" s="276"/>
      <c r="E284" s="276"/>
      <c r="F284" s="276"/>
      <c r="G284" s="276"/>
    </row>
    <row r="285" spans="1:7" x14ac:dyDescent="0.35">
      <c r="A285" s="276"/>
      <c r="B285" s="276"/>
      <c r="C285" s="276"/>
      <c r="D285" s="276"/>
      <c r="E285" s="276"/>
      <c r="F285" s="276"/>
      <c r="G285" s="276"/>
    </row>
    <row r="286" spans="1:7" x14ac:dyDescent="0.35">
      <c r="A286" s="276"/>
      <c r="B286" s="276"/>
      <c r="C286" s="276"/>
      <c r="D286" s="276"/>
      <c r="E286" s="276"/>
      <c r="F286" s="276"/>
      <c r="G286" s="276"/>
    </row>
    <row r="287" spans="1:7" x14ac:dyDescent="0.35">
      <c r="A287" s="276"/>
      <c r="B287" s="276"/>
      <c r="C287" s="276"/>
      <c r="D287" s="276"/>
      <c r="E287" s="276"/>
      <c r="F287" s="276"/>
      <c r="G287" s="276"/>
    </row>
    <row r="288" spans="1:7" x14ac:dyDescent="0.35">
      <c r="A288" s="276"/>
      <c r="B288" s="276"/>
      <c r="C288" s="276"/>
      <c r="D288" s="276"/>
      <c r="E288" s="276"/>
      <c r="F288" s="276"/>
      <c r="G288" s="276"/>
    </row>
    <row r="289" spans="1:7" x14ac:dyDescent="0.35">
      <c r="A289" s="276"/>
      <c r="B289" s="276"/>
      <c r="C289" s="276"/>
      <c r="D289" s="276"/>
      <c r="E289" s="276"/>
      <c r="F289" s="276"/>
      <c r="G289" s="276"/>
    </row>
    <row r="290" spans="1:7" x14ac:dyDescent="0.35">
      <c r="A290" s="276"/>
      <c r="B290" s="276"/>
      <c r="C290" s="276"/>
      <c r="D290" s="276"/>
      <c r="E290" s="276"/>
      <c r="F290" s="276"/>
      <c r="G290" s="276"/>
    </row>
    <row r="291" spans="1:7" x14ac:dyDescent="0.35">
      <c r="A291" s="276"/>
      <c r="B291" s="276"/>
      <c r="C291" s="276"/>
      <c r="D291" s="276"/>
      <c r="E291" s="276"/>
      <c r="F291" s="276"/>
      <c r="G291" s="276"/>
    </row>
    <row r="292" spans="1:7" x14ac:dyDescent="0.35">
      <c r="A292" s="276"/>
      <c r="B292" s="276"/>
      <c r="C292" s="276"/>
      <c r="D292" s="276"/>
      <c r="E292" s="276"/>
      <c r="F292" s="276"/>
      <c r="G292" s="276"/>
    </row>
    <row r="293" spans="1:7" x14ac:dyDescent="0.35">
      <c r="A293" s="276"/>
      <c r="B293" s="276"/>
      <c r="C293" s="276"/>
      <c r="D293" s="276"/>
      <c r="E293" s="276"/>
      <c r="F293" s="276"/>
      <c r="G293" s="276"/>
    </row>
    <row r="294" spans="1:7" x14ac:dyDescent="0.35">
      <c r="A294" s="276"/>
      <c r="B294" s="276"/>
      <c r="C294" s="276"/>
      <c r="D294" s="276"/>
      <c r="E294" s="276"/>
      <c r="F294" s="276"/>
      <c r="G294" s="276"/>
    </row>
    <row r="295" spans="1:7" x14ac:dyDescent="0.35">
      <c r="A295" s="276"/>
      <c r="B295" s="276"/>
      <c r="C295" s="276"/>
      <c r="D295" s="276"/>
      <c r="E295" s="276"/>
      <c r="F295" s="276"/>
      <c r="G295" s="276"/>
    </row>
    <row r="296" spans="1:7" x14ac:dyDescent="0.35">
      <c r="A296" s="276"/>
      <c r="B296" s="276"/>
      <c r="C296" s="276"/>
      <c r="D296" s="276"/>
      <c r="E296" s="276"/>
      <c r="F296" s="276"/>
      <c r="G296" s="276"/>
    </row>
    <row r="297" spans="1:7" x14ac:dyDescent="0.35">
      <c r="A297" s="276"/>
      <c r="B297" s="276"/>
      <c r="C297" s="276"/>
      <c r="D297" s="276"/>
      <c r="E297" s="276"/>
      <c r="F297" s="276"/>
      <c r="G297" s="276"/>
    </row>
    <row r="298" spans="1:7" x14ac:dyDescent="0.35">
      <c r="A298" s="276"/>
      <c r="B298" s="276"/>
      <c r="C298" s="276"/>
      <c r="D298" s="276"/>
      <c r="E298" s="276"/>
      <c r="F298" s="276"/>
      <c r="G298" s="276"/>
    </row>
    <row r="299" spans="1:7" x14ac:dyDescent="0.35">
      <c r="A299" s="276"/>
      <c r="B299" s="276"/>
      <c r="C299" s="276"/>
      <c r="D299" s="276"/>
      <c r="E299" s="276"/>
      <c r="F299" s="276"/>
      <c r="G299" s="276"/>
    </row>
    <row r="300" spans="1:7" x14ac:dyDescent="0.35">
      <c r="A300" s="276"/>
      <c r="B300" s="276"/>
      <c r="C300" s="276"/>
      <c r="D300" s="276"/>
      <c r="E300" s="276"/>
      <c r="F300" s="276"/>
      <c r="G300" s="276"/>
    </row>
    <row r="301" spans="1:7" x14ac:dyDescent="0.35">
      <c r="A301" s="276"/>
      <c r="B301" s="276"/>
      <c r="C301" s="276"/>
      <c r="D301" s="276"/>
      <c r="E301" s="276"/>
      <c r="F301" s="276"/>
      <c r="G301" s="276"/>
    </row>
    <row r="302" spans="1:7" x14ac:dyDescent="0.35">
      <c r="A302" s="276"/>
      <c r="B302" s="276"/>
      <c r="C302" s="276"/>
      <c r="D302" s="276"/>
      <c r="E302" s="276"/>
      <c r="F302" s="276"/>
      <c r="G302" s="276"/>
    </row>
    <row r="303" spans="1:7" x14ac:dyDescent="0.35">
      <c r="A303" s="276"/>
      <c r="B303" s="276"/>
      <c r="C303" s="276"/>
      <c r="D303" s="276"/>
      <c r="E303" s="276"/>
      <c r="F303" s="276"/>
      <c r="G303" s="276"/>
    </row>
    <row r="304" spans="1:7" x14ac:dyDescent="0.35">
      <c r="A304" s="276"/>
      <c r="B304" s="276"/>
      <c r="C304" s="276"/>
      <c r="D304" s="276"/>
      <c r="E304" s="276"/>
      <c r="F304" s="276"/>
      <c r="G304" s="276"/>
    </row>
    <row r="305" spans="1:7" x14ac:dyDescent="0.35">
      <c r="A305" s="276"/>
      <c r="B305" s="276"/>
      <c r="C305" s="276"/>
      <c r="D305" s="276"/>
      <c r="E305" s="276"/>
      <c r="F305" s="276"/>
      <c r="G305" s="276"/>
    </row>
    <row r="306" spans="1:7" x14ac:dyDescent="0.35">
      <c r="A306" s="276"/>
      <c r="B306" s="276"/>
      <c r="C306" s="276"/>
      <c r="D306" s="276"/>
      <c r="E306" s="276"/>
      <c r="F306" s="276"/>
      <c r="G306" s="276"/>
    </row>
    <row r="307" spans="1:7" x14ac:dyDescent="0.35">
      <c r="A307" s="276"/>
      <c r="B307" s="276"/>
      <c r="C307" s="276"/>
      <c r="D307" s="276"/>
      <c r="E307" s="276"/>
      <c r="F307" s="276"/>
      <c r="G307" s="276"/>
    </row>
    <row r="308" spans="1:7" x14ac:dyDescent="0.35">
      <c r="A308" s="276"/>
      <c r="B308" s="276"/>
      <c r="C308" s="276"/>
      <c r="D308" s="276"/>
      <c r="E308" s="276"/>
      <c r="F308" s="276"/>
      <c r="G308" s="276"/>
    </row>
    <row r="309" spans="1:7" x14ac:dyDescent="0.35">
      <c r="A309" s="276"/>
      <c r="B309" s="276"/>
      <c r="C309" s="276"/>
      <c r="D309" s="276"/>
      <c r="E309" s="276"/>
      <c r="F309" s="276"/>
      <c r="G309" s="276"/>
    </row>
    <row r="310" spans="1:7" x14ac:dyDescent="0.35">
      <c r="A310" s="276"/>
      <c r="B310" s="276"/>
      <c r="C310" s="276"/>
      <c r="D310" s="276"/>
      <c r="E310" s="276"/>
      <c r="F310" s="276"/>
      <c r="G310" s="276"/>
    </row>
    <row r="311" spans="1:7" x14ac:dyDescent="0.35">
      <c r="A311" s="276"/>
      <c r="B311" s="276"/>
      <c r="C311" s="276"/>
      <c r="D311" s="276"/>
      <c r="E311" s="276"/>
      <c r="F311" s="276"/>
      <c r="G311" s="276"/>
    </row>
    <row r="312" spans="1:7" x14ac:dyDescent="0.35">
      <c r="A312" s="276"/>
      <c r="B312" s="276"/>
      <c r="C312" s="276"/>
      <c r="D312" s="276"/>
      <c r="E312" s="276"/>
      <c r="F312" s="276"/>
      <c r="G312" s="276"/>
    </row>
    <row r="313" spans="1:7" x14ac:dyDescent="0.35">
      <c r="A313" s="276"/>
      <c r="B313" s="276"/>
      <c r="C313" s="276"/>
      <c r="D313" s="276"/>
      <c r="E313" s="276"/>
      <c r="F313" s="276"/>
      <c r="G313" s="276"/>
    </row>
    <row r="314" spans="1:7" x14ac:dyDescent="0.35">
      <c r="A314" s="276"/>
      <c r="B314" s="276"/>
      <c r="C314" s="276"/>
      <c r="D314" s="276"/>
      <c r="E314" s="276"/>
      <c r="F314" s="276"/>
      <c r="G314" s="276"/>
    </row>
    <row r="315" spans="1:7" x14ac:dyDescent="0.35">
      <c r="A315" s="276"/>
      <c r="B315" s="276"/>
      <c r="C315" s="276"/>
      <c r="D315" s="276"/>
      <c r="E315" s="276"/>
      <c r="F315" s="276"/>
      <c r="G315" s="276"/>
    </row>
    <row r="316" spans="1:7" x14ac:dyDescent="0.35">
      <c r="A316" s="276"/>
      <c r="B316" s="276"/>
      <c r="C316" s="276"/>
      <c r="D316" s="276"/>
      <c r="E316" s="276"/>
      <c r="F316" s="276"/>
      <c r="G316" s="276"/>
    </row>
    <row r="317" spans="1:7" x14ac:dyDescent="0.35">
      <c r="A317" s="276"/>
      <c r="B317" s="276"/>
      <c r="C317" s="276"/>
      <c r="D317" s="276"/>
      <c r="E317" s="276"/>
      <c r="F317" s="276"/>
      <c r="G317" s="276"/>
    </row>
    <row r="318" spans="1:7" x14ac:dyDescent="0.35">
      <c r="A318" s="276"/>
      <c r="B318" s="276"/>
      <c r="C318" s="276"/>
      <c r="D318" s="276"/>
      <c r="E318" s="276"/>
      <c r="F318" s="276"/>
      <c r="G318" s="276"/>
    </row>
    <row r="319" spans="1:7" x14ac:dyDescent="0.35">
      <c r="A319" s="276"/>
      <c r="B319" s="276"/>
      <c r="C319" s="276"/>
      <c r="D319" s="276"/>
      <c r="E319" s="276"/>
      <c r="F319" s="276"/>
      <c r="G319" s="276"/>
    </row>
    <row r="320" spans="1:7" x14ac:dyDescent="0.35">
      <c r="A320" s="276"/>
      <c r="B320" s="276"/>
      <c r="C320" s="276"/>
      <c r="D320" s="276"/>
      <c r="E320" s="276"/>
      <c r="F320" s="276"/>
      <c r="G320" s="276"/>
    </row>
    <row r="321" spans="1:7" x14ac:dyDescent="0.35">
      <c r="A321" s="276"/>
      <c r="B321" s="276"/>
      <c r="C321" s="276"/>
      <c r="D321" s="276"/>
      <c r="E321" s="276"/>
      <c r="F321" s="276"/>
      <c r="G321" s="276"/>
    </row>
    <row r="322" spans="1:7" x14ac:dyDescent="0.35">
      <c r="A322" s="276"/>
      <c r="B322" s="276"/>
      <c r="C322" s="276"/>
      <c r="D322" s="276"/>
      <c r="E322" s="276"/>
      <c r="F322" s="276"/>
      <c r="G322" s="276"/>
    </row>
    <row r="323" spans="1:7" x14ac:dyDescent="0.35">
      <c r="A323" s="276"/>
      <c r="B323" s="276"/>
      <c r="C323" s="276"/>
      <c r="D323" s="276"/>
      <c r="E323" s="276"/>
      <c r="F323" s="276"/>
      <c r="G323" s="276"/>
    </row>
    <row r="324" spans="1:7" x14ac:dyDescent="0.35">
      <c r="A324" s="276"/>
      <c r="B324" s="276"/>
      <c r="C324" s="276"/>
      <c r="D324" s="276"/>
      <c r="E324" s="276"/>
      <c r="F324" s="276"/>
      <c r="G324" s="276"/>
    </row>
    <row r="325" spans="1:7" x14ac:dyDescent="0.35">
      <c r="A325" s="276"/>
      <c r="B325" s="276"/>
      <c r="C325" s="276"/>
      <c r="D325" s="276"/>
      <c r="E325" s="276"/>
      <c r="F325" s="276"/>
      <c r="G325" s="276"/>
    </row>
    <row r="326" spans="1:7" x14ac:dyDescent="0.35">
      <c r="A326" s="276"/>
      <c r="B326" s="276"/>
      <c r="C326" s="276"/>
      <c r="D326" s="276"/>
      <c r="E326" s="276"/>
      <c r="F326" s="276"/>
      <c r="G326" s="276"/>
    </row>
    <row r="327" spans="1:7" x14ac:dyDescent="0.35">
      <c r="A327" s="276"/>
      <c r="B327" s="276"/>
      <c r="C327" s="276"/>
      <c r="D327" s="276"/>
      <c r="E327" s="276"/>
      <c r="F327" s="276"/>
      <c r="G327" s="276"/>
    </row>
    <row r="328" spans="1:7" x14ac:dyDescent="0.35">
      <c r="A328" s="276"/>
      <c r="B328" s="276"/>
      <c r="C328" s="276"/>
      <c r="D328" s="276"/>
      <c r="E328" s="276"/>
      <c r="F328" s="276"/>
      <c r="G328" s="276"/>
    </row>
    <row r="329" spans="1:7" x14ac:dyDescent="0.35">
      <c r="A329" s="276"/>
      <c r="B329" s="276"/>
      <c r="C329" s="276"/>
      <c r="D329" s="276"/>
      <c r="E329" s="276"/>
      <c r="F329" s="276"/>
      <c r="G329" s="276"/>
    </row>
    <row r="330" spans="1:7" x14ac:dyDescent="0.35">
      <c r="A330" s="276"/>
      <c r="B330" s="276"/>
      <c r="C330" s="276"/>
      <c r="D330" s="276"/>
      <c r="E330" s="276"/>
      <c r="F330" s="276"/>
      <c r="G330" s="276"/>
    </row>
    <row r="331" spans="1:7" x14ac:dyDescent="0.35">
      <c r="A331" s="276"/>
      <c r="B331" s="276"/>
      <c r="C331" s="276"/>
      <c r="D331" s="276"/>
      <c r="E331" s="276"/>
      <c r="F331" s="276"/>
      <c r="G331" s="276"/>
    </row>
    <row r="332" spans="1:7" x14ac:dyDescent="0.35">
      <c r="A332" s="276"/>
      <c r="B332" s="276"/>
      <c r="C332" s="276"/>
      <c r="D332" s="276"/>
      <c r="E332" s="276"/>
      <c r="F332" s="276"/>
      <c r="G332" s="276"/>
    </row>
    <row r="333" spans="1:7" x14ac:dyDescent="0.35">
      <c r="A333" s="276"/>
      <c r="B333" s="276"/>
      <c r="C333" s="276"/>
      <c r="D333" s="276"/>
      <c r="E333" s="276"/>
      <c r="F333" s="276"/>
      <c r="G333" s="276"/>
    </row>
    <row r="334" spans="1:7" x14ac:dyDescent="0.35">
      <c r="A334" s="276"/>
      <c r="B334" s="276"/>
      <c r="C334" s="276"/>
      <c r="D334" s="276"/>
      <c r="E334" s="276"/>
      <c r="F334" s="276"/>
      <c r="G334" s="276"/>
    </row>
    <row r="335" spans="1:7" x14ac:dyDescent="0.35">
      <c r="A335" s="276"/>
      <c r="B335" s="276"/>
      <c r="C335" s="276"/>
      <c r="D335" s="276"/>
      <c r="E335" s="276"/>
      <c r="F335" s="276"/>
      <c r="G335" s="276"/>
    </row>
    <row r="336" spans="1:7" x14ac:dyDescent="0.35">
      <c r="A336" s="276"/>
      <c r="B336" s="276"/>
      <c r="C336" s="276"/>
      <c r="D336" s="276"/>
      <c r="E336" s="276"/>
      <c r="F336" s="276"/>
      <c r="G336" s="276"/>
    </row>
    <row r="337" spans="1:7" x14ac:dyDescent="0.35">
      <c r="A337" s="276"/>
      <c r="B337" s="276"/>
      <c r="C337" s="276"/>
      <c r="D337" s="276"/>
      <c r="E337" s="276"/>
      <c r="F337" s="276"/>
      <c r="G337" s="276"/>
    </row>
    <row r="338" spans="1:7" x14ac:dyDescent="0.35">
      <c r="A338" s="276"/>
      <c r="B338" s="276"/>
      <c r="C338" s="276"/>
      <c r="D338" s="276"/>
      <c r="E338" s="276"/>
      <c r="F338" s="276"/>
      <c r="G338" s="276"/>
    </row>
    <row r="339" spans="1:7" x14ac:dyDescent="0.35">
      <c r="A339" s="276"/>
      <c r="B339" s="276"/>
      <c r="C339" s="276"/>
      <c r="D339" s="276"/>
      <c r="E339" s="276"/>
      <c r="F339" s="276"/>
      <c r="G339" s="276"/>
    </row>
    <row r="340" spans="1:7" x14ac:dyDescent="0.35">
      <c r="A340" s="276"/>
      <c r="B340" s="276"/>
      <c r="C340" s="276"/>
      <c r="D340" s="276"/>
      <c r="E340" s="276"/>
      <c r="F340" s="276"/>
      <c r="G340" s="276"/>
    </row>
    <row r="341" spans="1:7" x14ac:dyDescent="0.35">
      <c r="A341" s="276"/>
      <c r="B341" s="276"/>
      <c r="C341" s="276"/>
      <c r="D341" s="276"/>
      <c r="E341" s="276"/>
      <c r="F341" s="276"/>
      <c r="G341" s="276"/>
    </row>
    <row r="342" spans="1:7" x14ac:dyDescent="0.35">
      <c r="A342" s="276"/>
      <c r="B342" s="276"/>
      <c r="C342" s="276"/>
      <c r="D342" s="276"/>
      <c r="E342" s="276"/>
      <c r="F342" s="276"/>
      <c r="G342" s="276"/>
    </row>
    <row r="343" spans="1:7" x14ac:dyDescent="0.35">
      <c r="A343" s="276"/>
      <c r="B343" s="276"/>
      <c r="C343" s="276"/>
      <c r="D343" s="276"/>
      <c r="E343" s="276"/>
      <c r="F343" s="276"/>
      <c r="G343" s="276"/>
    </row>
    <row r="344" spans="1:7" x14ac:dyDescent="0.35">
      <c r="A344" s="276"/>
      <c r="B344" s="276"/>
      <c r="C344" s="276"/>
      <c r="D344" s="276"/>
      <c r="E344" s="276"/>
      <c r="F344" s="276"/>
      <c r="G344" s="276"/>
    </row>
    <row r="345" spans="1:7" x14ac:dyDescent="0.35">
      <c r="A345" s="276"/>
      <c r="B345" s="276"/>
      <c r="C345" s="276"/>
      <c r="D345" s="276"/>
      <c r="E345" s="276"/>
      <c r="F345" s="276"/>
      <c r="G345" s="276"/>
    </row>
    <row r="346" spans="1:7" x14ac:dyDescent="0.35">
      <c r="A346" s="276"/>
      <c r="B346" s="276"/>
      <c r="C346" s="276"/>
      <c r="D346" s="276"/>
      <c r="E346" s="276"/>
      <c r="F346" s="276"/>
      <c r="G346" s="276"/>
    </row>
    <row r="347" spans="1:7" x14ac:dyDescent="0.35">
      <c r="A347" s="276"/>
      <c r="B347" s="276"/>
      <c r="C347" s="276"/>
      <c r="D347" s="276"/>
      <c r="E347" s="276"/>
      <c r="F347" s="276"/>
      <c r="G347" s="276"/>
    </row>
    <row r="348" spans="1:7" x14ac:dyDescent="0.35">
      <c r="A348" s="276"/>
      <c r="B348" s="276"/>
      <c r="C348" s="276"/>
      <c r="D348" s="276"/>
      <c r="E348" s="276"/>
      <c r="F348" s="276"/>
      <c r="G348" s="276"/>
    </row>
    <row r="349" spans="1:7" x14ac:dyDescent="0.35">
      <c r="A349" s="276"/>
      <c r="B349" s="276"/>
      <c r="C349" s="276"/>
      <c r="D349" s="276"/>
      <c r="E349" s="276"/>
      <c r="F349" s="276"/>
      <c r="G349" s="276"/>
    </row>
    <row r="350" spans="1:7" x14ac:dyDescent="0.35">
      <c r="A350" s="276"/>
      <c r="B350" s="276"/>
      <c r="C350" s="276"/>
      <c r="D350" s="276"/>
      <c r="E350" s="276"/>
      <c r="F350" s="276"/>
      <c r="G350" s="276"/>
    </row>
    <row r="351" spans="1:7" x14ac:dyDescent="0.35">
      <c r="A351" s="276"/>
      <c r="B351" s="276"/>
      <c r="C351" s="276"/>
      <c r="D351" s="276"/>
      <c r="E351" s="276"/>
      <c r="F351" s="276"/>
      <c r="G351" s="276"/>
    </row>
    <row r="352" spans="1:7" x14ac:dyDescent="0.35">
      <c r="A352" s="276"/>
      <c r="B352" s="276"/>
      <c r="C352" s="276"/>
      <c r="D352" s="276"/>
      <c r="E352" s="276"/>
      <c r="F352" s="276"/>
      <c r="G352" s="276"/>
    </row>
    <row r="353" spans="1:7" x14ac:dyDescent="0.35">
      <c r="A353" s="276"/>
      <c r="B353" s="276"/>
      <c r="C353" s="276"/>
      <c r="D353" s="276"/>
      <c r="E353" s="276"/>
      <c r="F353" s="276"/>
      <c r="G353" s="276"/>
    </row>
    <row r="354" spans="1:7" x14ac:dyDescent="0.35">
      <c r="A354" s="276"/>
      <c r="B354" s="276"/>
      <c r="C354" s="276"/>
      <c r="D354" s="276"/>
      <c r="E354" s="276"/>
      <c r="F354" s="276"/>
      <c r="G354" s="276"/>
    </row>
    <row r="355" spans="1:7" x14ac:dyDescent="0.35">
      <c r="A355" s="276"/>
      <c r="B355" s="276"/>
      <c r="C355" s="276"/>
      <c r="D355" s="276"/>
      <c r="E355" s="276"/>
      <c r="F355" s="276"/>
      <c r="G355" s="276"/>
    </row>
    <row r="356" spans="1:7" x14ac:dyDescent="0.35">
      <c r="A356" s="276"/>
      <c r="B356" s="276"/>
      <c r="C356" s="276"/>
      <c r="D356" s="276"/>
      <c r="E356" s="276"/>
      <c r="F356" s="276"/>
      <c r="G356" s="276"/>
    </row>
    <row r="357" spans="1:7" x14ac:dyDescent="0.35">
      <c r="A357" s="276"/>
      <c r="B357" s="276"/>
      <c r="C357" s="276"/>
      <c r="D357" s="276"/>
      <c r="E357" s="276"/>
      <c r="F357" s="276"/>
      <c r="G357" s="276"/>
    </row>
    <row r="358" spans="1:7" x14ac:dyDescent="0.35">
      <c r="A358" s="276"/>
      <c r="B358" s="276"/>
      <c r="C358" s="276"/>
      <c r="D358" s="276"/>
      <c r="E358" s="276"/>
      <c r="F358" s="276"/>
      <c r="G358" s="276"/>
    </row>
    <row r="359" spans="1:7" x14ac:dyDescent="0.35">
      <c r="A359" s="276"/>
      <c r="B359" s="276"/>
      <c r="C359" s="276"/>
      <c r="D359" s="276"/>
      <c r="E359" s="276"/>
      <c r="F359" s="276"/>
      <c r="G359" s="276"/>
    </row>
    <row r="360" spans="1:7" x14ac:dyDescent="0.35">
      <c r="A360" s="276"/>
      <c r="B360" s="276"/>
      <c r="C360" s="276"/>
      <c r="D360" s="276"/>
      <c r="E360" s="276"/>
      <c r="F360" s="276"/>
      <c r="G360" s="276"/>
    </row>
    <row r="361" spans="1:7" x14ac:dyDescent="0.35">
      <c r="A361" s="276"/>
      <c r="B361" s="276"/>
      <c r="C361" s="276"/>
      <c r="D361" s="276"/>
      <c r="E361" s="276"/>
      <c r="F361" s="276"/>
      <c r="G361" s="276"/>
    </row>
    <row r="362" spans="1:7" x14ac:dyDescent="0.35">
      <c r="A362" s="276"/>
      <c r="B362" s="276"/>
      <c r="C362" s="276"/>
      <c r="D362" s="276"/>
      <c r="E362" s="276"/>
      <c r="F362" s="276"/>
      <c r="G362" s="276"/>
    </row>
    <row r="363" spans="1:7" x14ac:dyDescent="0.35">
      <c r="A363" s="276"/>
      <c r="B363" s="276"/>
      <c r="C363" s="276"/>
      <c r="D363" s="276"/>
      <c r="E363" s="276"/>
      <c r="F363" s="276"/>
      <c r="G363" s="276"/>
    </row>
    <row r="364" spans="1:7" x14ac:dyDescent="0.35">
      <c r="A364" s="276"/>
      <c r="B364" s="276"/>
      <c r="C364" s="276"/>
      <c r="D364" s="276"/>
      <c r="E364" s="276"/>
      <c r="F364" s="276"/>
      <c r="G364" s="276"/>
    </row>
    <row r="365" spans="1:7" x14ac:dyDescent="0.35">
      <c r="A365" s="276"/>
      <c r="B365" s="276"/>
      <c r="C365" s="276"/>
      <c r="D365" s="276"/>
      <c r="E365" s="276"/>
      <c r="F365" s="276"/>
      <c r="G365" s="276"/>
    </row>
    <row r="366" spans="1:7" x14ac:dyDescent="0.35">
      <c r="A366" s="276"/>
      <c r="B366" s="276"/>
      <c r="C366" s="276"/>
      <c r="D366" s="276"/>
      <c r="E366" s="276"/>
      <c r="F366" s="276"/>
      <c r="G366" s="276"/>
    </row>
    <row r="367" spans="1:7" x14ac:dyDescent="0.35">
      <c r="A367" s="276"/>
      <c r="B367" s="276"/>
      <c r="C367" s="276"/>
      <c r="D367" s="276"/>
      <c r="E367" s="276"/>
      <c r="F367" s="276"/>
      <c r="G367" s="276"/>
    </row>
    <row r="368" spans="1:7" x14ac:dyDescent="0.35">
      <c r="A368" s="276"/>
      <c r="B368" s="276"/>
      <c r="C368" s="276"/>
      <c r="D368" s="276"/>
      <c r="E368" s="276"/>
      <c r="F368" s="276"/>
      <c r="G368" s="276"/>
    </row>
    <row r="369" spans="1:7" x14ac:dyDescent="0.35">
      <c r="A369" s="276"/>
      <c r="B369" s="276"/>
      <c r="C369" s="276"/>
      <c r="D369" s="276"/>
      <c r="E369" s="276"/>
      <c r="F369" s="276"/>
      <c r="G369" s="276"/>
    </row>
    <row r="370" spans="1:7" x14ac:dyDescent="0.35">
      <c r="A370" s="276"/>
      <c r="B370" s="276"/>
      <c r="C370" s="276"/>
      <c r="D370" s="276"/>
      <c r="E370" s="276"/>
      <c r="F370" s="276"/>
      <c r="G370" s="276"/>
    </row>
    <row r="371" spans="1:7" x14ac:dyDescent="0.35">
      <c r="A371" s="276"/>
      <c r="B371" s="276"/>
      <c r="C371" s="276"/>
      <c r="D371" s="276"/>
      <c r="E371" s="276"/>
      <c r="F371" s="276"/>
      <c r="G371" s="276"/>
    </row>
    <row r="372" spans="1:7" x14ac:dyDescent="0.35">
      <c r="A372" s="276"/>
      <c r="B372" s="276"/>
      <c r="C372" s="276"/>
      <c r="D372" s="276"/>
      <c r="E372" s="276"/>
      <c r="F372" s="276"/>
      <c r="G372" s="276"/>
    </row>
    <row r="373" spans="1:7" x14ac:dyDescent="0.35">
      <c r="A373" s="276"/>
      <c r="B373" s="276"/>
      <c r="C373" s="276"/>
      <c r="D373" s="276"/>
      <c r="E373" s="276"/>
      <c r="F373" s="276"/>
      <c r="G373" s="276"/>
    </row>
    <row r="374" spans="1:7" x14ac:dyDescent="0.35">
      <c r="A374" s="276"/>
      <c r="B374" s="276"/>
      <c r="C374" s="276"/>
      <c r="D374" s="276"/>
      <c r="E374" s="276"/>
      <c r="F374" s="276"/>
      <c r="G374" s="276"/>
    </row>
    <row r="375" spans="1:7" x14ac:dyDescent="0.35">
      <c r="A375" s="276"/>
      <c r="B375" s="276"/>
      <c r="C375" s="276"/>
      <c r="D375" s="276"/>
      <c r="E375" s="276"/>
      <c r="F375" s="276"/>
      <c r="G375" s="276"/>
    </row>
    <row r="376" spans="1:7" x14ac:dyDescent="0.35">
      <c r="A376" s="276"/>
      <c r="B376" s="276"/>
      <c r="C376" s="276"/>
      <c r="D376" s="276"/>
      <c r="E376" s="276"/>
      <c r="F376" s="276"/>
      <c r="G376" s="276"/>
    </row>
    <row r="377" spans="1:7" x14ac:dyDescent="0.35">
      <c r="A377" s="276"/>
      <c r="B377" s="276"/>
      <c r="C377" s="276"/>
      <c r="D377" s="276"/>
      <c r="E377" s="276"/>
      <c r="F377" s="276"/>
      <c r="G377" s="276"/>
    </row>
    <row r="378" spans="1:7" x14ac:dyDescent="0.35">
      <c r="A378" s="276"/>
      <c r="B378" s="276"/>
      <c r="C378" s="276"/>
      <c r="D378" s="276"/>
      <c r="E378" s="276"/>
      <c r="F378" s="276"/>
      <c r="G378" s="276"/>
    </row>
    <row r="379" spans="1:7" x14ac:dyDescent="0.35">
      <c r="A379" s="276"/>
      <c r="B379" s="276"/>
      <c r="C379" s="276"/>
      <c r="D379" s="276"/>
      <c r="E379" s="276"/>
      <c r="F379" s="276"/>
      <c r="G379" s="276"/>
    </row>
    <row r="380" spans="1:7" x14ac:dyDescent="0.35">
      <c r="A380" s="276"/>
      <c r="B380" s="276"/>
      <c r="C380" s="276"/>
      <c r="D380" s="276"/>
      <c r="E380" s="276"/>
      <c r="F380" s="276"/>
      <c r="G380" s="276"/>
    </row>
    <row r="381" spans="1:7" x14ac:dyDescent="0.35">
      <c r="A381" s="276"/>
      <c r="B381" s="276"/>
      <c r="C381" s="276"/>
      <c r="D381" s="276"/>
      <c r="E381" s="276"/>
      <c r="F381" s="276"/>
      <c r="G381" s="276"/>
    </row>
    <row r="382" spans="1:7" x14ac:dyDescent="0.35">
      <c r="A382" s="276"/>
      <c r="B382" s="276"/>
      <c r="C382" s="276"/>
      <c r="D382" s="276"/>
      <c r="E382" s="276"/>
      <c r="F382" s="276"/>
      <c r="G382" s="276"/>
    </row>
    <row r="383" spans="1:7" x14ac:dyDescent="0.35">
      <c r="A383" s="276"/>
      <c r="B383" s="276"/>
      <c r="C383" s="276"/>
      <c r="D383" s="276"/>
      <c r="E383" s="276"/>
      <c r="F383" s="276"/>
      <c r="G383" s="276"/>
    </row>
    <row r="384" spans="1:7" x14ac:dyDescent="0.35">
      <c r="A384" s="276"/>
      <c r="B384" s="276"/>
      <c r="C384" s="276"/>
      <c r="D384" s="276"/>
      <c r="E384" s="276"/>
      <c r="F384" s="276"/>
      <c r="G384" s="276"/>
    </row>
    <row r="385" spans="1:7" x14ac:dyDescent="0.35">
      <c r="A385" s="276"/>
      <c r="B385" s="276"/>
      <c r="C385" s="276"/>
      <c r="D385" s="276"/>
      <c r="E385" s="276"/>
      <c r="F385" s="276"/>
      <c r="G385" s="276"/>
    </row>
    <row r="386" spans="1:7" x14ac:dyDescent="0.35">
      <c r="A386" s="276"/>
      <c r="B386" s="276"/>
      <c r="C386" s="276"/>
      <c r="D386" s="276"/>
      <c r="E386" s="276"/>
      <c r="F386" s="276"/>
      <c r="G386" s="276"/>
    </row>
    <row r="387" spans="1:7" x14ac:dyDescent="0.35">
      <c r="A387" s="276"/>
      <c r="B387" s="276"/>
      <c r="C387" s="276"/>
      <c r="D387" s="276"/>
      <c r="E387" s="276"/>
      <c r="F387" s="276"/>
      <c r="G387" s="276"/>
    </row>
    <row r="388" spans="1:7" x14ac:dyDescent="0.35">
      <c r="A388" s="276"/>
      <c r="B388" s="276"/>
      <c r="C388" s="276"/>
      <c r="D388" s="276"/>
      <c r="E388" s="276"/>
      <c r="F388" s="276"/>
      <c r="G388" s="276"/>
    </row>
    <row r="389" spans="1:7" x14ac:dyDescent="0.35">
      <c r="A389" s="276"/>
      <c r="B389" s="276"/>
      <c r="C389" s="276"/>
      <c r="D389" s="276"/>
      <c r="E389" s="276"/>
      <c r="F389" s="276"/>
      <c r="G389" s="276"/>
    </row>
    <row r="390" spans="1:7" x14ac:dyDescent="0.35">
      <c r="A390" s="276"/>
      <c r="B390" s="276"/>
      <c r="C390" s="276"/>
      <c r="D390" s="276"/>
      <c r="E390" s="276"/>
      <c r="F390" s="276"/>
      <c r="G390" s="276"/>
    </row>
    <row r="391" spans="1:7" x14ac:dyDescent="0.35">
      <c r="A391" s="276"/>
      <c r="B391" s="276"/>
      <c r="C391" s="276"/>
      <c r="D391" s="276"/>
      <c r="E391" s="276"/>
      <c r="F391" s="276"/>
      <c r="G391" s="276"/>
    </row>
    <row r="392" spans="1:7" x14ac:dyDescent="0.35">
      <c r="A392" s="276"/>
      <c r="B392" s="276"/>
      <c r="C392" s="276"/>
      <c r="D392" s="276"/>
      <c r="E392" s="276"/>
      <c r="F392" s="276"/>
      <c r="G392" s="276"/>
    </row>
    <row r="393" spans="1:7" x14ac:dyDescent="0.35">
      <c r="A393" s="276"/>
      <c r="B393" s="276"/>
      <c r="C393" s="276"/>
      <c r="D393" s="276"/>
      <c r="E393" s="276"/>
      <c r="F393" s="276"/>
      <c r="G393" s="276"/>
    </row>
    <row r="394" spans="1:7" x14ac:dyDescent="0.35">
      <c r="A394" s="276"/>
      <c r="B394" s="276"/>
      <c r="C394" s="276"/>
      <c r="D394" s="276"/>
      <c r="E394" s="276"/>
      <c r="F394" s="276"/>
      <c r="G394" s="276"/>
    </row>
    <row r="395" spans="1:7" x14ac:dyDescent="0.35">
      <c r="A395" s="276"/>
      <c r="B395" s="276"/>
      <c r="C395" s="276"/>
      <c r="D395" s="276"/>
      <c r="E395" s="276"/>
      <c r="F395" s="276"/>
      <c r="G395" s="276"/>
    </row>
    <row r="396" spans="1:7" x14ac:dyDescent="0.35">
      <c r="A396" s="276"/>
      <c r="B396" s="276"/>
      <c r="C396" s="276"/>
      <c r="D396" s="276"/>
      <c r="E396" s="276"/>
      <c r="F396" s="276"/>
      <c r="G396" s="276"/>
    </row>
    <row r="397" spans="1:7" x14ac:dyDescent="0.35">
      <c r="A397" s="276"/>
      <c r="B397" s="276"/>
      <c r="C397" s="276"/>
      <c r="D397" s="276"/>
      <c r="E397" s="276"/>
      <c r="F397" s="276"/>
      <c r="G397" s="276"/>
    </row>
    <row r="398" spans="1:7" x14ac:dyDescent="0.35">
      <c r="A398" s="276"/>
      <c r="B398" s="276"/>
      <c r="C398" s="276"/>
      <c r="D398" s="276"/>
      <c r="E398" s="276"/>
      <c r="F398" s="276"/>
      <c r="G398" s="276"/>
    </row>
    <row r="399" spans="1:7" x14ac:dyDescent="0.35">
      <c r="A399" s="276"/>
      <c r="B399" s="276"/>
      <c r="C399" s="276"/>
      <c r="D399" s="276"/>
      <c r="E399" s="276"/>
      <c r="F399" s="276"/>
      <c r="G399" s="276"/>
    </row>
    <row r="400" spans="1:7" x14ac:dyDescent="0.35">
      <c r="A400" s="276"/>
      <c r="B400" s="276"/>
      <c r="C400" s="276"/>
      <c r="D400" s="276"/>
      <c r="E400" s="276"/>
      <c r="F400" s="276"/>
      <c r="G400" s="276"/>
    </row>
    <row r="401" spans="1:7" x14ac:dyDescent="0.35">
      <c r="A401" s="276"/>
      <c r="B401" s="276"/>
      <c r="C401" s="276"/>
      <c r="D401" s="276"/>
      <c r="E401" s="276"/>
      <c r="F401" s="276"/>
      <c r="G401" s="276"/>
    </row>
    <row r="402" spans="1:7" x14ac:dyDescent="0.35">
      <c r="A402" s="276"/>
      <c r="B402" s="276"/>
      <c r="C402" s="276"/>
      <c r="D402" s="276"/>
      <c r="E402" s="276"/>
      <c r="F402" s="276"/>
      <c r="G402" s="276"/>
    </row>
    <row r="403" spans="1:7" x14ac:dyDescent="0.35">
      <c r="A403" s="276"/>
      <c r="B403" s="276"/>
      <c r="C403" s="276"/>
      <c r="D403" s="276"/>
      <c r="E403" s="276"/>
      <c r="F403" s="276"/>
      <c r="G403" s="276"/>
    </row>
    <row r="404" spans="1:7" x14ac:dyDescent="0.35">
      <c r="A404" s="276"/>
      <c r="B404" s="276"/>
      <c r="C404" s="276"/>
      <c r="D404" s="276"/>
      <c r="E404" s="276"/>
      <c r="F404" s="276"/>
      <c r="G404" s="276"/>
    </row>
    <row r="405" spans="1:7" x14ac:dyDescent="0.35">
      <c r="A405" s="276"/>
      <c r="B405" s="276"/>
      <c r="C405" s="276"/>
      <c r="D405" s="276"/>
      <c r="E405" s="276"/>
      <c r="F405" s="276"/>
      <c r="G405" s="276"/>
    </row>
    <row r="406" spans="1:7" x14ac:dyDescent="0.35">
      <c r="A406" s="276"/>
      <c r="B406" s="276"/>
      <c r="C406" s="276"/>
      <c r="D406" s="276"/>
      <c r="E406" s="276"/>
      <c r="F406" s="276"/>
      <c r="G406" s="276"/>
    </row>
    <row r="407" spans="1:7" x14ac:dyDescent="0.35">
      <c r="A407" s="276"/>
      <c r="B407" s="276"/>
      <c r="C407" s="276"/>
      <c r="D407" s="276"/>
      <c r="E407" s="276"/>
      <c r="F407" s="276"/>
      <c r="G407" s="276"/>
    </row>
    <row r="408" spans="1:7" x14ac:dyDescent="0.35">
      <c r="A408" s="276"/>
      <c r="B408" s="276"/>
      <c r="C408" s="276"/>
      <c r="D408" s="276"/>
      <c r="E408" s="276"/>
      <c r="F408" s="276"/>
      <c r="G408" s="276"/>
    </row>
    <row r="409" spans="1:7" x14ac:dyDescent="0.35">
      <c r="A409" s="276"/>
      <c r="B409" s="276"/>
      <c r="C409" s="276"/>
      <c r="D409" s="276"/>
      <c r="E409" s="276"/>
      <c r="F409" s="276"/>
      <c r="G409" s="276"/>
    </row>
    <row r="410" spans="1:7" x14ac:dyDescent="0.35">
      <c r="A410" s="276"/>
      <c r="B410" s="276"/>
      <c r="C410" s="276"/>
      <c r="D410" s="276"/>
      <c r="E410" s="276"/>
      <c r="F410" s="276"/>
      <c r="G410" s="276"/>
    </row>
    <row r="411" spans="1:7" x14ac:dyDescent="0.35">
      <c r="A411" s="276"/>
      <c r="B411" s="276"/>
      <c r="C411" s="276"/>
      <c r="D411" s="276"/>
      <c r="E411" s="276"/>
      <c r="F411" s="276"/>
      <c r="G411" s="276"/>
    </row>
    <row r="412" spans="1:7" x14ac:dyDescent="0.35">
      <c r="A412" s="276"/>
      <c r="B412" s="276"/>
      <c r="C412" s="276"/>
      <c r="D412" s="276"/>
      <c r="E412" s="276"/>
      <c r="F412" s="276"/>
      <c r="G412" s="276"/>
    </row>
    <row r="413" spans="1:7" x14ac:dyDescent="0.35">
      <c r="A413" s="276"/>
      <c r="B413" s="276"/>
      <c r="C413" s="276"/>
      <c r="D413" s="276"/>
      <c r="E413" s="276"/>
      <c r="F413" s="276"/>
      <c r="G413" s="276"/>
    </row>
    <row r="414" spans="1:7" x14ac:dyDescent="0.35">
      <c r="A414" s="276"/>
      <c r="B414" s="276"/>
      <c r="C414" s="276"/>
      <c r="D414" s="276"/>
      <c r="E414" s="276"/>
      <c r="F414" s="276"/>
      <c r="G414" s="276"/>
    </row>
    <row r="415" spans="1:7" x14ac:dyDescent="0.35">
      <c r="A415" s="276"/>
      <c r="B415" s="276"/>
      <c r="C415" s="276"/>
      <c r="D415" s="276"/>
      <c r="E415" s="276"/>
      <c r="F415" s="276"/>
      <c r="G415" s="276"/>
    </row>
    <row r="416" spans="1:7" x14ac:dyDescent="0.35">
      <c r="A416" s="276"/>
      <c r="B416" s="276"/>
      <c r="C416" s="276"/>
      <c r="D416" s="276"/>
      <c r="E416" s="276"/>
      <c r="F416" s="276"/>
      <c r="G416" s="276"/>
    </row>
    <row r="417" spans="1:7" x14ac:dyDescent="0.35">
      <c r="A417" s="276"/>
      <c r="B417" s="276"/>
      <c r="C417" s="276"/>
      <c r="D417" s="276"/>
      <c r="E417" s="276"/>
      <c r="F417" s="276"/>
      <c r="G417" s="276"/>
    </row>
    <row r="418" spans="1:7" x14ac:dyDescent="0.35">
      <c r="A418" s="276"/>
      <c r="B418" s="276"/>
      <c r="C418" s="276"/>
      <c r="D418" s="276"/>
      <c r="E418" s="276"/>
      <c r="F418" s="276"/>
      <c r="G418" s="276"/>
    </row>
    <row r="419" spans="1:7" x14ac:dyDescent="0.35">
      <c r="A419" s="276"/>
      <c r="B419" s="276"/>
      <c r="C419" s="276"/>
      <c r="D419" s="276"/>
      <c r="E419" s="276"/>
      <c r="F419" s="276"/>
      <c r="G419" s="276"/>
    </row>
    <row r="420" spans="1:7" x14ac:dyDescent="0.35">
      <c r="A420" s="276"/>
      <c r="B420" s="276"/>
      <c r="C420" s="276"/>
      <c r="D420" s="276"/>
      <c r="E420" s="276"/>
      <c r="F420" s="276"/>
      <c r="G420" s="276"/>
    </row>
    <row r="421" spans="1:7" x14ac:dyDescent="0.35">
      <c r="A421" s="276"/>
      <c r="B421" s="276"/>
      <c r="C421" s="276"/>
      <c r="D421" s="276"/>
      <c r="E421" s="276"/>
      <c r="F421" s="276"/>
      <c r="G421" s="276"/>
    </row>
    <row r="422" spans="1:7" x14ac:dyDescent="0.35">
      <c r="A422" s="276"/>
      <c r="B422" s="276"/>
      <c r="C422" s="276"/>
      <c r="D422" s="276"/>
      <c r="E422" s="276"/>
      <c r="F422" s="276"/>
      <c r="G422" s="276"/>
    </row>
    <row r="423" spans="1:7" x14ac:dyDescent="0.35">
      <c r="A423" s="276"/>
      <c r="B423" s="276"/>
      <c r="C423" s="276"/>
      <c r="D423" s="276"/>
      <c r="E423" s="276"/>
      <c r="F423" s="276"/>
      <c r="G423" s="276"/>
    </row>
    <row r="424" spans="1:7" x14ac:dyDescent="0.35">
      <c r="A424" s="276"/>
      <c r="B424" s="276"/>
      <c r="C424" s="276"/>
      <c r="D424" s="276"/>
      <c r="E424" s="276"/>
      <c r="F424" s="276"/>
      <c r="G424" s="276"/>
    </row>
    <row r="425" spans="1:7" x14ac:dyDescent="0.35">
      <c r="A425" s="276"/>
      <c r="B425" s="276"/>
      <c r="C425" s="276"/>
      <c r="D425" s="276"/>
      <c r="E425" s="276"/>
      <c r="F425" s="276"/>
      <c r="G425" s="276"/>
    </row>
    <row r="426" spans="1:7" x14ac:dyDescent="0.35">
      <c r="A426" s="276"/>
      <c r="B426" s="276"/>
      <c r="C426" s="276"/>
      <c r="D426" s="276"/>
      <c r="E426" s="276"/>
      <c r="F426" s="276"/>
      <c r="G426" s="276"/>
    </row>
    <row r="427" spans="1:7" x14ac:dyDescent="0.35">
      <c r="A427" s="276"/>
      <c r="B427" s="276"/>
      <c r="C427" s="276"/>
      <c r="D427" s="276"/>
      <c r="E427" s="276"/>
      <c r="F427" s="276"/>
      <c r="G427" s="276"/>
    </row>
    <row r="428" spans="1:7" x14ac:dyDescent="0.35">
      <c r="A428" s="276"/>
      <c r="B428" s="276"/>
      <c r="C428" s="276"/>
      <c r="D428" s="276"/>
      <c r="E428" s="276"/>
      <c r="F428" s="276"/>
      <c r="G428" s="276"/>
    </row>
    <row r="429" spans="1:7" x14ac:dyDescent="0.35">
      <c r="A429" s="276"/>
      <c r="B429" s="276"/>
      <c r="C429" s="276"/>
      <c r="D429" s="276"/>
      <c r="E429" s="276"/>
      <c r="F429" s="276"/>
      <c r="G429" s="276"/>
    </row>
    <row r="430" spans="1:7" x14ac:dyDescent="0.35">
      <c r="A430" s="276"/>
      <c r="B430" s="276"/>
      <c r="C430" s="276"/>
      <c r="D430" s="276"/>
      <c r="E430" s="276"/>
      <c r="F430" s="276"/>
      <c r="G430" s="276"/>
    </row>
    <row r="431" spans="1:7" x14ac:dyDescent="0.35">
      <c r="A431" s="276"/>
      <c r="B431" s="276"/>
      <c r="C431" s="276"/>
      <c r="D431" s="276"/>
      <c r="E431" s="276"/>
      <c r="F431" s="276"/>
      <c r="G431" s="276"/>
    </row>
    <row r="432" spans="1:7" x14ac:dyDescent="0.35">
      <c r="A432" s="276"/>
      <c r="B432" s="276"/>
      <c r="C432" s="276"/>
      <c r="D432" s="276"/>
      <c r="E432" s="276"/>
      <c r="F432" s="276"/>
      <c r="G432" s="276"/>
    </row>
    <row r="433" spans="1:7" x14ac:dyDescent="0.35">
      <c r="A433" s="276"/>
      <c r="B433" s="276"/>
      <c r="C433" s="276"/>
      <c r="D433" s="276"/>
      <c r="E433" s="276"/>
      <c r="F433" s="276"/>
      <c r="G433" s="276"/>
    </row>
    <row r="434" spans="1:7" x14ac:dyDescent="0.35">
      <c r="A434" s="276"/>
      <c r="B434" s="276"/>
      <c r="C434" s="276"/>
      <c r="D434" s="276"/>
      <c r="E434" s="276"/>
      <c r="F434" s="276"/>
      <c r="G434" s="276"/>
    </row>
    <row r="435" spans="1:7" x14ac:dyDescent="0.35">
      <c r="A435" s="276"/>
      <c r="B435" s="276"/>
      <c r="C435" s="276"/>
      <c r="D435" s="276"/>
      <c r="E435" s="276"/>
      <c r="F435" s="276"/>
      <c r="G435" s="276"/>
    </row>
    <row r="436" spans="1:7" x14ac:dyDescent="0.35">
      <c r="A436" s="276"/>
      <c r="B436" s="276"/>
      <c r="C436" s="276"/>
      <c r="D436" s="276"/>
      <c r="E436" s="276"/>
      <c r="F436" s="276"/>
      <c r="G436" s="276"/>
    </row>
    <row r="437" spans="1:7" x14ac:dyDescent="0.35">
      <c r="A437" s="276"/>
      <c r="B437" s="276"/>
      <c r="C437" s="276"/>
      <c r="D437" s="276"/>
      <c r="E437" s="276"/>
      <c r="F437" s="276"/>
      <c r="G437" s="276"/>
    </row>
    <row r="438" spans="1:7" x14ac:dyDescent="0.35">
      <c r="A438" s="276"/>
      <c r="B438" s="276"/>
      <c r="C438" s="276"/>
      <c r="D438" s="276"/>
      <c r="E438" s="276"/>
      <c r="F438" s="276"/>
      <c r="G438" s="276"/>
    </row>
    <row r="439" spans="1:7" x14ac:dyDescent="0.35">
      <c r="A439" s="276"/>
      <c r="B439" s="276"/>
      <c r="C439" s="276"/>
      <c r="D439" s="276"/>
      <c r="E439" s="276"/>
      <c r="F439" s="276"/>
      <c r="G439" s="276"/>
    </row>
    <row r="440" spans="1:7" x14ac:dyDescent="0.35">
      <c r="A440" s="276"/>
      <c r="B440" s="276"/>
      <c r="C440" s="276"/>
      <c r="D440" s="276"/>
      <c r="E440" s="276"/>
      <c r="F440" s="276"/>
      <c r="G440" s="276"/>
    </row>
    <row r="441" spans="1:7" x14ac:dyDescent="0.35">
      <c r="A441" s="276"/>
      <c r="B441" s="276"/>
      <c r="C441" s="276"/>
      <c r="D441" s="276"/>
      <c r="E441" s="276"/>
      <c r="F441" s="276"/>
      <c r="G441" s="276"/>
    </row>
    <row r="442" spans="1:7" x14ac:dyDescent="0.35">
      <c r="A442" s="276"/>
      <c r="B442" s="276"/>
      <c r="C442" s="276"/>
      <c r="D442" s="276"/>
      <c r="E442" s="276"/>
      <c r="F442" s="276"/>
      <c r="G442" s="276"/>
    </row>
    <row r="443" spans="1:7" x14ac:dyDescent="0.35">
      <c r="A443" s="276"/>
      <c r="B443" s="276"/>
      <c r="C443" s="276"/>
      <c r="D443" s="276"/>
      <c r="E443" s="276"/>
      <c r="F443" s="276"/>
      <c r="G443" s="276"/>
    </row>
    <row r="444" spans="1:7" x14ac:dyDescent="0.35">
      <c r="A444" s="276"/>
      <c r="B444" s="276"/>
      <c r="C444" s="276"/>
      <c r="D444" s="276"/>
      <c r="E444" s="276"/>
      <c r="F444" s="276"/>
      <c r="G444" s="276"/>
    </row>
    <row r="445" spans="1:7" x14ac:dyDescent="0.35">
      <c r="A445" s="276"/>
      <c r="B445" s="276"/>
      <c r="C445" s="276"/>
      <c r="D445" s="276"/>
      <c r="E445" s="276"/>
      <c r="F445" s="276"/>
      <c r="G445" s="276"/>
    </row>
    <row r="446" spans="1:7" x14ac:dyDescent="0.35">
      <c r="A446" s="276"/>
      <c r="B446" s="276"/>
      <c r="C446" s="276"/>
      <c r="D446" s="276"/>
      <c r="E446" s="276"/>
      <c r="F446" s="276"/>
      <c r="G446" s="276"/>
    </row>
    <row r="447" spans="1:7" x14ac:dyDescent="0.35">
      <c r="A447" s="276"/>
      <c r="B447" s="276"/>
      <c r="C447" s="276"/>
      <c r="D447" s="276"/>
      <c r="E447" s="276"/>
      <c r="F447" s="276"/>
      <c r="G447" s="276"/>
    </row>
    <row r="448" spans="1:7" x14ac:dyDescent="0.35">
      <c r="A448" s="276"/>
      <c r="B448" s="276"/>
      <c r="C448" s="276"/>
      <c r="D448" s="276"/>
      <c r="E448" s="276"/>
      <c r="F448" s="276"/>
      <c r="G448" s="276"/>
    </row>
    <row r="449" spans="1:7" x14ac:dyDescent="0.35">
      <c r="A449" s="276"/>
      <c r="B449" s="276"/>
      <c r="C449" s="276"/>
      <c r="D449" s="276"/>
      <c r="E449" s="276"/>
      <c r="F449" s="276"/>
      <c r="G449" s="276"/>
    </row>
    <row r="450" spans="1:7" x14ac:dyDescent="0.35">
      <c r="A450" s="276"/>
      <c r="B450" s="276"/>
      <c r="C450" s="276"/>
      <c r="D450" s="276"/>
      <c r="E450" s="276"/>
      <c r="F450" s="276"/>
      <c r="G450" s="276"/>
    </row>
    <row r="451" spans="1:7" x14ac:dyDescent="0.35">
      <c r="A451" s="276"/>
      <c r="B451" s="276"/>
      <c r="C451" s="276"/>
      <c r="D451" s="276"/>
      <c r="E451" s="276"/>
      <c r="F451" s="276"/>
      <c r="G451" s="276"/>
    </row>
    <row r="452" spans="1:7" x14ac:dyDescent="0.35">
      <c r="A452" s="276"/>
      <c r="B452" s="276"/>
      <c r="C452" s="276"/>
      <c r="D452" s="276"/>
      <c r="E452" s="276"/>
      <c r="F452" s="276"/>
      <c r="G452" s="276"/>
    </row>
    <row r="453" spans="1:7" x14ac:dyDescent="0.35">
      <c r="A453" s="276"/>
      <c r="B453" s="276"/>
      <c r="C453" s="276"/>
      <c r="D453" s="276"/>
      <c r="E453" s="276"/>
      <c r="F453" s="276"/>
      <c r="G453" s="276"/>
    </row>
    <row r="454" spans="1:7" x14ac:dyDescent="0.35">
      <c r="A454" s="276"/>
      <c r="B454" s="276"/>
      <c r="C454" s="276"/>
      <c r="D454" s="276"/>
      <c r="E454" s="276"/>
      <c r="F454" s="276"/>
      <c r="G454" s="276"/>
    </row>
    <row r="455" spans="1:7" x14ac:dyDescent="0.35">
      <c r="A455" s="276"/>
      <c r="B455" s="276"/>
      <c r="C455" s="276"/>
      <c r="D455" s="276"/>
      <c r="E455" s="276"/>
      <c r="F455" s="276"/>
      <c r="G455" s="276"/>
    </row>
    <row r="456" spans="1:7" x14ac:dyDescent="0.35">
      <c r="A456" s="276"/>
      <c r="B456" s="276"/>
      <c r="C456" s="276"/>
      <c r="D456" s="276"/>
      <c r="E456" s="276"/>
      <c r="F456" s="276"/>
      <c r="G456" s="276"/>
    </row>
    <row r="457" spans="1:7" x14ac:dyDescent="0.35">
      <c r="A457" s="276"/>
      <c r="B457" s="276"/>
      <c r="C457" s="276"/>
      <c r="D457" s="276"/>
      <c r="E457" s="276"/>
      <c r="F457" s="276"/>
      <c r="G457" s="276"/>
    </row>
    <row r="458" spans="1:7" x14ac:dyDescent="0.35">
      <c r="A458" s="276"/>
      <c r="B458" s="276"/>
      <c r="C458" s="276"/>
      <c r="D458" s="276"/>
      <c r="E458" s="276"/>
      <c r="F458" s="276"/>
      <c r="G458" s="276"/>
    </row>
    <row r="459" spans="1:7" x14ac:dyDescent="0.35">
      <c r="A459" s="276"/>
      <c r="B459" s="276"/>
      <c r="C459" s="276"/>
      <c r="D459" s="276"/>
      <c r="E459" s="276"/>
      <c r="F459" s="276"/>
      <c r="G459" s="276"/>
    </row>
    <row r="460" spans="1:7" x14ac:dyDescent="0.35">
      <c r="A460" s="276"/>
      <c r="B460" s="276"/>
      <c r="C460" s="276"/>
      <c r="D460" s="276"/>
      <c r="E460" s="276"/>
      <c r="F460" s="276"/>
      <c r="G460" s="276"/>
    </row>
    <row r="461" spans="1:7" x14ac:dyDescent="0.35">
      <c r="A461" s="276"/>
      <c r="B461" s="276"/>
      <c r="C461" s="276"/>
      <c r="D461" s="276"/>
      <c r="E461" s="276"/>
      <c r="F461" s="276"/>
      <c r="G461" s="276"/>
    </row>
    <row r="462" spans="1:7" x14ac:dyDescent="0.35">
      <c r="A462" s="276"/>
      <c r="B462" s="276"/>
      <c r="C462" s="276"/>
      <c r="D462" s="276"/>
      <c r="E462" s="276"/>
      <c r="F462" s="276"/>
      <c r="G462" s="276"/>
    </row>
    <row r="463" spans="1:7" x14ac:dyDescent="0.35">
      <c r="A463" s="276"/>
      <c r="B463" s="276"/>
      <c r="C463" s="276"/>
      <c r="D463" s="276"/>
      <c r="E463" s="276"/>
      <c r="F463" s="276"/>
      <c r="G463" s="276"/>
    </row>
    <row r="464" spans="1:7" x14ac:dyDescent="0.35">
      <c r="A464" s="276"/>
      <c r="B464" s="276"/>
      <c r="C464" s="276"/>
      <c r="D464" s="276"/>
      <c r="E464" s="276"/>
      <c r="F464" s="276"/>
      <c r="G464" s="276"/>
    </row>
    <row r="465" spans="1:7" x14ac:dyDescent="0.35">
      <c r="A465" s="276"/>
      <c r="B465" s="276"/>
      <c r="C465" s="276"/>
      <c r="D465" s="276"/>
      <c r="E465" s="276"/>
      <c r="F465" s="276"/>
      <c r="G465" s="276"/>
    </row>
    <row r="466" spans="1:7" x14ac:dyDescent="0.35">
      <c r="A466" s="276"/>
      <c r="B466" s="276"/>
      <c r="C466" s="276"/>
      <c r="D466" s="276"/>
      <c r="E466" s="276"/>
      <c r="F466" s="276"/>
      <c r="G466" s="276"/>
    </row>
    <row r="467" spans="1:7" x14ac:dyDescent="0.35">
      <c r="A467" s="276"/>
      <c r="B467" s="276"/>
      <c r="C467" s="276"/>
      <c r="D467" s="276"/>
      <c r="E467" s="276"/>
      <c r="F467" s="276"/>
      <c r="G467" s="276"/>
    </row>
    <row r="468" spans="1:7" x14ac:dyDescent="0.35">
      <c r="A468" s="276"/>
      <c r="B468" s="276"/>
      <c r="C468" s="276"/>
      <c r="D468" s="276"/>
      <c r="E468" s="276"/>
      <c r="F468" s="276"/>
      <c r="G468" s="276"/>
    </row>
    <row r="469" spans="1:7" x14ac:dyDescent="0.35">
      <c r="A469" s="276"/>
      <c r="B469" s="276"/>
      <c r="C469" s="276"/>
      <c r="D469" s="276"/>
      <c r="E469" s="276"/>
      <c r="F469" s="276"/>
      <c r="G469" s="276"/>
    </row>
    <row r="470" spans="1:7" x14ac:dyDescent="0.35">
      <c r="A470" s="276"/>
      <c r="B470" s="276"/>
      <c r="C470" s="276"/>
      <c r="D470" s="276"/>
      <c r="E470" s="276"/>
      <c r="F470" s="276"/>
      <c r="G470" s="276"/>
    </row>
    <row r="471" spans="1:7" x14ac:dyDescent="0.35">
      <c r="A471" s="276"/>
      <c r="B471" s="276"/>
      <c r="C471" s="276"/>
      <c r="D471" s="276"/>
      <c r="E471" s="276"/>
      <c r="F471" s="276"/>
      <c r="G471" s="276"/>
    </row>
    <row r="472" spans="1:7" x14ac:dyDescent="0.35">
      <c r="A472" s="276"/>
      <c r="B472" s="276"/>
      <c r="C472" s="276"/>
      <c r="D472" s="276"/>
      <c r="E472" s="276"/>
      <c r="F472" s="276"/>
      <c r="G472" s="276"/>
    </row>
    <row r="473" spans="1:7" x14ac:dyDescent="0.35">
      <c r="A473" s="276"/>
      <c r="B473" s="276"/>
      <c r="C473" s="276"/>
      <c r="D473" s="276"/>
      <c r="E473" s="276"/>
      <c r="F473" s="276"/>
      <c r="G473" s="276"/>
    </row>
    <row r="474" spans="1:7" x14ac:dyDescent="0.35">
      <c r="A474" s="276"/>
      <c r="B474" s="276"/>
      <c r="C474" s="276"/>
      <c r="D474" s="276"/>
      <c r="E474" s="276"/>
      <c r="F474" s="276"/>
      <c r="G474" s="276"/>
    </row>
    <row r="475" spans="1:7" x14ac:dyDescent="0.35">
      <c r="A475" s="276"/>
      <c r="B475" s="276"/>
      <c r="C475" s="276"/>
      <c r="D475" s="276"/>
      <c r="E475" s="276"/>
      <c r="F475" s="276"/>
      <c r="G475" s="276"/>
    </row>
    <row r="476" spans="1:7" x14ac:dyDescent="0.35">
      <c r="A476" s="276"/>
      <c r="B476" s="276"/>
      <c r="C476" s="276"/>
      <c r="D476" s="276"/>
      <c r="E476" s="276"/>
      <c r="F476" s="276"/>
      <c r="G476" s="276"/>
    </row>
    <row r="477" spans="1:7" x14ac:dyDescent="0.35">
      <c r="A477" s="276"/>
      <c r="B477" s="276"/>
      <c r="C477" s="276"/>
      <c r="D477" s="276"/>
      <c r="E477" s="276"/>
      <c r="F477" s="276"/>
      <c r="G477" s="276"/>
    </row>
    <row r="478" spans="1:7" x14ac:dyDescent="0.35">
      <c r="A478" s="276"/>
      <c r="B478" s="276"/>
      <c r="C478" s="276"/>
      <c r="D478" s="276"/>
      <c r="E478" s="276"/>
      <c r="F478" s="276"/>
      <c r="G478" s="276"/>
    </row>
    <row r="479" spans="1:7" x14ac:dyDescent="0.35">
      <c r="A479" s="276"/>
      <c r="B479" s="276"/>
      <c r="C479" s="276"/>
      <c r="D479" s="276"/>
      <c r="E479" s="276"/>
      <c r="F479" s="276"/>
      <c r="G479" s="276"/>
    </row>
    <row r="480" spans="1:7" x14ac:dyDescent="0.35">
      <c r="A480" s="276"/>
      <c r="B480" s="276"/>
      <c r="C480" s="276"/>
      <c r="D480" s="276"/>
      <c r="E480" s="276"/>
      <c r="F480" s="276"/>
      <c r="G480" s="276"/>
    </row>
    <row r="481" spans="1:7" x14ac:dyDescent="0.35">
      <c r="A481" s="276"/>
      <c r="B481" s="276"/>
      <c r="C481" s="276"/>
      <c r="D481" s="276"/>
      <c r="E481" s="276"/>
      <c r="F481" s="276"/>
      <c r="G481" s="276"/>
    </row>
    <row r="482" spans="1:7" x14ac:dyDescent="0.35">
      <c r="A482" s="276"/>
      <c r="B482" s="276"/>
      <c r="C482" s="276"/>
      <c r="D482" s="276"/>
      <c r="E482" s="276"/>
      <c r="F482" s="276"/>
      <c r="G482" s="276"/>
    </row>
    <row r="483" spans="1:7" x14ac:dyDescent="0.35">
      <c r="A483" s="276"/>
      <c r="B483" s="276"/>
      <c r="C483" s="276"/>
      <c r="D483" s="276"/>
      <c r="E483" s="276"/>
      <c r="F483" s="276"/>
      <c r="G483" s="276"/>
    </row>
    <row r="484" spans="1:7" x14ac:dyDescent="0.35">
      <c r="A484" s="276"/>
      <c r="B484" s="276"/>
      <c r="C484" s="276"/>
      <c r="D484" s="276"/>
      <c r="E484" s="276"/>
      <c r="F484" s="276"/>
      <c r="G484" s="276"/>
    </row>
    <row r="485" spans="1:7" x14ac:dyDescent="0.35">
      <c r="A485" s="276"/>
      <c r="B485" s="276"/>
      <c r="C485" s="276"/>
      <c r="D485" s="276"/>
      <c r="E485" s="276"/>
      <c r="F485" s="276"/>
      <c r="G485" s="276"/>
    </row>
    <row r="486" spans="1:7" x14ac:dyDescent="0.35">
      <c r="A486" s="276"/>
      <c r="B486" s="276"/>
      <c r="C486" s="276"/>
      <c r="D486" s="276"/>
      <c r="E486" s="276"/>
      <c r="F486" s="276"/>
      <c r="G486" s="276"/>
    </row>
    <row r="487" spans="1:7" x14ac:dyDescent="0.35">
      <c r="A487" s="276"/>
      <c r="B487" s="276"/>
      <c r="C487" s="276"/>
      <c r="D487" s="276"/>
      <c r="E487" s="276"/>
      <c r="F487" s="276"/>
      <c r="G487" s="276"/>
    </row>
    <row r="488" spans="1:7" x14ac:dyDescent="0.35">
      <c r="A488" s="276"/>
      <c r="B488" s="276"/>
      <c r="C488" s="276"/>
      <c r="D488" s="276"/>
      <c r="E488" s="276"/>
      <c r="F488" s="276"/>
      <c r="G488" s="276"/>
    </row>
    <row r="489" spans="1:7" x14ac:dyDescent="0.35">
      <c r="A489" s="276"/>
      <c r="B489" s="276"/>
      <c r="C489" s="276"/>
      <c r="D489" s="276"/>
      <c r="E489" s="276"/>
      <c r="F489" s="276"/>
      <c r="G489" s="276"/>
    </row>
    <row r="490" spans="1:7" x14ac:dyDescent="0.35">
      <c r="A490" s="276"/>
      <c r="B490" s="276"/>
      <c r="C490" s="276"/>
      <c r="D490" s="276"/>
      <c r="E490" s="276"/>
      <c r="F490" s="276"/>
      <c r="G490" s="276"/>
    </row>
    <row r="491" spans="1:7" x14ac:dyDescent="0.35">
      <c r="A491" s="276"/>
      <c r="B491" s="276"/>
      <c r="C491" s="276"/>
      <c r="D491" s="276"/>
      <c r="E491" s="276"/>
      <c r="F491" s="276"/>
      <c r="G491" s="276"/>
    </row>
    <row r="492" spans="1:7" x14ac:dyDescent="0.35">
      <c r="A492" s="276"/>
      <c r="B492" s="276"/>
      <c r="C492" s="276"/>
      <c r="D492" s="276"/>
      <c r="E492" s="276"/>
      <c r="F492" s="276"/>
      <c r="G492" s="276"/>
    </row>
    <row r="493" spans="1:7" x14ac:dyDescent="0.35">
      <c r="A493" s="276"/>
      <c r="B493" s="276"/>
      <c r="C493" s="276"/>
      <c r="D493" s="276"/>
      <c r="E493" s="276"/>
      <c r="F493" s="276"/>
      <c r="G493" s="276"/>
    </row>
    <row r="494" spans="1:7" x14ac:dyDescent="0.35">
      <c r="A494" s="276"/>
      <c r="B494" s="276"/>
      <c r="C494" s="276"/>
      <c r="D494" s="276"/>
      <c r="E494" s="276"/>
      <c r="F494" s="276"/>
      <c r="G494" s="276"/>
    </row>
    <row r="495" spans="1:7" x14ac:dyDescent="0.35">
      <c r="A495" s="276"/>
      <c r="B495" s="276"/>
      <c r="C495" s="276"/>
      <c r="D495" s="276"/>
      <c r="E495" s="276"/>
      <c r="F495" s="276"/>
      <c r="G495" s="276"/>
    </row>
    <row r="496" spans="1:7" x14ac:dyDescent="0.35">
      <c r="A496" s="276"/>
      <c r="B496" s="276"/>
      <c r="C496" s="276"/>
      <c r="D496" s="276"/>
      <c r="E496" s="276"/>
      <c r="F496" s="276"/>
      <c r="G496" s="276"/>
    </row>
    <row r="497" spans="1:7" x14ac:dyDescent="0.35">
      <c r="A497" s="276"/>
      <c r="B497" s="276"/>
      <c r="C497" s="276"/>
      <c r="D497" s="276"/>
      <c r="E497" s="276"/>
      <c r="F497" s="276"/>
      <c r="G497" s="276"/>
    </row>
    <row r="498" spans="1:7" x14ac:dyDescent="0.35">
      <c r="A498" s="276"/>
      <c r="B498" s="276"/>
      <c r="C498" s="276"/>
      <c r="D498" s="276"/>
      <c r="E498" s="276"/>
      <c r="F498" s="276"/>
      <c r="G498" s="276"/>
    </row>
    <row r="499" spans="1:7" x14ac:dyDescent="0.35">
      <c r="A499" s="276"/>
      <c r="B499" s="276"/>
      <c r="C499" s="276"/>
      <c r="D499" s="276"/>
      <c r="E499" s="276"/>
      <c r="F499" s="276"/>
      <c r="G499" s="276"/>
    </row>
    <row r="500" spans="1:7" x14ac:dyDescent="0.35">
      <c r="A500" s="276"/>
      <c r="B500" s="276"/>
      <c r="C500" s="276"/>
      <c r="D500" s="276"/>
      <c r="E500" s="276"/>
      <c r="F500" s="276"/>
      <c r="G500" s="276"/>
    </row>
    <row r="501" spans="1:7" x14ac:dyDescent="0.35">
      <c r="A501" s="276"/>
      <c r="B501" s="276"/>
      <c r="C501" s="276"/>
      <c r="D501" s="276"/>
      <c r="E501" s="276"/>
      <c r="F501" s="276"/>
      <c r="G501" s="276"/>
    </row>
    <row r="502" spans="1:7" x14ac:dyDescent="0.35">
      <c r="A502" s="276"/>
      <c r="B502" s="276"/>
      <c r="C502" s="276"/>
      <c r="D502" s="276"/>
      <c r="E502" s="276"/>
      <c r="F502" s="276"/>
      <c r="G502" s="276"/>
    </row>
    <row r="503" spans="1:7" x14ac:dyDescent="0.35">
      <c r="A503" s="276"/>
      <c r="B503" s="276"/>
      <c r="C503" s="276"/>
      <c r="D503" s="276"/>
      <c r="E503" s="276"/>
      <c r="F503" s="276"/>
      <c r="G503" s="276"/>
    </row>
    <row r="504" spans="1:7" x14ac:dyDescent="0.35">
      <c r="A504" s="276"/>
      <c r="B504" s="276"/>
      <c r="C504" s="276"/>
      <c r="D504" s="276"/>
      <c r="E504" s="276"/>
      <c r="F504" s="276"/>
      <c r="G504" s="276"/>
    </row>
    <row r="505" spans="1:7" x14ac:dyDescent="0.35">
      <c r="A505" s="276"/>
      <c r="B505" s="276"/>
      <c r="C505" s="276"/>
      <c r="D505" s="276"/>
      <c r="E505" s="276"/>
      <c r="F505" s="276"/>
      <c r="G505" s="276"/>
    </row>
    <row r="506" spans="1:7" x14ac:dyDescent="0.35">
      <c r="A506" s="276"/>
      <c r="B506" s="276"/>
      <c r="C506" s="276"/>
      <c r="D506" s="276"/>
      <c r="E506" s="276"/>
      <c r="F506" s="276"/>
      <c r="G506" s="276"/>
    </row>
    <row r="507" spans="1:7" x14ac:dyDescent="0.35">
      <c r="A507" s="276"/>
      <c r="B507" s="276"/>
      <c r="C507" s="276"/>
      <c r="D507" s="276"/>
      <c r="E507" s="276"/>
      <c r="F507" s="276"/>
      <c r="G507" s="276"/>
    </row>
    <row r="508" spans="1:7" x14ac:dyDescent="0.35">
      <c r="A508" s="276"/>
      <c r="B508" s="276"/>
      <c r="C508" s="276"/>
      <c r="D508" s="276"/>
      <c r="E508" s="276"/>
      <c r="F508" s="276"/>
      <c r="G508" s="276"/>
    </row>
    <row r="509" spans="1:7" x14ac:dyDescent="0.35">
      <c r="A509" s="276"/>
      <c r="B509" s="276"/>
      <c r="C509" s="276"/>
      <c r="D509" s="276"/>
      <c r="E509" s="276"/>
      <c r="F509" s="276"/>
      <c r="G509" s="276"/>
    </row>
    <row r="510" spans="1:7" x14ac:dyDescent="0.35">
      <c r="A510" s="276"/>
      <c r="B510" s="276"/>
      <c r="C510" s="276"/>
      <c r="D510" s="276"/>
      <c r="E510" s="276"/>
      <c r="F510" s="276"/>
      <c r="G510" s="276"/>
    </row>
    <row r="511" spans="1:7" x14ac:dyDescent="0.35">
      <c r="A511" s="276"/>
      <c r="B511" s="276"/>
      <c r="C511" s="276"/>
      <c r="D511" s="276"/>
      <c r="E511" s="276"/>
      <c r="F511" s="276"/>
      <c r="G511" s="276"/>
    </row>
    <row r="512" spans="1:7" x14ac:dyDescent="0.35">
      <c r="A512" s="276"/>
      <c r="B512" s="276"/>
      <c r="C512" s="276"/>
      <c r="D512" s="276"/>
      <c r="E512" s="276"/>
      <c r="F512" s="276"/>
      <c r="G512" s="276"/>
    </row>
    <row r="513" spans="1:7" x14ac:dyDescent="0.35">
      <c r="A513" s="276"/>
      <c r="B513" s="276"/>
      <c r="C513" s="276"/>
      <c r="D513" s="276"/>
      <c r="E513" s="276"/>
      <c r="F513" s="276"/>
      <c r="G513" s="276"/>
    </row>
    <row r="514" spans="1:7" x14ac:dyDescent="0.35">
      <c r="A514" s="276"/>
      <c r="B514" s="276"/>
      <c r="C514" s="276"/>
      <c r="D514" s="276"/>
      <c r="E514" s="276"/>
      <c r="F514" s="276"/>
      <c r="G514" s="276"/>
    </row>
    <row r="515" spans="1:7" x14ac:dyDescent="0.35">
      <c r="A515" s="276"/>
      <c r="B515" s="276"/>
      <c r="C515" s="276"/>
      <c r="D515" s="276"/>
      <c r="E515" s="276"/>
      <c r="F515" s="276"/>
      <c r="G515" s="276"/>
    </row>
    <row r="516" spans="1:7" x14ac:dyDescent="0.35">
      <c r="A516" s="276"/>
      <c r="B516" s="276"/>
      <c r="C516" s="276"/>
      <c r="D516" s="276"/>
      <c r="E516" s="276"/>
      <c r="F516" s="276"/>
      <c r="G516" s="276"/>
    </row>
    <row r="517" spans="1:7" x14ac:dyDescent="0.35">
      <c r="A517" s="276"/>
      <c r="B517" s="276"/>
      <c r="C517" s="276"/>
      <c r="D517" s="276"/>
      <c r="E517" s="276"/>
      <c r="F517" s="276"/>
      <c r="G517" s="276"/>
    </row>
    <row r="518" spans="1:7" x14ac:dyDescent="0.35">
      <c r="A518" s="276"/>
      <c r="B518" s="276"/>
      <c r="C518" s="276"/>
      <c r="D518" s="276"/>
      <c r="E518" s="276"/>
      <c r="F518" s="276"/>
      <c r="G518" s="276"/>
    </row>
    <row r="519" spans="1:7" x14ac:dyDescent="0.35">
      <c r="A519" s="276"/>
      <c r="B519" s="276"/>
      <c r="C519" s="276"/>
      <c r="D519" s="276"/>
      <c r="E519" s="276"/>
      <c r="F519" s="276"/>
      <c r="G519" s="276"/>
    </row>
    <row r="520" spans="1:7" x14ac:dyDescent="0.35">
      <c r="A520" s="276"/>
      <c r="B520" s="276"/>
      <c r="C520" s="276"/>
      <c r="D520" s="276"/>
      <c r="E520" s="276"/>
      <c r="F520" s="276"/>
      <c r="G520" s="276"/>
    </row>
    <row r="521" spans="1:7" x14ac:dyDescent="0.35">
      <c r="A521" s="276"/>
      <c r="B521" s="276"/>
      <c r="C521" s="276"/>
      <c r="D521" s="276"/>
      <c r="E521" s="276"/>
      <c r="F521" s="276"/>
      <c r="G521" s="276"/>
    </row>
    <row r="522" spans="1:7" x14ac:dyDescent="0.35">
      <c r="A522" s="276"/>
      <c r="B522" s="276"/>
      <c r="C522" s="276"/>
      <c r="D522" s="276"/>
      <c r="E522" s="276"/>
      <c r="F522" s="276"/>
      <c r="G522" s="276"/>
    </row>
    <row r="523" spans="1:7" x14ac:dyDescent="0.35">
      <c r="A523" s="276"/>
      <c r="B523" s="276"/>
      <c r="C523" s="276"/>
      <c r="D523" s="276"/>
      <c r="E523" s="276"/>
      <c r="F523" s="276"/>
      <c r="G523" s="276"/>
    </row>
    <row r="524" spans="1:7" x14ac:dyDescent="0.35">
      <c r="A524" s="276"/>
      <c r="B524" s="276"/>
      <c r="C524" s="276"/>
      <c r="D524" s="276"/>
      <c r="E524" s="276"/>
      <c r="F524" s="276"/>
      <c r="G524" s="276"/>
    </row>
    <row r="525" spans="1:7" x14ac:dyDescent="0.35">
      <c r="A525" s="276"/>
      <c r="B525" s="276"/>
      <c r="C525" s="276"/>
      <c r="D525" s="276"/>
      <c r="E525" s="276"/>
      <c r="F525" s="276"/>
      <c r="G525" s="276"/>
    </row>
    <row r="526" spans="1:7" x14ac:dyDescent="0.35">
      <c r="A526" s="276"/>
      <c r="B526" s="276"/>
      <c r="C526" s="276"/>
      <c r="D526" s="276"/>
      <c r="E526" s="276"/>
      <c r="F526" s="276"/>
      <c r="G526" s="276"/>
    </row>
    <row r="527" spans="1:7" x14ac:dyDescent="0.35">
      <c r="A527" s="276"/>
      <c r="B527" s="276"/>
      <c r="C527" s="276"/>
      <c r="D527" s="276"/>
      <c r="E527" s="276"/>
      <c r="F527" s="276"/>
      <c r="G527" s="276"/>
    </row>
    <row r="528" spans="1:7" x14ac:dyDescent="0.35">
      <c r="A528" s="276"/>
      <c r="B528" s="276"/>
      <c r="C528" s="276"/>
      <c r="D528" s="276"/>
      <c r="E528" s="276"/>
      <c r="F528" s="276"/>
      <c r="G528" s="276"/>
    </row>
    <row r="529" spans="1:7" x14ac:dyDescent="0.35">
      <c r="A529" s="276"/>
      <c r="B529" s="276"/>
      <c r="C529" s="276"/>
      <c r="D529" s="276"/>
      <c r="E529" s="276"/>
      <c r="F529" s="276"/>
      <c r="G529" s="276"/>
    </row>
    <row r="530" spans="1:7" x14ac:dyDescent="0.35">
      <c r="A530" s="276"/>
      <c r="B530" s="276"/>
      <c r="C530" s="276"/>
      <c r="D530" s="276"/>
      <c r="E530" s="276"/>
      <c r="F530" s="276"/>
      <c r="G530" s="276"/>
    </row>
    <row r="531" spans="1:7" x14ac:dyDescent="0.35">
      <c r="A531" s="276"/>
      <c r="B531" s="276"/>
      <c r="C531" s="276"/>
      <c r="D531" s="276"/>
      <c r="E531" s="276"/>
      <c r="F531" s="276"/>
      <c r="G531" s="276"/>
    </row>
    <row r="532" spans="1:7" x14ac:dyDescent="0.35">
      <c r="A532" s="276"/>
      <c r="B532" s="276"/>
      <c r="C532" s="276"/>
      <c r="D532" s="276"/>
      <c r="E532" s="276"/>
      <c r="F532" s="276"/>
      <c r="G532" s="276"/>
    </row>
    <row r="533" spans="1:7" x14ac:dyDescent="0.35">
      <c r="A533" s="276"/>
      <c r="B533" s="276"/>
      <c r="C533" s="276"/>
      <c r="D533" s="276"/>
      <c r="E533" s="276"/>
      <c r="F533" s="276"/>
      <c r="G533" s="276"/>
    </row>
    <row r="534" spans="1:7" x14ac:dyDescent="0.35">
      <c r="A534" s="276"/>
      <c r="B534" s="276"/>
      <c r="C534" s="276"/>
      <c r="D534" s="276"/>
      <c r="E534" s="276"/>
      <c r="F534" s="276"/>
      <c r="G534" s="276"/>
    </row>
    <row r="535" spans="1:7" x14ac:dyDescent="0.35">
      <c r="A535" s="276"/>
      <c r="B535" s="276"/>
      <c r="C535" s="276"/>
      <c r="D535" s="276"/>
      <c r="E535" s="276"/>
      <c r="F535" s="276"/>
      <c r="G535" s="276"/>
    </row>
    <row r="536" spans="1:7" x14ac:dyDescent="0.35">
      <c r="A536" s="276"/>
      <c r="B536" s="276"/>
      <c r="C536" s="276"/>
      <c r="D536" s="276"/>
      <c r="E536" s="276"/>
      <c r="F536" s="276"/>
      <c r="G536" s="276"/>
    </row>
    <row r="537" spans="1:7" x14ac:dyDescent="0.35">
      <c r="A537" s="276"/>
      <c r="B537" s="276"/>
      <c r="C537" s="276"/>
      <c r="D537" s="276"/>
      <c r="E537" s="276"/>
      <c r="F537" s="276"/>
      <c r="G537" s="276"/>
    </row>
    <row r="538" spans="1:7" x14ac:dyDescent="0.35">
      <c r="A538" s="276"/>
      <c r="B538" s="276"/>
      <c r="C538" s="276"/>
      <c r="D538" s="276"/>
      <c r="E538" s="276"/>
      <c r="F538" s="276"/>
      <c r="G538" s="276"/>
    </row>
    <row r="539" spans="1:7" x14ac:dyDescent="0.35">
      <c r="A539" s="276"/>
      <c r="B539" s="276"/>
      <c r="C539" s="276"/>
      <c r="D539" s="276"/>
      <c r="E539" s="276"/>
      <c r="F539" s="276"/>
      <c r="G539" s="276"/>
    </row>
    <row r="540" spans="1:7" x14ac:dyDescent="0.35">
      <c r="A540" s="276"/>
      <c r="B540" s="276"/>
      <c r="C540" s="276"/>
      <c r="D540" s="276"/>
      <c r="E540" s="276"/>
      <c r="F540" s="276"/>
      <c r="G540" s="276"/>
    </row>
    <row r="541" spans="1:7" x14ac:dyDescent="0.35">
      <c r="A541" s="276"/>
      <c r="B541" s="276"/>
      <c r="C541" s="276"/>
      <c r="D541" s="276"/>
      <c r="E541" s="276"/>
      <c r="F541" s="276"/>
      <c r="G541" s="276"/>
    </row>
    <row r="542" spans="1:7" x14ac:dyDescent="0.35">
      <c r="A542" s="276"/>
      <c r="B542" s="276"/>
      <c r="C542" s="276"/>
      <c r="D542" s="276"/>
      <c r="E542" s="276"/>
      <c r="F542" s="276"/>
      <c r="G542" s="276"/>
    </row>
    <row r="543" spans="1:7" x14ac:dyDescent="0.35">
      <c r="A543" s="276"/>
      <c r="B543" s="276"/>
      <c r="C543" s="276"/>
      <c r="D543" s="276"/>
      <c r="E543" s="276"/>
      <c r="F543" s="276"/>
      <c r="G543" s="276"/>
    </row>
    <row r="544" spans="1:7" x14ac:dyDescent="0.35">
      <c r="A544" s="276"/>
      <c r="B544" s="276"/>
      <c r="C544" s="276"/>
      <c r="D544" s="276"/>
      <c r="E544" s="276"/>
      <c r="F544" s="276"/>
      <c r="G544" s="276"/>
    </row>
    <row r="545" spans="1:7" x14ac:dyDescent="0.35">
      <c r="A545" s="276"/>
      <c r="B545" s="276"/>
      <c r="C545" s="276"/>
      <c r="D545" s="276"/>
      <c r="E545" s="276"/>
      <c r="F545" s="276"/>
      <c r="G545" s="276"/>
    </row>
    <row r="546" spans="1:7" x14ac:dyDescent="0.35">
      <c r="A546" s="276"/>
      <c r="B546" s="276"/>
      <c r="C546" s="276"/>
      <c r="D546" s="276"/>
      <c r="E546" s="276"/>
      <c r="F546" s="276"/>
      <c r="G546" s="276"/>
    </row>
    <row r="547" spans="1:7" x14ac:dyDescent="0.35">
      <c r="A547" s="276"/>
      <c r="B547" s="276"/>
      <c r="C547" s="276"/>
      <c r="D547" s="276"/>
      <c r="E547" s="276"/>
      <c r="F547" s="276"/>
      <c r="G547" s="276"/>
    </row>
    <row r="548" spans="1:7" x14ac:dyDescent="0.35">
      <c r="A548" s="276"/>
      <c r="B548" s="276"/>
      <c r="C548" s="276"/>
      <c r="D548" s="276"/>
      <c r="E548" s="276"/>
      <c r="F548" s="276"/>
      <c r="G548" s="276"/>
    </row>
    <row r="549" spans="1:7" x14ac:dyDescent="0.35">
      <c r="A549" s="276"/>
      <c r="B549" s="276"/>
      <c r="C549" s="276"/>
      <c r="D549" s="276"/>
      <c r="E549" s="276"/>
      <c r="F549" s="276"/>
      <c r="G549" s="276"/>
    </row>
    <row r="550" spans="1:7" x14ac:dyDescent="0.35">
      <c r="A550" s="276"/>
      <c r="B550" s="276"/>
      <c r="C550" s="276"/>
      <c r="D550" s="276"/>
      <c r="E550" s="276"/>
      <c r="F550" s="276"/>
      <c r="G550" s="276"/>
    </row>
    <row r="551" spans="1:7" x14ac:dyDescent="0.35">
      <c r="A551" s="276"/>
      <c r="B551" s="276"/>
      <c r="C551" s="276"/>
      <c r="D551" s="276"/>
      <c r="E551" s="276"/>
      <c r="F551" s="276"/>
      <c r="G551" s="276"/>
    </row>
    <row r="552" spans="1:7" x14ac:dyDescent="0.35">
      <c r="A552" s="276"/>
      <c r="B552" s="276"/>
      <c r="C552" s="276"/>
      <c r="D552" s="276"/>
      <c r="E552" s="276"/>
      <c r="F552" s="276"/>
      <c r="G552" s="276"/>
    </row>
    <row r="553" spans="1:7" x14ac:dyDescent="0.35">
      <c r="A553" s="276"/>
      <c r="B553" s="276"/>
      <c r="C553" s="276"/>
      <c r="D553" s="276"/>
      <c r="E553" s="276"/>
      <c r="F553" s="276"/>
      <c r="G553" s="276"/>
    </row>
    <row r="554" spans="1:7" x14ac:dyDescent="0.35">
      <c r="A554" s="276"/>
      <c r="B554" s="276"/>
      <c r="C554" s="276"/>
      <c r="D554" s="276"/>
      <c r="E554" s="276"/>
      <c r="F554" s="276"/>
      <c r="G554" s="276"/>
    </row>
    <row r="555" spans="1:7" x14ac:dyDescent="0.35">
      <c r="A555" s="276"/>
      <c r="B555" s="276"/>
      <c r="C555" s="276"/>
      <c r="D555" s="276"/>
      <c r="E555" s="276"/>
      <c r="F555" s="276"/>
      <c r="G555" s="276"/>
    </row>
    <row r="556" spans="1:7" x14ac:dyDescent="0.35">
      <c r="A556" s="276"/>
      <c r="B556" s="276"/>
      <c r="C556" s="276"/>
      <c r="D556" s="276"/>
      <c r="E556" s="276"/>
      <c r="F556" s="276"/>
      <c r="G556" s="276"/>
    </row>
    <row r="557" spans="1:7" x14ac:dyDescent="0.35">
      <c r="A557" s="276"/>
      <c r="B557" s="276"/>
      <c r="C557" s="276"/>
      <c r="D557" s="276"/>
      <c r="E557" s="276"/>
      <c r="F557" s="276"/>
      <c r="G557" s="276"/>
    </row>
    <row r="558" spans="1:7" x14ac:dyDescent="0.35">
      <c r="A558" s="276"/>
      <c r="B558" s="276"/>
      <c r="C558" s="276"/>
      <c r="D558" s="276"/>
      <c r="E558" s="276"/>
      <c r="F558" s="276"/>
      <c r="G558" s="276"/>
    </row>
    <row r="559" spans="1:7" x14ac:dyDescent="0.35">
      <c r="A559" s="276"/>
      <c r="B559" s="276"/>
      <c r="C559" s="276"/>
      <c r="D559" s="276"/>
      <c r="E559" s="276"/>
      <c r="F559" s="276"/>
      <c r="G559" s="276"/>
    </row>
    <row r="560" spans="1:7" x14ac:dyDescent="0.35">
      <c r="A560" s="276"/>
      <c r="B560" s="276"/>
      <c r="C560" s="276"/>
      <c r="D560" s="276"/>
      <c r="E560" s="276"/>
      <c r="F560" s="276"/>
      <c r="G560" s="276"/>
    </row>
    <row r="561" spans="1:7" x14ac:dyDescent="0.35">
      <c r="A561" s="276"/>
      <c r="B561" s="276"/>
      <c r="C561" s="276"/>
      <c r="D561" s="276"/>
      <c r="E561" s="276"/>
      <c r="F561" s="276"/>
      <c r="G561" s="276"/>
    </row>
    <row r="562" spans="1:7" x14ac:dyDescent="0.35">
      <c r="A562" s="276"/>
      <c r="B562" s="276"/>
      <c r="C562" s="276"/>
      <c r="D562" s="276"/>
      <c r="E562" s="276"/>
      <c r="F562" s="276"/>
      <c r="G562" s="276"/>
    </row>
    <row r="563" spans="1:7" x14ac:dyDescent="0.35">
      <c r="A563" s="276"/>
      <c r="B563" s="276"/>
      <c r="C563" s="276"/>
      <c r="D563" s="276"/>
      <c r="E563" s="276"/>
      <c r="F563" s="276"/>
      <c r="G563" s="276"/>
    </row>
    <row r="564" spans="1:7" x14ac:dyDescent="0.35">
      <c r="A564" s="276"/>
      <c r="B564" s="276"/>
      <c r="C564" s="276"/>
      <c r="D564" s="276"/>
      <c r="E564" s="276"/>
      <c r="F564" s="276"/>
      <c r="G564" s="276"/>
    </row>
    <row r="565" spans="1:7" x14ac:dyDescent="0.35">
      <c r="A565" s="276"/>
      <c r="B565" s="276"/>
      <c r="C565" s="276"/>
      <c r="D565" s="276"/>
      <c r="E565" s="276"/>
      <c r="F565" s="276"/>
      <c r="G565" s="276"/>
    </row>
    <row r="566" spans="1:7" x14ac:dyDescent="0.35">
      <c r="A566" s="276"/>
      <c r="B566" s="276"/>
      <c r="C566" s="276"/>
      <c r="D566" s="276"/>
      <c r="E566" s="276"/>
      <c r="F566" s="276"/>
      <c r="G566" s="276"/>
    </row>
    <row r="567" spans="1:7" x14ac:dyDescent="0.35">
      <c r="A567" s="276"/>
      <c r="B567" s="276"/>
      <c r="C567" s="276"/>
      <c r="D567" s="276"/>
      <c r="E567" s="276"/>
      <c r="F567" s="276"/>
      <c r="G567" s="276"/>
    </row>
    <row r="568" spans="1:7" x14ac:dyDescent="0.35">
      <c r="A568" s="276"/>
      <c r="B568" s="276"/>
      <c r="C568" s="276"/>
      <c r="D568" s="276"/>
      <c r="E568" s="276"/>
      <c r="F568" s="276"/>
      <c r="G568" s="276"/>
    </row>
    <row r="569" spans="1:7" x14ac:dyDescent="0.35">
      <c r="A569" s="276"/>
      <c r="B569" s="276"/>
      <c r="C569" s="276"/>
      <c r="D569" s="276"/>
      <c r="E569" s="276"/>
      <c r="F569" s="276"/>
      <c r="G569" s="276"/>
    </row>
    <row r="570" spans="1:7" x14ac:dyDescent="0.35">
      <c r="A570" s="276"/>
      <c r="B570" s="276"/>
      <c r="C570" s="276"/>
      <c r="D570" s="276"/>
      <c r="E570" s="276"/>
      <c r="F570" s="276"/>
      <c r="G570" s="276"/>
    </row>
    <row r="571" spans="1:7" x14ac:dyDescent="0.35">
      <c r="A571" s="276"/>
      <c r="B571" s="276"/>
      <c r="C571" s="276"/>
      <c r="D571" s="276"/>
      <c r="E571" s="276"/>
      <c r="F571" s="276"/>
      <c r="G571" s="276"/>
    </row>
    <row r="572" spans="1:7" x14ac:dyDescent="0.35">
      <c r="A572" s="276"/>
      <c r="B572" s="276"/>
      <c r="C572" s="276"/>
      <c r="D572" s="276"/>
      <c r="E572" s="276"/>
      <c r="F572" s="276"/>
      <c r="G572" s="276"/>
    </row>
    <row r="573" spans="1:7" x14ac:dyDescent="0.35">
      <c r="A573" s="276"/>
      <c r="B573" s="276"/>
      <c r="C573" s="276"/>
      <c r="D573" s="276"/>
      <c r="E573" s="276"/>
      <c r="F573" s="276"/>
      <c r="G573" s="276"/>
    </row>
    <row r="574" spans="1:7" x14ac:dyDescent="0.35">
      <c r="A574" s="276"/>
      <c r="B574" s="276"/>
      <c r="C574" s="276"/>
      <c r="D574" s="276"/>
      <c r="E574" s="276"/>
      <c r="F574" s="276"/>
      <c r="G574" s="276"/>
    </row>
    <row r="575" spans="1:7" x14ac:dyDescent="0.35">
      <c r="A575" s="276"/>
      <c r="B575" s="276"/>
      <c r="C575" s="276"/>
      <c r="D575" s="276"/>
      <c r="E575" s="276"/>
      <c r="F575" s="276"/>
      <c r="G575" s="276"/>
    </row>
    <row r="576" spans="1:7" x14ac:dyDescent="0.35">
      <c r="A576" s="276"/>
      <c r="B576" s="276"/>
      <c r="C576" s="276"/>
      <c r="D576" s="276"/>
      <c r="E576" s="276"/>
      <c r="F576" s="276"/>
      <c r="G576" s="276"/>
    </row>
    <row r="577" spans="1:7" x14ac:dyDescent="0.35">
      <c r="A577" s="276"/>
      <c r="B577" s="276"/>
      <c r="C577" s="276"/>
      <c r="D577" s="276"/>
      <c r="E577" s="276"/>
      <c r="F577" s="276"/>
      <c r="G577" s="276"/>
    </row>
    <row r="578" spans="1:7" x14ac:dyDescent="0.35">
      <c r="A578" s="276"/>
      <c r="B578" s="276"/>
      <c r="C578" s="276"/>
      <c r="D578" s="276"/>
      <c r="E578" s="276"/>
      <c r="F578" s="276"/>
      <c r="G578" s="276"/>
    </row>
    <row r="579" spans="1:7" x14ac:dyDescent="0.35">
      <c r="A579" s="276"/>
      <c r="B579" s="276"/>
      <c r="C579" s="276"/>
      <c r="D579" s="276"/>
      <c r="E579" s="276"/>
      <c r="F579" s="276"/>
      <c r="G579" s="276"/>
    </row>
    <row r="580" spans="1:7" x14ac:dyDescent="0.35">
      <c r="A580" s="276"/>
      <c r="B580" s="276"/>
      <c r="C580" s="276"/>
      <c r="D580" s="276"/>
      <c r="E580" s="276"/>
      <c r="F580" s="276"/>
      <c r="G580" s="276"/>
    </row>
    <row r="581" spans="1:7" x14ac:dyDescent="0.35">
      <c r="A581" s="276"/>
      <c r="B581" s="276"/>
      <c r="C581" s="276"/>
      <c r="D581" s="276"/>
      <c r="E581" s="276"/>
      <c r="F581" s="276"/>
      <c r="G581" s="276"/>
    </row>
    <row r="582" spans="1:7" x14ac:dyDescent="0.35">
      <c r="A582" s="276"/>
      <c r="B582" s="276"/>
      <c r="C582" s="276"/>
      <c r="D582" s="276"/>
      <c r="E582" s="276"/>
      <c r="F582" s="276"/>
      <c r="G582" s="276"/>
    </row>
    <row r="583" spans="1:7" x14ac:dyDescent="0.35">
      <c r="A583" s="276"/>
      <c r="B583" s="276"/>
      <c r="C583" s="276"/>
      <c r="D583" s="276"/>
      <c r="E583" s="276"/>
      <c r="F583" s="276"/>
      <c r="G583" s="276"/>
    </row>
    <row r="584" spans="1:7" x14ac:dyDescent="0.35">
      <c r="A584" s="276"/>
      <c r="B584" s="276"/>
      <c r="C584" s="276"/>
      <c r="D584" s="276"/>
      <c r="E584" s="276"/>
      <c r="F584" s="276"/>
      <c r="G584" s="276"/>
    </row>
    <row r="585" spans="1:7" x14ac:dyDescent="0.35">
      <c r="A585" s="276"/>
      <c r="B585" s="276"/>
      <c r="C585" s="276"/>
      <c r="D585" s="276"/>
      <c r="E585" s="276"/>
      <c r="F585" s="276"/>
      <c r="G585" s="276"/>
    </row>
    <row r="586" spans="1:7" x14ac:dyDescent="0.35">
      <c r="A586" s="276"/>
      <c r="B586" s="276"/>
      <c r="C586" s="276"/>
      <c r="D586" s="276"/>
      <c r="E586" s="276"/>
      <c r="F586" s="276"/>
      <c r="G586" s="276"/>
    </row>
    <row r="587" spans="1:7" x14ac:dyDescent="0.35">
      <c r="A587" s="276"/>
      <c r="B587" s="276"/>
      <c r="C587" s="276"/>
      <c r="D587" s="276"/>
      <c r="E587" s="276"/>
      <c r="F587" s="276"/>
      <c r="G587" s="276"/>
    </row>
    <row r="588" spans="1:7" x14ac:dyDescent="0.35">
      <c r="A588" s="276"/>
      <c r="B588" s="276"/>
      <c r="C588" s="276"/>
      <c r="D588" s="276"/>
      <c r="E588" s="276"/>
      <c r="F588" s="276"/>
      <c r="G588" s="276"/>
    </row>
    <row r="589" spans="1:7" x14ac:dyDescent="0.35">
      <c r="A589" s="276"/>
      <c r="B589" s="276"/>
      <c r="C589" s="276"/>
      <c r="D589" s="276"/>
      <c r="E589" s="276"/>
      <c r="F589" s="276"/>
      <c r="G589" s="276"/>
    </row>
    <row r="590" spans="1:7" x14ac:dyDescent="0.35">
      <c r="A590" s="276"/>
      <c r="B590" s="276"/>
      <c r="C590" s="276"/>
      <c r="D590" s="276"/>
      <c r="E590" s="276"/>
      <c r="F590" s="276"/>
      <c r="G590" s="276"/>
    </row>
    <row r="591" spans="1:7" x14ac:dyDescent="0.35">
      <c r="A591" s="276"/>
      <c r="B591" s="276"/>
      <c r="C591" s="276"/>
      <c r="D591" s="276"/>
      <c r="E591" s="276"/>
      <c r="F591" s="276"/>
      <c r="G591" s="276"/>
    </row>
    <row r="592" spans="1:7" x14ac:dyDescent="0.35">
      <c r="A592" s="276"/>
      <c r="B592" s="276"/>
      <c r="C592" s="276"/>
      <c r="D592" s="276"/>
      <c r="E592" s="276"/>
      <c r="F592" s="276"/>
      <c r="G592" s="276"/>
    </row>
    <row r="593" spans="1:7" x14ac:dyDescent="0.35">
      <c r="A593" s="276"/>
      <c r="B593" s="276"/>
      <c r="C593" s="276"/>
      <c r="D593" s="276"/>
      <c r="E593" s="276"/>
      <c r="F593" s="276"/>
      <c r="G593" s="276"/>
    </row>
    <row r="594" spans="1:7" x14ac:dyDescent="0.35">
      <c r="A594" s="276"/>
      <c r="B594" s="276"/>
      <c r="C594" s="276"/>
      <c r="D594" s="276"/>
      <c r="E594" s="276"/>
      <c r="F594" s="276"/>
      <c r="G594" s="276"/>
    </row>
    <row r="595" spans="1:7" x14ac:dyDescent="0.35">
      <c r="A595" s="276"/>
      <c r="B595" s="276"/>
      <c r="C595" s="276"/>
      <c r="D595" s="276"/>
      <c r="E595" s="276"/>
      <c r="F595" s="276"/>
      <c r="G595" s="276"/>
    </row>
    <row r="596" spans="1:7" x14ac:dyDescent="0.35">
      <c r="A596" s="276"/>
      <c r="B596" s="276"/>
      <c r="C596" s="276"/>
      <c r="D596" s="276"/>
      <c r="E596" s="276"/>
      <c r="F596" s="276"/>
      <c r="G596" s="276"/>
    </row>
    <row r="597" spans="1:7" x14ac:dyDescent="0.35">
      <c r="A597" s="276"/>
      <c r="B597" s="276"/>
      <c r="C597" s="276"/>
      <c r="D597" s="276"/>
      <c r="E597" s="276"/>
      <c r="F597" s="276"/>
      <c r="G597" s="276"/>
    </row>
    <row r="598" spans="1:7" x14ac:dyDescent="0.35">
      <c r="A598" s="276"/>
      <c r="B598" s="276"/>
      <c r="C598" s="276"/>
      <c r="D598" s="276"/>
      <c r="E598" s="276"/>
      <c r="F598" s="276"/>
      <c r="G598" s="276"/>
    </row>
    <row r="599" spans="1:7" x14ac:dyDescent="0.35">
      <c r="A599" s="276"/>
      <c r="B599" s="276"/>
      <c r="C599" s="276"/>
      <c r="D599" s="276"/>
      <c r="E599" s="276"/>
      <c r="F599" s="276"/>
      <c r="G599" s="276"/>
    </row>
    <row r="600" spans="1:7" x14ac:dyDescent="0.35">
      <c r="A600" s="276"/>
      <c r="B600" s="276"/>
      <c r="C600" s="276"/>
      <c r="D600" s="276"/>
      <c r="E600" s="276"/>
      <c r="F600" s="276"/>
      <c r="G600" s="276"/>
    </row>
    <row r="601" spans="1:7" x14ac:dyDescent="0.35">
      <c r="A601" s="276"/>
      <c r="B601" s="276"/>
      <c r="C601" s="276"/>
      <c r="D601" s="276"/>
      <c r="E601" s="276"/>
      <c r="F601" s="276"/>
      <c r="G601" s="276"/>
    </row>
    <row r="602" spans="1:7" x14ac:dyDescent="0.35">
      <c r="A602" s="276"/>
      <c r="B602" s="276"/>
      <c r="C602" s="276"/>
      <c r="D602" s="276"/>
      <c r="E602" s="276"/>
      <c r="F602" s="276"/>
      <c r="G602" s="276"/>
    </row>
    <row r="603" spans="1:7" x14ac:dyDescent="0.35">
      <c r="A603" s="276"/>
      <c r="B603" s="276"/>
      <c r="C603" s="276"/>
      <c r="D603" s="276"/>
      <c r="E603" s="276"/>
      <c r="F603" s="276"/>
      <c r="G603" s="276"/>
    </row>
    <row r="604" spans="1:7" x14ac:dyDescent="0.35">
      <c r="A604" s="276"/>
      <c r="B604" s="276"/>
      <c r="C604" s="276"/>
      <c r="D604" s="276"/>
      <c r="E604" s="276"/>
      <c r="F604" s="276"/>
      <c r="G604" s="276"/>
    </row>
    <row r="605" spans="1:7" x14ac:dyDescent="0.35">
      <c r="A605" s="276"/>
      <c r="B605" s="276"/>
      <c r="C605" s="276"/>
      <c r="D605" s="276"/>
      <c r="E605" s="276"/>
      <c r="F605" s="276"/>
      <c r="G605" s="276"/>
    </row>
    <row r="606" spans="1:7" x14ac:dyDescent="0.35">
      <c r="A606" s="276"/>
      <c r="B606" s="276"/>
      <c r="C606" s="276"/>
      <c r="D606" s="276"/>
      <c r="E606" s="276"/>
      <c r="F606" s="276"/>
      <c r="G606" s="276"/>
    </row>
    <row r="607" spans="1:7" x14ac:dyDescent="0.35">
      <c r="A607" s="276"/>
      <c r="B607" s="276"/>
      <c r="C607" s="276"/>
      <c r="D607" s="276"/>
      <c r="E607" s="276"/>
      <c r="F607" s="276"/>
      <c r="G607" s="276"/>
    </row>
    <row r="608" spans="1:7" x14ac:dyDescent="0.35">
      <c r="A608" s="276"/>
      <c r="B608" s="276"/>
      <c r="C608" s="276"/>
      <c r="D608" s="276"/>
      <c r="E608" s="276"/>
      <c r="F608" s="276"/>
      <c r="G608" s="276"/>
    </row>
    <row r="609" spans="1:7" x14ac:dyDescent="0.35">
      <c r="A609" s="276"/>
      <c r="B609" s="276"/>
      <c r="C609" s="276"/>
      <c r="D609" s="276"/>
      <c r="E609" s="276"/>
      <c r="F609" s="276"/>
      <c r="G609" s="276"/>
    </row>
    <row r="610" spans="1:7" x14ac:dyDescent="0.35">
      <c r="A610" s="276"/>
      <c r="B610" s="276"/>
      <c r="C610" s="276"/>
      <c r="D610" s="276"/>
      <c r="E610" s="276"/>
      <c r="F610" s="276"/>
      <c r="G610" s="276"/>
    </row>
    <row r="611" spans="1:7" x14ac:dyDescent="0.35">
      <c r="A611" s="276"/>
      <c r="B611" s="276"/>
      <c r="C611" s="276"/>
      <c r="D611" s="276"/>
      <c r="E611" s="276"/>
      <c r="F611" s="276"/>
      <c r="G611" s="276"/>
    </row>
    <row r="612" spans="1:7" x14ac:dyDescent="0.35">
      <c r="A612" s="276"/>
      <c r="B612" s="276"/>
      <c r="C612" s="276"/>
      <c r="D612" s="276"/>
      <c r="E612" s="276"/>
      <c r="F612" s="276"/>
      <c r="G612" s="276"/>
    </row>
    <row r="613" spans="1:7" x14ac:dyDescent="0.35">
      <c r="A613" s="276"/>
      <c r="B613" s="276"/>
      <c r="C613" s="276"/>
      <c r="D613" s="276"/>
      <c r="E613" s="276"/>
      <c r="F613" s="276"/>
      <c r="G613" s="276"/>
    </row>
    <row r="614" spans="1:7" x14ac:dyDescent="0.35">
      <c r="A614" s="276"/>
      <c r="B614" s="276"/>
      <c r="C614" s="276"/>
      <c r="D614" s="276"/>
      <c r="E614" s="276"/>
      <c r="F614" s="276"/>
      <c r="G614" s="276"/>
    </row>
    <row r="615" spans="1:7" x14ac:dyDescent="0.35">
      <c r="A615" s="276"/>
      <c r="B615" s="276"/>
      <c r="C615" s="276"/>
      <c r="D615" s="276"/>
      <c r="E615" s="276"/>
      <c r="F615" s="276"/>
      <c r="G615" s="276"/>
    </row>
    <row r="616" spans="1:7" x14ac:dyDescent="0.35">
      <c r="A616" s="276"/>
      <c r="B616" s="276"/>
      <c r="C616" s="276"/>
      <c r="D616" s="276"/>
      <c r="E616" s="276"/>
      <c r="F616" s="276"/>
      <c r="G616" s="276"/>
    </row>
    <row r="617" spans="1:7" x14ac:dyDescent="0.35">
      <c r="A617" s="276"/>
      <c r="B617" s="276"/>
      <c r="C617" s="276"/>
      <c r="D617" s="276"/>
      <c r="E617" s="276"/>
      <c r="F617" s="276"/>
      <c r="G617" s="276"/>
    </row>
    <row r="618" spans="1:7" x14ac:dyDescent="0.35">
      <c r="A618" s="276"/>
      <c r="B618" s="276"/>
      <c r="C618" s="276"/>
      <c r="D618" s="276"/>
      <c r="E618" s="276"/>
      <c r="F618" s="276"/>
      <c r="G618" s="276"/>
    </row>
    <row r="619" spans="1:7" x14ac:dyDescent="0.35">
      <c r="A619" s="276"/>
      <c r="B619" s="276"/>
      <c r="C619" s="276"/>
      <c r="D619" s="276"/>
      <c r="E619" s="276"/>
      <c r="F619" s="276"/>
      <c r="G619" s="276"/>
    </row>
    <row r="620" spans="1:7" x14ac:dyDescent="0.35">
      <c r="A620" s="276"/>
      <c r="B620" s="276"/>
      <c r="C620" s="276"/>
      <c r="D620" s="276"/>
      <c r="E620" s="276"/>
      <c r="F620" s="276"/>
      <c r="G620" s="276"/>
    </row>
    <row r="621" spans="1:7" x14ac:dyDescent="0.35">
      <c r="A621" s="276"/>
      <c r="B621" s="276"/>
      <c r="C621" s="276"/>
      <c r="D621" s="276"/>
      <c r="E621" s="276"/>
      <c r="F621" s="276"/>
      <c r="G621" s="276"/>
    </row>
    <row r="622" spans="1:7" x14ac:dyDescent="0.35">
      <c r="A622" s="276"/>
      <c r="B622" s="276"/>
      <c r="C622" s="276"/>
      <c r="D622" s="276"/>
      <c r="E622" s="276"/>
      <c r="F622" s="276"/>
      <c r="G622" s="276"/>
    </row>
    <row r="623" spans="1:7" x14ac:dyDescent="0.35">
      <c r="A623" s="276"/>
      <c r="B623" s="276"/>
      <c r="C623" s="276"/>
      <c r="D623" s="276"/>
      <c r="E623" s="276"/>
      <c r="F623" s="276"/>
      <c r="G623" s="276"/>
    </row>
    <row r="624" spans="1:7" x14ac:dyDescent="0.35">
      <c r="A624" s="276"/>
      <c r="B624" s="276"/>
      <c r="C624" s="276"/>
      <c r="D624" s="276"/>
      <c r="E624" s="276"/>
      <c r="F624" s="276"/>
      <c r="G624" s="276"/>
    </row>
    <row r="625" spans="1:7" x14ac:dyDescent="0.35">
      <c r="A625" s="276"/>
      <c r="B625" s="276"/>
      <c r="C625" s="276"/>
      <c r="D625" s="276"/>
      <c r="E625" s="276"/>
      <c r="F625" s="276"/>
      <c r="G625" s="276"/>
    </row>
    <row r="626" spans="1:7" x14ac:dyDescent="0.35">
      <c r="A626" s="276"/>
      <c r="B626" s="276"/>
      <c r="C626" s="276"/>
      <c r="D626" s="276"/>
      <c r="E626" s="276"/>
      <c r="F626" s="276"/>
      <c r="G626" s="276"/>
    </row>
    <row r="627" spans="1:7" x14ac:dyDescent="0.35">
      <c r="A627" s="276"/>
      <c r="B627" s="276"/>
      <c r="C627" s="276"/>
      <c r="D627" s="276"/>
      <c r="E627" s="276"/>
      <c r="F627" s="276"/>
      <c r="G627" s="276"/>
    </row>
    <row r="628" spans="1:7" x14ac:dyDescent="0.35">
      <c r="A628" s="276"/>
      <c r="B628" s="276"/>
      <c r="C628" s="276"/>
      <c r="D628" s="276"/>
      <c r="E628" s="276"/>
      <c r="F628" s="276"/>
      <c r="G628" s="276"/>
    </row>
    <row r="629" spans="1:7" x14ac:dyDescent="0.35">
      <c r="A629" s="276"/>
      <c r="B629" s="276"/>
      <c r="C629" s="276"/>
      <c r="D629" s="276"/>
      <c r="E629" s="276"/>
      <c r="F629" s="276"/>
      <c r="G629" s="276"/>
    </row>
    <row r="630" spans="1:7" x14ac:dyDescent="0.35">
      <c r="A630" s="276"/>
      <c r="B630" s="276"/>
      <c r="C630" s="276"/>
      <c r="D630" s="276"/>
      <c r="E630" s="276"/>
      <c r="F630" s="276"/>
      <c r="G630" s="276"/>
    </row>
    <row r="631" spans="1:7" x14ac:dyDescent="0.35">
      <c r="A631" s="276"/>
      <c r="B631" s="276"/>
      <c r="C631" s="276"/>
      <c r="D631" s="276"/>
      <c r="E631" s="276"/>
      <c r="F631" s="276"/>
      <c r="G631" s="276"/>
    </row>
    <row r="632" spans="1:7" x14ac:dyDescent="0.35">
      <c r="A632" s="276"/>
      <c r="B632" s="276"/>
      <c r="C632" s="276"/>
      <c r="D632" s="276"/>
      <c r="E632" s="276"/>
      <c r="F632" s="276"/>
      <c r="G632" s="276"/>
    </row>
    <row r="633" spans="1:7" x14ac:dyDescent="0.35">
      <c r="A633" s="276"/>
      <c r="B633" s="276"/>
      <c r="C633" s="276"/>
      <c r="D633" s="276"/>
      <c r="E633" s="276"/>
      <c r="F633" s="276"/>
      <c r="G633" s="276"/>
    </row>
    <row r="634" spans="1:7" x14ac:dyDescent="0.35">
      <c r="A634" s="276"/>
      <c r="B634" s="276"/>
      <c r="C634" s="276"/>
      <c r="D634" s="276"/>
      <c r="E634" s="276"/>
      <c r="F634" s="276"/>
      <c r="G634" s="276"/>
    </row>
    <row r="635" spans="1:7" x14ac:dyDescent="0.35">
      <c r="A635" s="276"/>
      <c r="B635" s="276"/>
      <c r="C635" s="276"/>
      <c r="D635" s="276"/>
      <c r="E635" s="276"/>
      <c r="F635" s="276"/>
      <c r="G635" s="276"/>
    </row>
    <row r="636" spans="1:7" x14ac:dyDescent="0.35">
      <c r="A636" s="276"/>
      <c r="B636" s="276"/>
      <c r="C636" s="276"/>
      <c r="D636" s="276"/>
      <c r="E636" s="276"/>
      <c r="F636" s="276"/>
      <c r="G636" s="276"/>
    </row>
    <row r="637" spans="1:7" x14ac:dyDescent="0.35">
      <c r="A637" s="276"/>
      <c r="B637" s="276"/>
      <c r="C637" s="276"/>
      <c r="D637" s="276"/>
      <c r="E637" s="276"/>
      <c r="F637" s="276"/>
      <c r="G637" s="276"/>
    </row>
    <row r="638" spans="1:7" x14ac:dyDescent="0.35">
      <c r="A638" s="276"/>
      <c r="B638" s="276"/>
      <c r="C638" s="276"/>
      <c r="D638" s="276"/>
      <c r="E638" s="276"/>
      <c r="F638" s="276"/>
      <c r="G638" s="276"/>
    </row>
    <row r="639" spans="1:7" x14ac:dyDescent="0.35">
      <c r="A639" s="276"/>
      <c r="B639" s="276"/>
      <c r="C639" s="276"/>
      <c r="D639" s="276"/>
      <c r="E639" s="276"/>
      <c r="F639" s="276"/>
      <c r="G639" s="276"/>
    </row>
    <row r="640" spans="1:7" x14ac:dyDescent="0.35">
      <c r="A640" s="276"/>
      <c r="B640" s="276"/>
      <c r="C640" s="276"/>
      <c r="D640" s="276"/>
      <c r="E640" s="276"/>
      <c r="F640" s="276"/>
      <c r="G640" s="276"/>
    </row>
    <row r="641" spans="1:7" x14ac:dyDescent="0.35">
      <c r="A641" s="276"/>
      <c r="B641" s="276"/>
      <c r="C641" s="276"/>
      <c r="D641" s="276"/>
      <c r="E641" s="276"/>
      <c r="F641" s="276"/>
      <c r="G641" s="276"/>
    </row>
    <row r="642" spans="1:7" x14ac:dyDescent="0.35">
      <c r="A642" s="276"/>
      <c r="B642" s="276"/>
      <c r="C642" s="276"/>
      <c r="D642" s="276"/>
      <c r="E642" s="276"/>
      <c r="F642" s="276"/>
      <c r="G642" s="276"/>
    </row>
    <row r="643" spans="1:7" x14ac:dyDescent="0.35">
      <c r="A643" s="276"/>
      <c r="B643" s="276"/>
      <c r="C643" s="276"/>
      <c r="D643" s="276"/>
      <c r="E643" s="276"/>
      <c r="F643" s="276"/>
      <c r="G643" s="276"/>
    </row>
    <row r="644" spans="1:7" x14ac:dyDescent="0.35">
      <c r="A644" s="276"/>
      <c r="B644" s="276"/>
      <c r="C644" s="276"/>
      <c r="D644" s="276"/>
      <c r="E644" s="276"/>
      <c r="F644" s="276"/>
      <c r="G644" s="276"/>
    </row>
    <row r="645" spans="1:7" x14ac:dyDescent="0.35">
      <c r="A645" s="276"/>
      <c r="B645" s="276"/>
      <c r="C645" s="276"/>
      <c r="D645" s="276"/>
      <c r="E645" s="276"/>
      <c r="F645" s="276"/>
      <c r="G645" s="276"/>
    </row>
    <row r="646" spans="1:7" x14ac:dyDescent="0.35">
      <c r="A646" s="276"/>
      <c r="B646" s="276"/>
      <c r="C646" s="276"/>
      <c r="D646" s="276"/>
      <c r="E646" s="276"/>
      <c r="F646" s="276"/>
      <c r="G646" s="276"/>
    </row>
    <row r="647" spans="1:7" x14ac:dyDescent="0.35">
      <c r="A647" s="276"/>
      <c r="B647" s="276"/>
      <c r="C647" s="276"/>
      <c r="D647" s="276"/>
      <c r="E647" s="276"/>
      <c r="F647" s="276"/>
      <c r="G647" s="276"/>
    </row>
    <row r="648" spans="1:7" x14ac:dyDescent="0.35">
      <c r="A648" s="276"/>
      <c r="B648" s="276"/>
      <c r="C648" s="276"/>
      <c r="D648" s="276"/>
      <c r="E648" s="276"/>
      <c r="F648" s="276"/>
      <c r="G648" s="276"/>
    </row>
    <row r="649" spans="1:7" x14ac:dyDescent="0.35">
      <c r="A649" s="276"/>
      <c r="B649" s="276"/>
      <c r="C649" s="276"/>
      <c r="D649" s="276"/>
      <c r="E649" s="276"/>
      <c r="F649" s="276"/>
      <c r="G649" s="276"/>
    </row>
    <row r="650" spans="1:7" x14ac:dyDescent="0.35">
      <c r="A650" s="276"/>
      <c r="B650" s="276"/>
      <c r="C650" s="276"/>
      <c r="D650" s="276"/>
      <c r="E650" s="276"/>
      <c r="F650" s="276"/>
      <c r="G650" s="276"/>
    </row>
    <row r="651" spans="1:7" x14ac:dyDescent="0.35">
      <c r="A651" s="276"/>
      <c r="B651" s="276"/>
      <c r="C651" s="276"/>
      <c r="D651" s="276"/>
      <c r="E651" s="276"/>
      <c r="F651" s="276"/>
      <c r="G651" s="276"/>
    </row>
    <row r="652" spans="1:7" x14ac:dyDescent="0.35">
      <c r="A652" s="276"/>
      <c r="B652" s="276"/>
      <c r="C652" s="276"/>
      <c r="D652" s="276"/>
      <c r="E652" s="276"/>
      <c r="F652" s="276"/>
      <c r="G652" s="276"/>
    </row>
    <row r="653" spans="1:7" x14ac:dyDescent="0.35">
      <c r="A653" s="276"/>
      <c r="B653" s="276"/>
      <c r="C653" s="276"/>
      <c r="D653" s="276"/>
      <c r="E653" s="276"/>
      <c r="F653" s="276"/>
      <c r="G653" s="276"/>
    </row>
    <row r="654" spans="1:7" x14ac:dyDescent="0.35">
      <c r="A654" s="276"/>
      <c r="B654" s="276"/>
      <c r="C654" s="276"/>
      <c r="D654" s="276"/>
      <c r="E654" s="276"/>
      <c r="F654" s="276"/>
      <c r="G654" s="276"/>
    </row>
    <row r="655" spans="1:7" x14ac:dyDescent="0.35">
      <c r="A655" s="276"/>
      <c r="B655" s="276"/>
      <c r="C655" s="276"/>
      <c r="D655" s="276"/>
      <c r="E655" s="276"/>
      <c r="F655" s="276"/>
      <c r="G655" s="276"/>
    </row>
    <row r="656" spans="1:7" x14ac:dyDescent="0.35">
      <c r="A656" s="276"/>
      <c r="B656" s="276"/>
      <c r="C656" s="276"/>
      <c r="D656" s="276"/>
      <c r="E656" s="276"/>
      <c r="F656" s="276"/>
      <c r="G656" s="276"/>
    </row>
    <row r="657" spans="1:7" x14ac:dyDescent="0.35">
      <c r="A657" s="276"/>
      <c r="B657" s="276"/>
      <c r="C657" s="276"/>
      <c r="D657" s="276"/>
      <c r="E657" s="276"/>
      <c r="F657" s="276"/>
      <c r="G657" s="276"/>
    </row>
    <row r="658" spans="1:7" x14ac:dyDescent="0.35">
      <c r="A658" s="276"/>
      <c r="B658" s="276"/>
      <c r="C658" s="276"/>
      <c r="D658" s="276"/>
      <c r="E658" s="276"/>
      <c r="F658" s="276"/>
      <c r="G658" s="276"/>
    </row>
    <row r="659" spans="1:7" x14ac:dyDescent="0.35">
      <c r="A659" s="276"/>
      <c r="B659" s="276"/>
      <c r="C659" s="276"/>
      <c r="D659" s="276"/>
      <c r="E659" s="276"/>
      <c r="F659" s="276"/>
      <c r="G659" s="276"/>
    </row>
    <row r="660" spans="1:7" x14ac:dyDescent="0.35">
      <c r="A660" s="276"/>
      <c r="B660" s="276"/>
      <c r="C660" s="276"/>
      <c r="D660" s="276"/>
      <c r="E660" s="276"/>
      <c r="F660" s="276"/>
      <c r="G660" s="276"/>
    </row>
    <row r="661" spans="1:7" x14ac:dyDescent="0.35">
      <c r="A661" s="276"/>
      <c r="B661" s="276"/>
      <c r="C661" s="276"/>
      <c r="D661" s="276"/>
      <c r="E661" s="276"/>
      <c r="F661" s="276"/>
      <c r="G661" s="276"/>
    </row>
    <row r="662" spans="1:7" x14ac:dyDescent="0.35">
      <c r="A662" s="276"/>
      <c r="B662" s="276"/>
      <c r="C662" s="276"/>
      <c r="D662" s="276"/>
      <c r="E662" s="276"/>
      <c r="F662" s="276"/>
      <c r="G662" s="276"/>
    </row>
    <row r="663" spans="1:7" x14ac:dyDescent="0.35">
      <c r="A663" s="276"/>
      <c r="B663" s="276"/>
      <c r="C663" s="276"/>
      <c r="D663" s="276"/>
      <c r="E663" s="276"/>
      <c r="F663" s="276"/>
      <c r="G663" s="276"/>
    </row>
    <row r="664" spans="1:7" x14ac:dyDescent="0.35">
      <c r="A664" s="276"/>
      <c r="B664" s="276"/>
      <c r="C664" s="276"/>
      <c r="D664" s="276"/>
      <c r="E664" s="276"/>
      <c r="F664" s="276"/>
      <c r="G664" s="276"/>
    </row>
    <row r="665" spans="1:7" x14ac:dyDescent="0.35">
      <c r="A665" s="276"/>
      <c r="B665" s="276"/>
      <c r="C665" s="276"/>
      <c r="D665" s="276"/>
      <c r="E665" s="276"/>
      <c r="F665" s="276"/>
      <c r="G665" s="276"/>
    </row>
    <row r="666" spans="1:7" x14ac:dyDescent="0.35">
      <c r="A666" s="276"/>
      <c r="B666" s="276"/>
      <c r="C666" s="276"/>
      <c r="D666" s="276"/>
      <c r="E666" s="276"/>
      <c r="F666" s="276"/>
      <c r="G666" s="276"/>
    </row>
    <row r="667" spans="1:7" x14ac:dyDescent="0.35">
      <c r="A667" s="276"/>
      <c r="B667" s="276"/>
      <c r="C667" s="276"/>
      <c r="D667" s="276"/>
      <c r="E667" s="276"/>
      <c r="F667" s="276"/>
      <c r="G667" s="276"/>
    </row>
    <row r="668" spans="1:7" x14ac:dyDescent="0.35">
      <c r="A668" s="276"/>
      <c r="B668" s="276"/>
      <c r="C668" s="276"/>
      <c r="D668" s="276"/>
      <c r="E668" s="276"/>
      <c r="F668" s="276"/>
      <c r="G668" s="276"/>
    </row>
    <row r="669" spans="1:7" x14ac:dyDescent="0.35">
      <c r="A669" s="276"/>
      <c r="B669" s="276"/>
      <c r="C669" s="276"/>
      <c r="D669" s="276"/>
      <c r="E669" s="276"/>
      <c r="F669" s="276"/>
      <c r="G669" s="276"/>
    </row>
    <row r="670" spans="1:7" x14ac:dyDescent="0.35">
      <c r="A670" s="276"/>
      <c r="B670" s="276"/>
      <c r="C670" s="276"/>
      <c r="D670" s="276"/>
      <c r="E670" s="276"/>
      <c r="F670" s="276"/>
      <c r="G670" s="276"/>
    </row>
    <row r="671" spans="1:7" x14ac:dyDescent="0.35">
      <c r="A671" s="276"/>
      <c r="B671" s="276"/>
      <c r="C671" s="276"/>
      <c r="D671" s="276"/>
      <c r="E671" s="276"/>
      <c r="F671" s="276"/>
      <c r="G671" s="276"/>
    </row>
    <row r="672" spans="1:7" x14ac:dyDescent="0.35">
      <c r="A672" s="276"/>
      <c r="B672" s="276"/>
      <c r="C672" s="276"/>
      <c r="D672" s="276"/>
      <c r="E672" s="276"/>
      <c r="F672" s="276"/>
      <c r="G672" s="276"/>
    </row>
    <row r="673" spans="1:7" x14ac:dyDescent="0.35">
      <c r="A673" s="276"/>
      <c r="B673" s="276"/>
      <c r="C673" s="276"/>
      <c r="D673" s="276"/>
      <c r="E673" s="276"/>
      <c r="F673" s="276"/>
      <c r="G673" s="276"/>
    </row>
    <row r="674" spans="1:7" x14ac:dyDescent="0.35">
      <c r="A674" s="276"/>
      <c r="B674" s="276"/>
      <c r="C674" s="276"/>
      <c r="D674" s="276"/>
      <c r="E674" s="276"/>
      <c r="F674" s="276"/>
      <c r="G674" s="276"/>
    </row>
    <row r="675" spans="1:7" x14ac:dyDescent="0.35">
      <c r="A675" s="276"/>
      <c r="B675" s="276"/>
      <c r="C675" s="276"/>
      <c r="D675" s="276"/>
      <c r="E675" s="276"/>
      <c r="F675" s="276"/>
      <c r="G675" s="276"/>
    </row>
    <row r="676" spans="1:7" x14ac:dyDescent="0.35">
      <c r="A676" s="276"/>
      <c r="B676" s="276"/>
      <c r="C676" s="276"/>
      <c r="D676" s="276"/>
      <c r="E676" s="276"/>
      <c r="F676" s="276"/>
      <c r="G676" s="276"/>
    </row>
    <row r="677" spans="1:7" x14ac:dyDescent="0.35">
      <c r="A677" s="276"/>
      <c r="B677" s="276"/>
      <c r="C677" s="276"/>
      <c r="D677" s="276"/>
      <c r="E677" s="276"/>
      <c r="F677" s="276"/>
      <c r="G677" s="276"/>
    </row>
    <row r="678" spans="1:7" x14ac:dyDescent="0.35">
      <c r="A678" s="276"/>
      <c r="B678" s="276"/>
      <c r="C678" s="276"/>
      <c r="D678" s="276"/>
      <c r="E678" s="276"/>
      <c r="F678" s="276"/>
      <c r="G678" s="276"/>
    </row>
    <row r="679" spans="1:7" x14ac:dyDescent="0.35">
      <c r="A679" s="276"/>
      <c r="B679" s="276"/>
      <c r="C679" s="276"/>
      <c r="D679" s="276"/>
      <c r="E679" s="276"/>
      <c r="F679" s="276"/>
      <c r="G679" s="276"/>
    </row>
    <row r="680" spans="1:7" x14ac:dyDescent="0.35">
      <c r="A680" s="276"/>
      <c r="B680" s="276"/>
      <c r="C680" s="276"/>
      <c r="D680" s="276"/>
      <c r="E680" s="276"/>
      <c r="F680" s="276"/>
      <c r="G680" s="276"/>
    </row>
    <row r="681" spans="1:7" x14ac:dyDescent="0.35">
      <c r="A681" s="276"/>
      <c r="B681" s="276"/>
      <c r="C681" s="276"/>
      <c r="D681" s="276"/>
      <c r="E681" s="276"/>
      <c r="F681" s="276"/>
      <c r="G681" s="276"/>
    </row>
    <row r="682" spans="1:7" x14ac:dyDescent="0.35">
      <c r="A682" s="276"/>
      <c r="B682" s="276"/>
      <c r="C682" s="276"/>
      <c r="D682" s="276"/>
      <c r="E682" s="276"/>
      <c r="F682" s="276"/>
      <c r="G682" s="276"/>
    </row>
    <row r="683" spans="1:7" x14ac:dyDescent="0.35">
      <c r="A683" s="276"/>
      <c r="B683" s="276"/>
      <c r="C683" s="276"/>
      <c r="D683" s="276"/>
      <c r="E683" s="276"/>
      <c r="F683" s="276"/>
      <c r="G683" s="276"/>
    </row>
    <row r="684" spans="1:7" x14ac:dyDescent="0.35">
      <c r="A684" s="276"/>
      <c r="B684" s="276"/>
      <c r="C684" s="276"/>
      <c r="D684" s="276"/>
      <c r="E684" s="276"/>
      <c r="F684" s="276"/>
      <c r="G684" s="276"/>
    </row>
    <row r="685" spans="1:7" x14ac:dyDescent="0.35">
      <c r="A685" s="276"/>
      <c r="B685" s="276"/>
      <c r="C685" s="276"/>
      <c r="D685" s="276"/>
      <c r="E685" s="276"/>
      <c r="F685" s="276"/>
      <c r="G685" s="276"/>
    </row>
    <row r="686" spans="1:7" x14ac:dyDescent="0.35">
      <c r="A686" s="276"/>
      <c r="B686" s="276"/>
      <c r="C686" s="276"/>
      <c r="D686" s="276"/>
      <c r="E686" s="276"/>
      <c r="F686" s="276"/>
      <c r="G686" s="276"/>
    </row>
    <row r="687" spans="1:7" x14ac:dyDescent="0.35">
      <c r="A687" s="276"/>
      <c r="B687" s="276"/>
      <c r="C687" s="276"/>
      <c r="D687" s="276"/>
      <c r="E687" s="276"/>
      <c r="F687" s="276"/>
      <c r="G687" s="276"/>
    </row>
    <row r="688" spans="1:7" x14ac:dyDescent="0.35">
      <c r="A688" s="276"/>
      <c r="B688" s="276"/>
      <c r="C688" s="276"/>
      <c r="D688" s="276"/>
      <c r="E688" s="276"/>
      <c r="F688" s="276"/>
      <c r="G688" s="276"/>
    </row>
    <row r="689" spans="1:7" x14ac:dyDescent="0.35">
      <c r="A689" s="276"/>
      <c r="B689" s="276"/>
      <c r="C689" s="276"/>
      <c r="D689" s="276"/>
      <c r="E689" s="276"/>
      <c r="F689" s="276"/>
      <c r="G689" s="276"/>
    </row>
    <row r="690" spans="1:7" x14ac:dyDescent="0.35">
      <c r="A690" s="276"/>
      <c r="B690" s="276"/>
      <c r="C690" s="276"/>
      <c r="D690" s="276"/>
      <c r="E690" s="276"/>
      <c r="F690" s="276"/>
      <c r="G690" s="276"/>
    </row>
    <row r="691" spans="1:7" x14ac:dyDescent="0.35">
      <c r="A691" s="276"/>
      <c r="B691" s="276"/>
      <c r="C691" s="276"/>
      <c r="D691" s="276"/>
      <c r="E691" s="276"/>
      <c r="F691" s="276"/>
      <c r="G691" s="276"/>
    </row>
    <row r="692" spans="1:7" x14ac:dyDescent="0.35">
      <c r="A692" s="276"/>
      <c r="B692" s="276"/>
      <c r="C692" s="276"/>
      <c r="D692" s="276"/>
      <c r="E692" s="276"/>
      <c r="F692" s="276"/>
      <c r="G692" s="276"/>
    </row>
    <row r="693" spans="1:7" x14ac:dyDescent="0.35">
      <c r="A693" s="276"/>
      <c r="B693" s="276"/>
      <c r="C693" s="276"/>
      <c r="D693" s="276"/>
      <c r="E693" s="276"/>
      <c r="F693" s="276"/>
      <c r="G693" s="276"/>
    </row>
    <row r="694" spans="1:7" x14ac:dyDescent="0.35">
      <c r="A694" s="276"/>
      <c r="B694" s="276"/>
      <c r="C694" s="276"/>
      <c r="D694" s="276"/>
      <c r="E694" s="276"/>
      <c r="F694" s="276"/>
      <c r="G694" s="276"/>
    </row>
    <row r="695" spans="1:7" x14ac:dyDescent="0.35">
      <c r="A695" s="276"/>
      <c r="B695" s="276"/>
      <c r="C695" s="276"/>
      <c r="D695" s="276"/>
      <c r="E695" s="276"/>
      <c r="F695" s="276"/>
      <c r="G695" s="276"/>
    </row>
    <row r="696" spans="1:7" x14ac:dyDescent="0.35">
      <c r="A696" s="276"/>
      <c r="B696" s="276"/>
      <c r="C696" s="276"/>
      <c r="D696" s="276"/>
      <c r="E696" s="276"/>
      <c r="F696" s="276"/>
      <c r="G696" s="276"/>
    </row>
    <row r="697" spans="1:7" x14ac:dyDescent="0.35">
      <c r="A697" s="276"/>
      <c r="B697" s="276"/>
      <c r="C697" s="276"/>
      <c r="D697" s="276"/>
      <c r="E697" s="276"/>
      <c r="F697" s="276"/>
      <c r="G697" s="276"/>
    </row>
    <row r="698" spans="1:7" x14ac:dyDescent="0.35">
      <c r="A698" s="276"/>
      <c r="B698" s="276"/>
      <c r="C698" s="276"/>
      <c r="D698" s="276"/>
      <c r="E698" s="276"/>
      <c r="F698" s="276"/>
      <c r="G698" s="276"/>
    </row>
    <row r="699" spans="1:7" x14ac:dyDescent="0.35">
      <c r="A699" s="276"/>
      <c r="B699" s="276"/>
      <c r="C699" s="276"/>
      <c r="D699" s="276"/>
      <c r="E699" s="276"/>
      <c r="F699" s="276"/>
      <c r="G699" s="276"/>
    </row>
    <row r="700" spans="1:7" x14ac:dyDescent="0.35">
      <c r="A700" s="276"/>
      <c r="B700" s="276"/>
      <c r="C700" s="276"/>
      <c r="D700" s="276"/>
      <c r="E700" s="276"/>
      <c r="F700" s="276"/>
      <c r="G700" s="276"/>
    </row>
    <row r="701" spans="1:7" x14ac:dyDescent="0.35">
      <c r="A701" s="276"/>
      <c r="B701" s="276"/>
      <c r="C701" s="276"/>
      <c r="D701" s="276"/>
      <c r="E701" s="276"/>
      <c r="F701" s="276"/>
      <c r="G701" s="276"/>
    </row>
    <row r="702" spans="1:7" x14ac:dyDescent="0.35">
      <c r="A702" s="276"/>
      <c r="B702" s="276"/>
      <c r="C702" s="276"/>
      <c r="D702" s="276"/>
      <c r="E702" s="276"/>
      <c r="F702" s="276"/>
      <c r="G702" s="276"/>
    </row>
    <row r="703" spans="1:7" x14ac:dyDescent="0.35">
      <c r="A703" s="276"/>
      <c r="B703" s="276"/>
      <c r="C703" s="276"/>
      <c r="D703" s="276"/>
      <c r="E703" s="276"/>
      <c r="F703" s="276"/>
      <c r="G703" s="276"/>
    </row>
    <row r="704" spans="1:7" x14ac:dyDescent="0.35">
      <c r="A704" s="276"/>
      <c r="B704" s="276"/>
      <c r="C704" s="276"/>
      <c r="D704" s="276"/>
      <c r="E704" s="276"/>
      <c r="F704" s="276"/>
      <c r="G704" s="276"/>
    </row>
    <row r="705" spans="1:7" x14ac:dyDescent="0.35">
      <c r="A705" s="276"/>
      <c r="B705" s="276"/>
      <c r="C705" s="276"/>
      <c r="D705" s="276"/>
      <c r="E705" s="276"/>
      <c r="F705" s="276"/>
      <c r="G705" s="276"/>
    </row>
    <row r="706" spans="1:7" x14ac:dyDescent="0.35">
      <c r="A706" s="276"/>
      <c r="B706" s="276"/>
      <c r="C706" s="276"/>
      <c r="D706" s="276"/>
      <c r="E706" s="276"/>
      <c r="F706" s="276"/>
      <c r="G706" s="276"/>
    </row>
    <row r="707" spans="1:7" x14ac:dyDescent="0.35">
      <c r="A707" s="276"/>
      <c r="B707" s="276"/>
      <c r="C707" s="276"/>
      <c r="D707" s="276"/>
      <c r="E707" s="276"/>
      <c r="F707" s="276"/>
      <c r="G707" s="276"/>
    </row>
    <row r="708" spans="1:7" x14ac:dyDescent="0.35">
      <c r="A708" s="276"/>
      <c r="B708" s="276"/>
      <c r="C708" s="276"/>
      <c r="D708" s="276"/>
      <c r="E708" s="276"/>
      <c r="F708" s="276"/>
      <c r="G708" s="276"/>
    </row>
    <row r="709" spans="1:7" x14ac:dyDescent="0.35">
      <c r="A709" s="276"/>
      <c r="B709" s="276"/>
      <c r="C709" s="276"/>
      <c r="D709" s="276"/>
      <c r="E709" s="276"/>
      <c r="F709" s="276"/>
      <c r="G709" s="276"/>
    </row>
    <row r="710" spans="1:7" x14ac:dyDescent="0.35">
      <c r="A710" s="276"/>
      <c r="B710" s="276"/>
      <c r="C710" s="276"/>
      <c r="D710" s="276"/>
      <c r="E710" s="276"/>
      <c r="F710" s="276"/>
      <c r="G710" s="276"/>
    </row>
    <row r="711" spans="1:7" x14ac:dyDescent="0.35">
      <c r="A711" s="276"/>
      <c r="B711" s="276"/>
      <c r="C711" s="276"/>
      <c r="D711" s="276"/>
      <c r="E711" s="276"/>
      <c r="F711" s="276"/>
      <c r="G711" s="276"/>
    </row>
    <row r="712" spans="1:7" x14ac:dyDescent="0.35">
      <c r="A712" s="276"/>
      <c r="B712" s="276"/>
      <c r="C712" s="276"/>
      <c r="D712" s="276"/>
      <c r="E712" s="276"/>
      <c r="F712" s="276"/>
      <c r="G712" s="276"/>
    </row>
    <row r="713" spans="1:7" x14ac:dyDescent="0.35">
      <c r="A713" s="276"/>
      <c r="B713" s="276"/>
      <c r="C713" s="276"/>
      <c r="D713" s="276"/>
      <c r="E713" s="276"/>
      <c r="F713" s="276"/>
      <c r="G713" s="276"/>
    </row>
    <row r="714" spans="1:7" x14ac:dyDescent="0.35">
      <c r="A714" s="276"/>
      <c r="B714" s="276"/>
      <c r="C714" s="276"/>
      <c r="D714" s="276"/>
      <c r="E714" s="276"/>
      <c r="F714" s="276"/>
      <c r="G714" s="276"/>
    </row>
    <row r="715" spans="1:7" x14ac:dyDescent="0.35">
      <c r="A715" s="276"/>
      <c r="B715" s="276"/>
      <c r="C715" s="276"/>
      <c r="D715" s="276"/>
      <c r="E715" s="276"/>
      <c r="F715" s="276"/>
      <c r="G715" s="276"/>
    </row>
    <row r="716" spans="1:7" x14ac:dyDescent="0.35">
      <c r="A716" s="276"/>
      <c r="B716" s="276"/>
      <c r="C716" s="276"/>
      <c r="D716" s="276"/>
      <c r="E716" s="276"/>
      <c r="F716" s="276"/>
      <c r="G716" s="276"/>
    </row>
    <row r="717" spans="1:7" x14ac:dyDescent="0.35">
      <c r="A717" s="276"/>
      <c r="B717" s="276"/>
      <c r="C717" s="276"/>
      <c r="D717" s="276"/>
      <c r="E717" s="276"/>
      <c r="F717" s="276"/>
      <c r="G717" s="276"/>
    </row>
    <row r="718" spans="1:7" x14ac:dyDescent="0.35">
      <c r="A718" s="276"/>
      <c r="B718" s="276"/>
      <c r="C718" s="276"/>
      <c r="D718" s="276"/>
      <c r="E718" s="276"/>
      <c r="F718" s="276"/>
      <c r="G718" s="276"/>
    </row>
    <row r="719" spans="1:7" x14ac:dyDescent="0.35">
      <c r="A719" s="276"/>
      <c r="B719" s="276"/>
      <c r="C719" s="276"/>
      <c r="D719" s="276"/>
      <c r="E719" s="276"/>
      <c r="F719" s="276"/>
      <c r="G719" s="276"/>
    </row>
    <row r="720" spans="1:7" x14ac:dyDescent="0.35">
      <c r="A720" s="276"/>
      <c r="B720" s="276"/>
      <c r="C720" s="276"/>
      <c r="D720" s="276"/>
      <c r="E720" s="276"/>
      <c r="F720" s="276"/>
      <c r="G720" s="276"/>
    </row>
    <row r="721" spans="1:7" x14ac:dyDescent="0.35">
      <c r="A721" s="276"/>
      <c r="B721" s="276"/>
      <c r="C721" s="276"/>
      <c r="D721" s="276"/>
      <c r="E721" s="276"/>
      <c r="F721" s="276"/>
      <c r="G721" s="276"/>
    </row>
    <row r="722" spans="1:7" x14ac:dyDescent="0.35">
      <c r="A722" s="276"/>
      <c r="B722" s="276"/>
      <c r="C722" s="276"/>
      <c r="D722" s="276"/>
      <c r="E722" s="276"/>
      <c r="F722" s="276"/>
      <c r="G722" s="276"/>
    </row>
    <row r="723" spans="1:7" x14ac:dyDescent="0.35">
      <c r="A723" s="276"/>
      <c r="B723" s="276"/>
      <c r="C723" s="276"/>
      <c r="D723" s="276"/>
      <c r="E723" s="276"/>
      <c r="F723" s="276"/>
      <c r="G723" s="276"/>
    </row>
    <row r="724" spans="1:7" x14ac:dyDescent="0.35">
      <c r="A724" s="276"/>
      <c r="B724" s="276"/>
      <c r="C724" s="276"/>
      <c r="D724" s="276"/>
      <c r="E724" s="276"/>
      <c r="F724" s="276"/>
      <c r="G724" s="276"/>
    </row>
    <row r="725" spans="1:7" x14ac:dyDescent="0.35">
      <c r="A725" s="276"/>
      <c r="B725" s="276"/>
      <c r="C725" s="276"/>
      <c r="D725" s="276"/>
      <c r="E725" s="276"/>
      <c r="F725" s="276"/>
      <c r="G725" s="276"/>
    </row>
    <row r="726" spans="1:7" x14ac:dyDescent="0.35">
      <c r="A726" s="276"/>
      <c r="B726" s="276"/>
      <c r="C726" s="276"/>
      <c r="D726" s="276"/>
      <c r="E726" s="276"/>
      <c r="F726" s="276"/>
      <c r="G726" s="276"/>
    </row>
    <row r="727" spans="1:7" x14ac:dyDescent="0.35">
      <c r="A727" s="276"/>
      <c r="B727" s="276"/>
      <c r="C727" s="276"/>
      <c r="D727" s="276"/>
      <c r="E727" s="276"/>
      <c r="F727" s="276"/>
      <c r="G727" s="276"/>
    </row>
    <row r="728" spans="1:7" x14ac:dyDescent="0.35">
      <c r="A728" s="276"/>
      <c r="B728" s="276"/>
      <c r="C728" s="276"/>
      <c r="D728" s="276"/>
      <c r="E728" s="276"/>
      <c r="F728" s="276"/>
      <c r="G728" s="276"/>
    </row>
    <row r="729" spans="1:7" x14ac:dyDescent="0.35">
      <c r="A729" s="276"/>
      <c r="B729" s="276"/>
      <c r="C729" s="276"/>
      <c r="D729" s="276"/>
      <c r="E729" s="276"/>
      <c r="F729" s="276"/>
      <c r="G729" s="276"/>
    </row>
    <row r="730" spans="1:7" x14ac:dyDescent="0.35">
      <c r="A730" s="276"/>
      <c r="B730" s="276"/>
      <c r="C730" s="276"/>
      <c r="D730" s="276"/>
      <c r="E730" s="276"/>
      <c r="F730" s="276"/>
      <c r="G730" s="276"/>
    </row>
    <row r="731" spans="1:7" x14ac:dyDescent="0.35">
      <c r="A731" s="276"/>
      <c r="B731" s="276"/>
      <c r="C731" s="276"/>
      <c r="D731" s="276"/>
      <c r="E731" s="276"/>
      <c r="F731" s="276"/>
      <c r="G731" s="276"/>
    </row>
    <row r="732" spans="1:7" x14ac:dyDescent="0.35">
      <c r="A732" s="276"/>
      <c r="B732" s="276"/>
      <c r="C732" s="276"/>
      <c r="D732" s="276"/>
      <c r="E732" s="276"/>
      <c r="F732" s="276"/>
      <c r="G732" s="276"/>
    </row>
    <row r="733" spans="1:7" x14ac:dyDescent="0.35">
      <c r="A733" s="276"/>
      <c r="B733" s="276"/>
      <c r="C733" s="276"/>
      <c r="D733" s="276"/>
      <c r="E733" s="276"/>
      <c r="F733" s="276"/>
      <c r="G733" s="276"/>
    </row>
    <row r="734" spans="1:7" x14ac:dyDescent="0.35">
      <c r="A734" s="276"/>
      <c r="B734" s="276"/>
      <c r="C734" s="276"/>
      <c r="D734" s="276"/>
      <c r="E734" s="276"/>
      <c r="F734" s="276"/>
      <c r="G734" s="276"/>
    </row>
    <row r="735" spans="1:7" x14ac:dyDescent="0.35">
      <c r="A735" s="276"/>
      <c r="B735" s="276"/>
      <c r="C735" s="276"/>
      <c r="D735" s="276"/>
      <c r="E735" s="276"/>
      <c r="F735" s="276"/>
      <c r="G735" s="276"/>
    </row>
    <row r="736" spans="1:7" x14ac:dyDescent="0.35">
      <c r="A736" s="276"/>
      <c r="B736" s="276"/>
      <c r="C736" s="276"/>
      <c r="D736" s="276"/>
      <c r="E736" s="276"/>
      <c r="F736" s="276"/>
      <c r="G736" s="276"/>
    </row>
    <row r="737" spans="1:7" x14ac:dyDescent="0.35">
      <c r="A737" s="276"/>
      <c r="B737" s="276"/>
      <c r="C737" s="276"/>
      <c r="D737" s="276"/>
      <c r="E737" s="276"/>
      <c r="F737" s="276"/>
      <c r="G737" s="276"/>
    </row>
    <row r="738" spans="1:7" x14ac:dyDescent="0.35">
      <c r="A738" s="276"/>
      <c r="B738" s="276"/>
      <c r="C738" s="276"/>
      <c r="D738" s="276"/>
      <c r="E738" s="276"/>
      <c r="F738" s="276"/>
      <c r="G738" s="276"/>
    </row>
    <row r="739" spans="1:7" x14ac:dyDescent="0.35">
      <c r="A739" s="276"/>
      <c r="B739" s="276"/>
      <c r="C739" s="276"/>
      <c r="D739" s="276"/>
      <c r="E739" s="276"/>
      <c r="F739" s="276"/>
      <c r="G739" s="276"/>
    </row>
    <row r="740" spans="1:7" x14ac:dyDescent="0.35">
      <c r="A740" s="276"/>
      <c r="B740" s="276"/>
      <c r="C740" s="276"/>
      <c r="D740" s="276"/>
      <c r="E740" s="276"/>
      <c r="F740" s="276"/>
      <c r="G740" s="276"/>
    </row>
    <row r="741" spans="1:7" x14ac:dyDescent="0.35">
      <c r="A741" s="276"/>
      <c r="B741" s="276"/>
      <c r="C741" s="276"/>
      <c r="D741" s="276"/>
      <c r="E741" s="276"/>
      <c r="F741" s="276"/>
      <c r="G741" s="276"/>
    </row>
    <row r="742" spans="1:7" x14ac:dyDescent="0.35">
      <c r="A742" s="276"/>
      <c r="B742" s="276"/>
      <c r="C742" s="276"/>
      <c r="D742" s="276"/>
      <c r="E742" s="276"/>
      <c r="F742" s="276"/>
      <c r="G742" s="276"/>
    </row>
    <row r="743" spans="1:7" x14ac:dyDescent="0.35">
      <c r="A743" s="276"/>
      <c r="B743" s="276"/>
      <c r="C743" s="276"/>
      <c r="D743" s="276"/>
      <c r="E743" s="276"/>
      <c r="F743" s="276"/>
      <c r="G743" s="276"/>
    </row>
    <row r="744" spans="1:7" x14ac:dyDescent="0.35">
      <c r="A744" s="276"/>
      <c r="B744" s="276"/>
      <c r="C744" s="276"/>
      <c r="D744" s="276"/>
      <c r="E744" s="276"/>
      <c r="F744" s="276"/>
      <c r="G744" s="276"/>
    </row>
    <row r="745" spans="1:7" x14ac:dyDescent="0.35">
      <c r="A745" s="276"/>
      <c r="B745" s="276"/>
      <c r="C745" s="276"/>
      <c r="D745" s="276"/>
      <c r="E745" s="276"/>
      <c r="F745" s="276"/>
      <c r="G745" s="276"/>
    </row>
    <row r="746" spans="1:7" x14ac:dyDescent="0.35">
      <c r="A746" s="276"/>
      <c r="B746" s="276"/>
      <c r="C746" s="276"/>
      <c r="D746" s="276"/>
      <c r="E746" s="276"/>
      <c r="F746" s="276"/>
      <c r="G746" s="276"/>
    </row>
    <row r="747" spans="1:7" x14ac:dyDescent="0.35">
      <c r="A747" s="276"/>
      <c r="B747" s="276"/>
      <c r="C747" s="276"/>
      <c r="D747" s="276"/>
      <c r="E747" s="276"/>
      <c r="F747" s="276"/>
      <c r="G747" s="276"/>
    </row>
    <row r="748" spans="1:7" x14ac:dyDescent="0.35">
      <c r="A748" s="276"/>
      <c r="B748" s="276"/>
      <c r="C748" s="276"/>
      <c r="D748" s="276"/>
      <c r="E748" s="276"/>
      <c r="F748" s="276"/>
      <c r="G748" s="276"/>
    </row>
    <row r="749" spans="1:7" x14ac:dyDescent="0.35">
      <c r="A749" s="276"/>
      <c r="B749" s="276"/>
      <c r="C749" s="276"/>
      <c r="D749" s="276"/>
      <c r="E749" s="276"/>
      <c r="F749" s="276"/>
      <c r="G749" s="276"/>
    </row>
    <row r="750" spans="1:7" x14ac:dyDescent="0.35">
      <c r="A750" s="276"/>
      <c r="B750" s="276"/>
      <c r="C750" s="276"/>
      <c r="D750" s="276"/>
      <c r="E750" s="276"/>
      <c r="F750" s="276"/>
      <c r="G750" s="276"/>
    </row>
    <row r="751" spans="1:7" x14ac:dyDescent="0.35">
      <c r="A751" s="276"/>
      <c r="B751" s="276"/>
      <c r="C751" s="276"/>
      <c r="D751" s="276"/>
      <c r="E751" s="276"/>
      <c r="F751" s="276"/>
      <c r="G751" s="276"/>
    </row>
    <row r="752" spans="1:7" x14ac:dyDescent="0.35">
      <c r="A752" s="276"/>
      <c r="B752" s="276"/>
      <c r="C752" s="276"/>
      <c r="D752" s="276"/>
      <c r="E752" s="276"/>
      <c r="F752" s="276"/>
      <c r="G752" s="276"/>
    </row>
    <row r="753" spans="1:7" x14ac:dyDescent="0.35">
      <c r="A753" s="276"/>
      <c r="B753" s="276"/>
      <c r="C753" s="276"/>
      <c r="D753" s="276"/>
      <c r="E753" s="276"/>
      <c r="F753" s="276"/>
      <c r="G753" s="276"/>
    </row>
    <row r="754" spans="1:7" x14ac:dyDescent="0.35">
      <c r="A754" s="276"/>
      <c r="B754" s="276"/>
      <c r="C754" s="276"/>
      <c r="D754" s="276"/>
      <c r="E754" s="276"/>
      <c r="F754" s="276"/>
      <c r="G754" s="276"/>
    </row>
    <row r="755" spans="1:7" x14ac:dyDescent="0.35">
      <c r="A755" s="276"/>
      <c r="B755" s="276"/>
      <c r="C755" s="276"/>
      <c r="D755" s="276"/>
      <c r="E755" s="276"/>
      <c r="F755" s="276"/>
      <c r="G755" s="276"/>
    </row>
    <row r="756" spans="1:7" x14ac:dyDescent="0.35">
      <c r="A756" s="276"/>
      <c r="B756" s="276"/>
      <c r="C756" s="276"/>
      <c r="D756" s="276"/>
      <c r="E756" s="276"/>
      <c r="F756" s="276"/>
      <c r="G756" s="276"/>
    </row>
    <row r="757" spans="1:7" x14ac:dyDescent="0.35">
      <c r="A757" s="276"/>
      <c r="B757" s="276"/>
      <c r="C757" s="276"/>
      <c r="D757" s="276"/>
      <c r="E757" s="276"/>
      <c r="F757" s="276"/>
      <c r="G757" s="276"/>
    </row>
    <row r="758" spans="1:7" x14ac:dyDescent="0.35">
      <c r="A758" s="276"/>
      <c r="B758" s="276"/>
      <c r="C758" s="276"/>
      <c r="D758" s="276"/>
      <c r="E758" s="276"/>
      <c r="F758" s="276"/>
      <c r="G758" s="276"/>
    </row>
    <row r="759" spans="1:7" x14ac:dyDescent="0.35">
      <c r="A759" s="276"/>
      <c r="B759" s="276"/>
      <c r="C759" s="276"/>
      <c r="D759" s="276"/>
      <c r="E759" s="276"/>
      <c r="F759" s="276"/>
      <c r="G759" s="276"/>
    </row>
    <row r="760" spans="1:7" x14ac:dyDescent="0.35">
      <c r="A760" s="276"/>
      <c r="B760" s="276"/>
      <c r="C760" s="276"/>
      <c r="D760" s="276"/>
      <c r="E760" s="276"/>
      <c r="F760" s="276"/>
      <c r="G760" s="276"/>
    </row>
    <row r="761" spans="1:7" x14ac:dyDescent="0.35">
      <c r="A761" s="276"/>
      <c r="B761" s="276"/>
      <c r="C761" s="276"/>
      <c r="D761" s="276"/>
      <c r="E761" s="276"/>
      <c r="F761" s="276"/>
      <c r="G761" s="276"/>
    </row>
    <row r="762" spans="1:7" x14ac:dyDescent="0.35">
      <c r="A762" s="276"/>
      <c r="B762" s="276"/>
      <c r="C762" s="276"/>
      <c r="D762" s="276"/>
      <c r="E762" s="276"/>
      <c r="F762" s="276"/>
      <c r="G762" s="276"/>
    </row>
    <row r="763" spans="1:7" x14ac:dyDescent="0.35">
      <c r="A763" s="276"/>
      <c r="B763" s="276"/>
      <c r="C763" s="276"/>
      <c r="D763" s="276"/>
      <c r="E763" s="276"/>
      <c r="F763" s="276"/>
      <c r="G763" s="276"/>
    </row>
    <row r="764" spans="1:7" x14ac:dyDescent="0.35">
      <c r="A764" s="276"/>
      <c r="B764" s="276"/>
      <c r="C764" s="276"/>
      <c r="D764" s="276"/>
      <c r="E764" s="276"/>
      <c r="F764" s="276"/>
      <c r="G764" s="276"/>
    </row>
    <row r="765" spans="1:7" x14ac:dyDescent="0.35">
      <c r="A765" s="276"/>
      <c r="B765" s="276"/>
      <c r="C765" s="276"/>
      <c r="D765" s="276"/>
      <c r="E765" s="276"/>
      <c r="F765" s="276"/>
      <c r="G765" s="276"/>
    </row>
    <row r="766" spans="1:7" x14ac:dyDescent="0.35">
      <c r="A766" s="276"/>
      <c r="B766" s="276"/>
      <c r="C766" s="276"/>
      <c r="D766" s="276"/>
      <c r="E766" s="276"/>
      <c r="F766" s="276"/>
      <c r="G766" s="276"/>
    </row>
    <row r="767" spans="1:7" x14ac:dyDescent="0.35">
      <c r="A767" s="276"/>
      <c r="B767" s="276"/>
      <c r="C767" s="276"/>
      <c r="D767" s="276"/>
      <c r="E767" s="276"/>
      <c r="F767" s="276"/>
      <c r="G767" s="276"/>
    </row>
    <row r="768" spans="1:7" x14ac:dyDescent="0.35">
      <c r="A768" s="276"/>
      <c r="B768" s="276"/>
      <c r="C768" s="276"/>
      <c r="D768" s="276"/>
      <c r="E768" s="276"/>
      <c r="F768" s="276"/>
      <c r="G768" s="276"/>
    </row>
    <row r="769" spans="1:7" x14ac:dyDescent="0.35">
      <c r="A769" s="276"/>
      <c r="B769" s="276"/>
      <c r="C769" s="276"/>
      <c r="D769" s="276"/>
      <c r="E769" s="276"/>
      <c r="F769" s="276"/>
      <c r="G769" s="276"/>
    </row>
    <row r="770" spans="1:7" x14ac:dyDescent="0.35">
      <c r="A770" s="276"/>
      <c r="B770" s="276"/>
      <c r="C770" s="276"/>
      <c r="D770" s="276"/>
      <c r="E770" s="276"/>
      <c r="F770" s="276"/>
      <c r="G770" s="276"/>
    </row>
    <row r="771" spans="1:7" x14ac:dyDescent="0.35">
      <c r="A771" s="276"/>
      <c r="B771" s="276"/>
      <c r="C771" s="276"/>
      <c r="D771" s="276"/>
      <c r="E771" s="276"/>
      <c r="F771" s="276"/>
      <c r="G771" s="276"/>
    </row>
    <row r="772" spans="1:7" x14ac:dyDescent="0.35">
      <c r="A772" s="276"/>
      <c r="B772" s="276"/>
      <c r="C772" s="276"/>
      <c r="D772" s="276"/>
      <c r="E772" s="276"/>
      <c r="F772" s="276"/>
      <c r="G772" s="276"/>
    </row>
    <row r="773" spans="1:7" x14ac:dyDescent="0.35">
      <c r="A773" s="276"/>
      <c r="B773" s="276"/>
      <c r="C773" s="276"/>
      <c r="D773" s="276"/>
      <c r="E773" s="276"/>
      <c r="F773" s="276"/>
      <c r="G773" s="276"/>
    </row>
    <row r="774" spans="1:7" x14ac:dyDescent="0.35">
      <c r="A774" s="276"/>
      <c r="B774" s="276"/>
      <c r="C774" s="276"/>
      <c r="D774" s="276"/>
      <c r="E774" s="276"/>
      <c r="F774" s="276"/>
      <c r="G774" s="276"/>
    </row>
    <row r="775" spans="1:7" x14ac:dyDescent="0.35">
      <c r="A775" s="276"/>
      <c r="B775" s="276"/>
      <c r="C775" s="276"/>
      <c r="D775" s="276"/>
      <c r="E775" s="276"/>
      <c r="F775" s="276"/>
      <c r="G775" s="276"/>
    </row>
    <row r="776" spans="1:7" x14ac:dyDescent="0.35">
      <c r="A776" s="276"/>
      <c r="B776" s="276"/>
      <c r="C776" s="276"/>
      <c r="D776" s="276"/>
      <c r="E776" s="276"/>
      <c r="F776" s="276"/>
      <c r="G776" s="276"/>
    </row>
    <row r="777" spans="1:7" x14ac:dyDescent="0.35">
      <c r="A777" s="276"/>
      <c r="B777" s="276"/>
      <c r="C777" s="276"/>
      <c r="D777" s="276"/>
      <c r="E777" s="276"/>
      <c r="F777" s="276"/>
      <c r="G777" s="276"/>
    </row>
    <row r="778" spans="1:7" x14ac:dyDescent="0.35">
      <c r="A778" s="276"/>
      <c r="B778" s="276"/>
      <c r="C778" s="276"/>
      <c r="D778" s="276"/>
      <c r="E778" s="276"/>
      <c r="F778" s="276"/>
      <c r="G778" s="276"/>
    </row>
    <row r="779" spans="1:7" x14ac:dyDescent="0.35">
      <c r="A779" s="276"/>
      <c r="B779" s="276"/>
      <c r="C779" s="276"/>
      <c r="D779" s="276"/>
      <c r="E779" s="276"/>
      <c r="F779" s="276"/>
      <c r="G779" s="276"/>
    </row>
    <row r="780" spans="1:7" x14ac:dyDescent="0.35">
      <c r="A780" s="276"/>
      <c r="B780" s="276"/>
      <c r="C780" s="276"/>
      <c r="D780" s="276"/>
      <c r="E780" s="276"/>
      <c r="F780" s="276"/>
      <c r="G780" s="276"/>
    </row>
    <row r="781" spans="1:7" x14ac:dyDescent="0.35">
      <c r="A781" s="276"/>
      <c r="B781" s="276"/>
      <c r="C781" s="276"/>
      <c r="D781" s="276"/>
      <c r="E781" s="276"/>
      <c r="F781" s="276"/>
      <c r="G781" s="276"/>
    </row>
    <row r="782" spans="1:7" x14ac:dyDescent="0.35">
      <c r="A782" s="276"/>
      <c r="B782" s="276"/>
      <c r="C782" s="276"/>
      <c r="D782" s="276"/>
      <c r="E782" s="276"/>
      <c r="F782" s="276"/>
      <c r="G782" s="276"/>
    </row>
    <row r="783" spans="1:7" x14ac:dyDescent="0.35">
      <c r="A783" s="276"/>
      <c r="B783" s="276"/>
      <c r="C783" s="276"/>
      <c r="D783" s="276"/>
      <c r="E783" s="276"/>
      <c r="F783" s="276"/>
      <c r="G783" s="276"/>
    </row>
    <row r="784" spans="1:7" x14ac:dyDescent="0.35">
      <c r="A784" s="276"/>
      <c r="B784" s="276"/>
      <c r="C784" s="276"/>
      <c r="D784" s="276"/>
      <c r="E784" s="276"/>
      <c r="F784" s="276"/>
      <c r="G784" s="276"/>
    </row>
    <row r="785" spans="1:7" x14ac:dyDescent="0.35">
      <c r="A785" s="276"/>
      <c r="B785" s="276"/>
      <c r="C785" s="276"/>
      <c r="D785" s="276"/>
      <c r="E785" s="276"/>
      <c r="F785" s="276"/>
      <c r="G785" s="276"/>
    </row>
    <row r="786" spans="1:7" x14ac:dyDescent="0.35">
      <c r="A786" s="276"/>
      <c r="B786" s="276"/>
      <c r="C786" s="276"/>
      <c r="D786" s="276"/>
      <c r="E786" s="276"/>
      <c r="F786" s="276"/>
      <c r="G786" s="276"/>
    </row>
    <row r="787" spans="1:7" x14ac:dyDescent="0.35">
      <c r="A787" s="276"/>
      <c r="B787" s="276"/>
      <c r="C787" s="276"/>
      <c r="D787" s="276"/>
      <c r="E787" s="276"/>
      <c r="F787" s="276"/>
      <c r="G787" s="276"/>
    </row>
    <row r="788" spans="1:7" x14ac:dyDescent="0.35">
      <c r="A788" s="276"/>
      <c r="B788" s="276"/>
      <c r="C788" s="276"/>
      <c r="D788" s="276"/>
      <c r="E788" s="276"/>
      <c r="F788" s="276"/>
      <c r="G788" s="276"/>
    </row>
    <row r="789" spans="1:7" x14ac:dyDescent="0.35">
      <c r="A789" s="276"/>
      <c r="B789" s="276"/>
      <c r="C789" s="276"/>
      <c r="D789" s="276"/>
      <c r="E789" s="276"/>
      <c r="F789" s="276"/>
      <c r="G789" s="276"/>
    </row>
    <row r="790" spans="1:7" x14ac:dyDescent="0.35">
      <c r="A790" s="276"/>
      <c r="B790" s="276"/>
      <c r="C790" s="276"/>
      <c r="D790" s="276"/>
      <c r="E790" s="276"/>
      <c r="F790" s="276"/>
      <c r="G790" s="276"/>
    </row>
    <row r="791" spans="1:7" x14ac:dyDescent="0.35">
      <c r="A791" s="276"/>
      <c r="B791" s="276"/>
      <c r="C791" s="276"/>
      <c r="D791" s="276"/>
      <c r="E791" s="276"/>
      <c r="F791" s="276"/>
      <c r="G791" s="276"/>
    </row>
    <row r="792" spans="1:7" x14ac:dyDescent="0.35">
      <c r="A792" s="276"/>
      <c r="B792" s="276"/>
      <c r="C792" s="276"/>
      <c r="D792" s="276"/>
      <c r="E792" s="276"/>
      <c r="F792" s="276"/>
      <c r="G792" s="276"/>
    </row>
    <row r="793" spans="1:7" x14ac:dyDescent="0.35">
      <c r="A793" s="276"/>
      <c r="B793" s="276"/>
      <c r="C793" s="276"/>
      <c r="D793" s="276"/>
      <c r="E793" s="276"/>
      <c r="F793" s="276"/>
      <c r="G793" s="276"/>
    </row>
    <row r="794" spans="1:7" x14ac:dyDescent="0.35">
      <c r="A794" s="276"/>
      <c r="B794" s="276"/>
      <c r="C794" s="276"/>
      <c r="D794" s="276"/>
      <c r="E794" s="276"/>
      <c r="F794" s="276"/>
      <c r="G794" s="276"/>
    </row>
    <row r="795" spans="1:7" x14ac:dyDescent="0.35">
      <c r="A795" s="276"/>
      <c r="B795" s="276"/>
      <c r="C795" s="276"/>
      <c r="D795" s="276"/>
      <c r="E795" s="276"/>
      <c r="F795" s="276"/>
      <c r="G795" s="276"/>
    </row>
    <row r="796" spans="1:7" x14ac:dyDescent="0.35">
      <c r="A796" s="276"/>
      <c r="B796" s="276"/>
      <c r="C796" s="276"/>
      <c r="D796" s="276"/>
      <c r="E796" s="276"/>
      <c r="F796" s="276"/>
      <c r="G796" s="276"/>
    </row>
    <row r="797" spans="1:7" x14ac:dyDescent="0.35">
      <c r="A797" s="276"/>
      <c r="B797" s="276"/>
      <c r="C797" s="276"/>
      <c r="D797" s="276"/>
      <c r="E797" s="276"/>
      <c r="F797" s="276"/>
      <c r="G797" s="276"/>
    </row>
    <row r="798" spans="1:7" x14ac:dyDescent="0.35">
      <c r="A798" s="276"/>
      <c r="B798" s="276"/>
      <c r="C798" s="276"/>
      <c r="D798" s="276"/>
      <c r="E798" s="276"/>
      <c r="F798" s="276"/>
      <c r="G798" s="276"/>
    </row>
    <row r="799" spans="1:7" x14ac:dyDescent="0.35">
      <c r="A799" s="276"/>
      <c r="B799" s="276"/>
      <c r="C799" s="276"/>
      <c r="D799" s="276"/>
      <c r="E799" s="276"/>
      <c r="F799" s="276"/>
      <c r="G799" s="276"/>
    </row>
    <row r="800" spans="1:7" x14ac:dyDescent="0.35">
      <c r="A800" s="276"/>
      <c r="B800" s="276"/>
      <c r="C800" s="276"/>
      <c r="D800" s="276"/>
      <c r="E800" s="276"/>
      <c r="F800" s="276"/>
      <c r="G800" s="276"/>
    </row>
    <row r="801" spans="1:7" x14ac:dyDescent="0.35">
      <c r="A801" s="276"/>
      <c r="B801" s="276"/>
      <c r="C801" s="276"/>
      <c r="D801" s="276"/>
      <c r="E801" s="276"/>
      <c r="F801" s="276"/>
      <c r="G801" s="276"/>
    </row>
    <row r="802" spans="1:7" x14ac:dyDescent="0.35">
      <c r="A802" s="276"/>
      <c r="B802" s="276"/>
      <c r="C802" s="276"/>
      <c r="D802" s="276"/>
      <c r="E802" s="276"/>
      <c r="F802" s="276"/>
      <c r="G802" s="276"/>
    </row>
    <row r="803" spans="1:7" x14ac:dyDescent="0.35">
      <c r="A803" s="276"/>
      <c r="B803" s="276"/>
      <c r="C803" s="276"/>
      <c r="D803" s="276"/>
      <c r="E803" s="276"/>
      <c r="F803" s="276"/>
      <c r="G803" s="276"/>
    </row>
    <row r="804" spans="1:7" x14ac:dyDescent="0.35">
      <c r="A804" s="276"/>
      <c r="B804" s="276"/>
      <c r="C804" s="276"/>
      <c r="D804" s="276"/>
      <c r="E804" s="276"/>
      <c r="F804" s="276"/>
      <c r="G804" s="276"/>
    </row>
    <row r="805" spans="1:7" x14ac:dyDescent="0.35">
      <c r="A805" s="276"/>
      <c r="B805" s="276"/>
      <c r="C805" s="276"/>
      <c r="D805" s="276"/>
      <c r="E805" s="276"/>
      <c r="F805" s="276"/>
      <c r="G805" s="276"/>
    </row>
    <row r="806" spans="1:7" x14ac:dyDescent="0.35">
      <c r="A806" s="276"/>
      <c r="B806" s="276"/>
      <c r="C806" s="276"/>
      <c r="D806" s="276"/>
      <c r="E806" s="276"/>
      <c r="F806" s="276"/>
      <c r="G806" s="276"/>
    </row>
    <row r="807" spans="1:7" x14ac:dyDescent="0.35">
      <c r="A807" s="276"/>
      <c r="B807" s="276"/>
      <c r="C807" s="276"/>
      <c r="D807" s="276"/>
      <c r="E807" s="276"/>
      <c r="F807" s="276"/>
      <c r="G807" s="276"/>
    </row>
    <row r="808" spans="1:7" x14ac:dyDescent="0.35">
      <c r="A808" s="276"/>
      <c r="B808" s="276"/>
      <c r="C808" s="276"/>
      <c r="D808" s="276"/>
      <c r="E808" s="276"/>
      <c r="F808" s="276"/>
      <c r="G808" s="276"/>
    </row>
    <row r="809" spans="1:7" x14ac:dyDescent="0.35">
      <c r="A809" s="276"/>
      <c r="B809" s="276"/>
      <c r="C809" s="276"/>
      <c r="D809" s="276"/>
      <c r="E809" s="276"/>
      <c r="F809" s="276"/>
      <c r="G809" s="276"/>
    </row>
    <row r="810" spans="1:7" x14ac:dyDescent="0.35">
      <c r="A810" s="276"/>
      <c r="B810" s="276"/>
      <c r="C810" s="276"/>
      <c r="D810" s="276"/>
      <c r="E810" s="276"/>
      <c r="F810" s="276"/>
      <c r="G810" s="276"/>
    </row>
    <row r="811" spans="1:7" x14ac:dyDescent="0.35">
      <c r="A811" s="276"/>
      <c r="B811" s="276"/>
      <c r="C811" s="276"/>
      <c r="D811" s="276"/>
      <c r="E811" s="276"/>
      <c r="F811" s="276"/>
      <c r="G811" s="276"/>
    </row>
    <row r="812" spans="1:7" x14ac:dyDescent="0.35">
      <c r="A812" s="276"/>
      <c r="B812" s="276"/>
      <c r="C812" s="276"/>
      <c r="D812" s="276"/>
      <c r="E812" s="276"/>
      <c r="F812" s="276"/>
      <c r="G812" s="276"/>
    </row>
    <row r="813" spans="1:7" x14ac:dyDescent="0.35">
      <c r="A813" s="276"/>
      <c r="B813" s="276"/>
      <c r="C813" s="276"/>
      <c r="D813" s="276"/>
      <c r="E813" s="276"/>
      <c r="F813" s="276"/>
      <c r="G813" s="276"/>
    </row>
    <row r="814" spans="1:7" x14ac:dyDescent="0.35">
      <c r="A814" s="276"/>
      <c r="B814" s="276"/>
      <c r="C814" s="276"/>
      <c r="D814" s="276"/>
      <c r="E814" s="276"/>
      <c r="F814" s="276"/>
      <c r="G814" s="276"/>
    </row>
    <row r="815" spans="1:7" x14ac:dyDescent="0.35">
      <c r="A815" s="276"/>
      <c r="B815" s="276"/>
      <c r="C815" s="276"/>
      <c r="D815" s="276"/>
      <c r="E815" s="276"/>
      <c r="F815" s="276"/>
      <c r="G815" s="276"/>
    </row>
    <row r="816" spans="1:7" x14ac:dyDescent="0.35">
      <c r="A816" s="276"/>
      <c r="B816" s="276"/>
      <c r="C816" s="276"/>
      <c r="D816" s="276"/>
      <c r="E816" s="276"/>
      <c r="F816" s="276"/>
      <c r="G816" s="276"/>
    </row>
    <row r="817" spans="1:7" x14ac:dyDescent="0.35">
      <c r="A817" s="276"/>
      <c r="B817" s="276"/>
      <c r="C817" s="276"/>
      <c r="D817" s="276"/>
      <c r="E817" s="276"/>
      <c r="F817" s="276"/>
      <c r="G817" s="276"/>
    </row>
    <row r="818" spans="1:7" x14ac:dyDescent="0.35">
      <c r="A818" s="276"/>
      <c r="B818" s="276"/>
      <c r="C818" s="276"/>
      <c r="D818" s="276"/>
      <c r="E818" s="276"/>
      <c r="F818" s="276"/>
      <c r="G818" s="276"/>
    </row>
    <row r="819" spans="1:7" x14ac:dyDescent="0.35">
      <c r="A819" s="276"/>
      <c r="B819" s="276"/>
      <c r="C819" s="276"/>
      <c r="D819" s="276"/>
      <c r="E819" s="276"/>
      <c r="F819" s="276"/>
      <c r="G819" s="276"/>
    </row>
    <row r="820" spans="1:7" x14ac:dyDescent="0.35">
      <c r="A820" s="276"/>
      <c r="B820" s="276"/>
      <c r="C820" s="276"/>
      <c r="D820" s="276"/>
      <c r="E820" s="276"/>
      <c r="F820" s="276"/>
      <c r="G820" s="276"/>
    </row>
    <row r="821" spans="1:7" x14ac:dyDescent="0.35">
      <c r="A821" s="276"/>
      <c r="B821" s="276"/>
      <c r="C821" s="276"/>
      <c r="D821" s="276"/>
      <c r="E821" s="276"/>
      <c r="F821" s="276"/>
      <c r="G821" s="276"/>
    </row>
    <row r="822" spans="1:7" x14ac:dyDescent="0.35">
      <c r="A822" s="276"/>
      <c r="B822" s="276"/>
      <c r="C822" s="276"/>
      <c r="D822" s="276"/>
      <c r="E822" s="276"/>
      <c r="F822" s="276"/>
      <c r="G822" s="276"/>
    </row>
    <row r="823" spans="1:7" x14ac:dyDescent="0.35">
      <c r="A823" s="276"/>
      <c r="B823" s="276"/>
      <c r="C823" s="276"/>
      <c r="D823" s="276"/>
      <c r="E823" s="276"/>
      <c r="F823" s="276"/>
      <c r="G823" s="276"/>
    </row>
    <row r="824" spans="1:7" x14ac:dyDescent="0.35">
      <c r="A824" s="276"/>
      <c r="B824" s="276"/>
      <c r="C824" s="276"/>
      <c r="D824" s="276"/>
      <c r="E824" s="276"/>
      <c r="F824" s="276"/>
      <c r="G824" s="276"/>
    </row>
    <row r="825" spans="1:7" x14ac:dyDescent="0.35">
      <c r="A825" s="276"/>
      <c r="B825" s="276"/>
      <c r="C825" s="276"/>
      <c r="D825" s="276"/>
      <c r="E825" s="276"/>
      <c r="F825" s="276"/>
      <c r="G825" s="276"/>
    </row>
    <row r="826" spans="1:7" x14ac:dyDescent="0.35">
      <c r="A826" s="276"/>
      <c r="B826" s="276"/>
      <c r="C826" s="276"/>
      <c r="D826" s="276"/>
      <c r="E826" s="276"/>
      <c r="F826" s="276"/>
      <c r="G826" s="276"/>
    </row>
    <row r="827" spans="1:7" x14ac:dyDescent="0.35">
      <c r="A827" s="276"/>
      <c r="B827" s="276"/>
      <c r="C827" s="276"/>
      <c r="D827" s="276"/>
      <c r="E827" s="276"/>
      <c r="F827" s="276"/>
      <c r="G827" s="276"/>
    </row>
    <row r="828" spans="1:7" x14ac:dyDescent="0.35">
      <c r="A828" s="276"/>
      <c r="B828" s="276"/>
      <c r="C828" s="276"/>
      <c r="D828" s="276"/>
      <c r="E828" s="276"/>
      <c r="F828" s="276"/>
      <c r="G828" s="276"/>
    </row>
    <row r="829" spans="1:7" x14ac:dyDescent="0.35">
      <c r="A829" s="276"/>
      <c r="B829" s="276"/>
      <c r="C829" s="276"/>
      <c r="D829" s="276"/>
      <c r="E829" s="276"/>
      <c r="F829" s="276"/>
      <c r="G829" s="276"/>
    </row>
    <row r="830" spans="1:7" x14ac:dyDescent="0.35">
      <c r="A830" s="276"/>
      <c r="B830" s="276"/>
      <c r="C830" s="276"/>
      <c r="D830" s="276"/>
      <c r="E830" s="276"/>
      <c r="F830" s="276"/>
      <c r="G830" s="276"/>
    </row>
    <row r="831" spans="1:7" x14ac:dyDescent="0.35">
      <c r="A831" s="276"/>
      <c r="B831" s="276"/>
      <c r="C831" s="276"/>
      <c r="D831" s="276"/>
      <c r="E831" s="276"/>
      <c r="F831" s="276"/>
      <c r="G831" s="276"/>
    </row>
    <row r="832" spans="1:7" x14ac:dyDescent="0.35">
      <c r="A832" s="276"/>
      <c r="B832" s="276"/>
      <c r="C832" s="276"/>
      <c r="D832" s="276"/>
      <c r="E832" s="276"/>
      <c r="F832" s="276"/>
      <c r="G832" s="276"/>
    </row>
    <row r="833" spans="1:7" x14ac:dyDescent="0.35">
      <c r="A833" s="276"/>
      <c r="B833" s="276"/>
      <c r="C833" s="276"/>
      <c r="D833" s="276"/>
      <c r="E833" s="276"/>
      <c r="F833" s="276"/>
      <c r="G833" s="276"/>
    </row>
    <row r="834" spans="1:7" x14ac:dyDescent="0.35">
      <c r="A834" s="276"/>
      <c r="B834" s="276"/>
      <c r="C834" s="276"/>
      <c r="D834" s="276"/>
      <c r="E834" s="276"/>
      <c r="F834" s="276"/>
      <c r="G834" s="276"/>
    </row>
    <row r="835" spans="1:7" x14ac:dyDescent="0.35">
      <c r="A835" s="276"/>
      <c r="B835" s="276"/>
      <c r="C835" s="276"/>
      <c r="D835" s="276"/>
      <c r="E835" s="276"/>
      <c r="F835" s="276"/>
      <c r="G835" s="276"/>
    </row>
    <row r="836" spans="1:7" x14ac:dyDescent="0.35">
      <c r="A836" s="276"/>
      <c r="B836" s="276"/>
      <c r="C836" s="276"/>
      <c r="D836" s="276"/>
      <c r="E836" s="276"/>
      <c r="F836" s="276"/>
      <c r="G836" s="276"/>
    </row>
    <row r="837" spans="1:7" x14ac:dyDescent="0.35">
      <c r="A837" s="276"/>
      <c r="B837" s="276"/>
      <c r="C837" s="276"/>
      <c r="D837" s="276"/>
      <c r="E837" s="276"/>
      <c r="F837" s="276"/>
      <c r="G837" s="276"/>
    </row>
    <row r="838" spans="1:7" x14ac:dyDescent="0.35">
      <c r="A838" s="276"/>
      <c r="B838" s="276"/>
      <c r="C838" s="276"/>
      <c r="D838" s="276"/>
      <c r="E838" s="276"/>
      <c r="F838" s="276"/>
      <c r="G838" s="276"/>
    </row>
    <row r="839" spans="1:7" x14ac:dyDescent="0.35">
      <c r="A839" s="276"/>
      <c r="B839" s="276"/>
      <c r="C839" s="276"/>
      <c r="D839" s="276"/>
      <c r="E839" s="276"/>
      <c r="F839" s="276"/>
      <c r="G839" s="276"/>
    </row>
    <row r="840" spans="1:7" x14ac:dyDescent="0.35">
      <c r="A840" s="276"/>
      <c r="B840" s="276"/>
      <c r="C840" s="276"/>
      <c r="D840" s="276"/>
      <c r="E840" s="276"/>
      <c r="F840" s="276"/>
      <c r="G840" s="276"/>
    </row>
    <row r="841" spans="1:7" x14ac:dyDescent="0.35">
      <c r="A841" s="276"/>
      <c r="B841" s="276"/>
      <c r="C841" s="276"/>
      <c r="D841" s="276"/>
      <c r="E841" s="276"/>
      <c r="F841" s="276"/>
      <c r="G841" s="276"/>
    </row>
    <row r="842" spans="1:7" x14ac:dyDescent="0.35">
      <c r="A842" s="276"/>
      <c r="B842" s="276"/>
      <c r="C842" s="276"/>
      <c r="D842" s="276"/>
      <c r="E842" s="276"/>
      <c r="F842" s="276"/>
      <c r="G842" s="276"/>
    </row>
    <row r="843" spans="1:7" x14ac:dyDescent="0.35">
      <c r="A843" s="276"/>
      <c r="B843" s="276"/>
      <c r="C843" s="276"/>
      <c r="D843" s="276"/>
      <c r="E843" s="276"/>
      <c r="F843" s="276"/>
      <c r="G843" s="276"/>
    </row>
    <row r="844" spans="1:7" x14ac:dyDescent="0.35">
      <c r="A844" s="276"/>
      <c r="B844" s="276"/>
      <c r="C844" s="276"/>
      <c r="D844" s="276"/>
      <c r="E844" s="276"/>
      <c r="F844" s="276"/>
      <c r="G844" s="276"/>
    </row>
    <row r="845" spans="1:7" x14ac:dyDescent="0.35">
      <c r="A845" s="276"/>
      <c r="B845" s="276"/>
      <c r="C845" s="276"/>
      <c r="D845" s="276"/>
      <c r="E845" s="276"/>
      <c r="F845" s="276"/>
      <c r="G845" s="276"/>
    </row>
    <row r="846" spans="1:7" x14ac:dyDescent="0.35">
      <c r="A846" s="276"/>
      <c r="B846" s="276"/>
      <c r="C846" s="276"/>
      <c r="D846" s="276"/>
      <c r="E846" s="276"/>
      <c r="F846" s="276"/>
      <c r="G846" s="276"/>
    </row>
    <row r="847" spans="1:7" x14ac:dyDescent="0.35">
      <c r="A847" s="276"/>
      <c r="B847" s="276"/>
      <c r="C847" s="276"/>
      <c r="D847" s="276"/>
      <c r="E847" s="276"/>
      <c r="F847" s="276"/>
      <c r="G847" s="276"/>
    </row>
    <row r="848" spans="1:7" x14ac:dyDescent="0.35">
      <c r="A848" s="276"/>
      <c r="B848" s="276"/>
      <c r="C848" s="276"/>
      <c r="D848" s="276"/>
      <c r="E848" s="276"/>
      <c r="F848" s="276"/>
      <c r="G848" s="276"/>
    </row>
    <row r="849" spans="1:7" x14ac:dyDescent="0.35">
      <c r="A849" s="276"/>
      <c r="B849" s="276"/>
      <c r="C849" s="276"/>
      <c r="D849" s="276"/>
      <c r="E849" s="276"/>
      <c r="F849" s="276"/>
      <c r="G849" s="276"/>
    </row>
    <row r="850" spans="1:7" x14ac:dyDescent="0.35">
      <c r="A850" s="276"/>
      <c r="B850" s="276"/>
      <c r="C850" s="276"/>
      <c r="D850" s="276"/>
      <c r="E850" s="276"/>
      <c r="F850" s="276"/>
      <c r="G850" s="276"/>
    </row>
    <row r="851" spans="1:7" x14ac:dyDescent="0.35">
      <c r="A851" s="276"/>
      <c r="B851" s="276"/>
      <c r="C851" s="276"/>
      <c r="D851" s="276"/>
      <c r="E851" s="276"/>
      <c r="F851" s="276"/>
      <c r="G851" s="276"/>
    </row>
    <row r="852" spans="1:7" x14ac:dyDescent="0.35">
      <c r="A852" s="276"/>
      <c r="B852" s="276"/>
      <c r="C852" s="276"/>
      <c r="D852" s="276"/>
      <c r="E852" s="276"/>
      <c r="F852" s="276"/>
      <c r="G852" s="276"/>
    </row>
    <row r="853" spans="1:7" x14ac:dyDescent="0.35">
      <c r="A853" s="276"/>
      <c r="B853" s="276"/>
      <c r="C853" s="276"/>
      <c r="D853" s="276"/>
      <c r="E853" s="276"/>
      <c r="F853" s="276"/>
      <c r="G853" s="276"/>
    </row>
    <row r="854" spans="1:7" x14ac:dyDescent="0.35">
      <c r="A854" s="276"/>
      <c r="B854" s="276"/>
      <c r="C854" s="276"/>
      <c r="D854" s="276"/>
      <c r="E854" s="276"/>
      <c r="F854" s="276"/>
      <c r="G854" s="276"/>
    </row>
    <row r="855" spans="1:7" x14ac:dyDescent="0.35">
      <c r="A855" s="276"/>
      <c r="B855" s="276"/>
      <c r="C855" s="276"/>
      <c r="D855" s="276"/>
      <c r="E855" s="276"/>
      <c r="F855" s="276"/>
      <c r="G855" s="276"/>
    </row>
    <row r="856" spans="1:7" x14ac:dyDescent="0.35">
      <c r="A856" s="276"/>
      <c r="B856" s="276"/>
      <c r="C856" s="276"/>
      <c r="D856" s="276"/>
      <c r="E856" s="276"/>
      <c r="F856" s="276"/>
      <c r="G856" s="276"/>
    </row>
    <row r="857" spans="1:7" x14ac:dyDescent="0.35">
      <c r="A857" s="276"/>
      <c r="B857" s="276"/>
      <c r="C857" s="276"/>
      <c r="D857" s="276"/>
      <c r="E857" s="276"/>
      <c r="F857" s="276"/>
      <c r="G857" s="276"/>
    </row>
    <row r="858" spans="1:7" x14ac:dyDescent="0.35">
      <c r="A858" s="276"/>
      <c r="B858" s="276"/>
      <c r="C858" s="276"/>
      <c r="D858" s="276"/>
      <c r="E858" s="276"/>
      <c r="F858" s="276"/>
      <c r="G858" s="276"/>
    </row>
    <row r="859" spans="1:7" x14ac:dyDescent="0.35">
      <c r="A859" s="276"/>
      <c r="B859" s="276"/>
      <c r="C859" s="276"/>
      <c r="D859" s="276"/>
      <c r="E859" s="276"/>
      <c r="F859" s="276"/>
      <c r="G859" s="276"/>
    </row>
    <row r="860" spans="1:7" x14ac:dyDescent="0.35">
      <c r="A860" s="276"/>
      <c r="B860" s="276"/>
      <c r="C860" s="276"/>
      <c r="D860" s="276"/>
      <c r="E860" s="276"/>
      <c r="F860" s="276"/>
      <c r="G860" s="276"/>
    </row>
    <row r="861" spans="1:7" x14ac:dyDescent="0.35">
      <c r="A861" s="276"/>
      <c r="B861" s="276"/>
      <c r="C861" s="276"/>
      <c r="D861" s="276"/>
      <c r="E861" s="276"/>
      <c r="F861" s="276"/>
      <c r="G861" s="276"/>
    </row>
    <row r="862" spans="1:7" x14ac:dyDescent="0.35">
      <c r="A862" s="276"/>
      <c r="B862" s="276"/>
      <c r="C862" s="276"/>
      <c r="D862" s="276"/>
      <c r="E862" s="276"/>
      <c r="F862" s="276"/>
      <c r="G862" s="276"/>
    </row>
    <row r="863" spans="1:7" x14ac:dyDescent="0.35">
      <c r="A863" s="276"/>
      <c r="B863" s="276"/>
      <c r="C863" s="276"/>
      <c r="D863" s="276"/>
      <c r="E863" s="276"/>
      <c r="F863" s="276"/>
      <c r="G863" s="276"/>
    </row>
    <row r="864" spans="1:7" x14ac:dyDescent="0.35">
      <c r="A864" s="276"/>
      <c r="B864" s="276"/>
      <c r="C864" s="276"/>
      <c r="D864" s="276"/>
      <c r="E864" s="276"/>
      <c r="F864" s="276"/>
      <c r="G864" s="276"/>
    </row>
    <row r="865" spans="1:7" x14ac:dyDescent="0.35">
      <c r="A865" s="276"/>
      <c r="B865" s="276"/>
      <c r="C865" s="276"/>
      <c r="D865" s="276"/>
      <c r="E865" s="276"/>
      <c r="F865" s="276"/>
      <c r="G865" s="276"/>
    </row>
    <row r="866" spans="1:7" x14ac:dyDescent="0.35">
      <c r="A866" s="276"/>
      <c r="B866" s="276"/>
      <c r="C866" s="276"/>
      <c r="D866" s="276"/>
      <c r="E866" s="276"/>
      <c r="F866" s="276"/>
      <c r="G866" s="276"/>
    </row>
    <row r="867" spans="1:7" x14ac:dyDescent="0.35">
      <c r="A867" s="276"/>
      <c r="B867" s="276"/>
      <c r="C867" s="276"/>
      <c r="D867" s="276"/>
      <c r="E867" s="276"/>
      <c r="F867" s="276"/>
      <c r="G867" s="276"/>
    </row>
    <row r="868" spans="1:7" x14ac:dyDescent="0.35">
      <c r="A868" s="276"/>
      <c r="B868" s="276"/>
      <c r="C868" s="276"/>
      <c r="D868" s="276"/>
      <c r="E868" s="276"/>
      <c r="F868" s="276"/>
      <c r="G868" s="276"/>
    </row>
    <row r="869" spans="1:7" x14ac:dyDescent="0.35">
      <c r="A869" s="276"/>
      <c r="B869" s="276"/>
      <c r="C869" s="276"/>
      <c r="D869" s="276"/>
      <c r="E869" s="276"/>
      <c r="F869" s="276"/>
      <c r="G869" s="276"/>
    </row>
    <row r="870" spans="1:7" x14ac:dyDescent="0.35">
      <c r="A870" s="276"/>
      <c r="B870" s="276"/>
      <c r="C870" s="276"/>
      <c r="D870" s="276"/>
      <c r="E870" s="276"/>
      <c r="F870" s="276"/>
      <c r="G870" s="276"/>
    </row>
    <row r="871" spans="1:7" x14ac:dyDescent="0.35">
      <c r="A871" s="276"/>
      <c r="B871" s="276"/>
      <c r="C871" s="276"/>
      <c r="D871" s="276"/>
      <c r="E871" s="276"/>
      <c r="F871" s="276"/>
      <c r="G871" s="276"/>
    </row>
    <row r="872" spans="1:7" x14ac:dyDescent="0.35">
      <c r="A872" s="276"/>
      <c r="B872" s="276"/>
      <c r="C872" s="276"/>
      <c r="D872" s="276"/>
      <c r="E872" s="276"/>
      <c r="F872" s="276"/>
      <c r="G872" s="276"/>
    </row>
    <row r="873" spans="1:7" x14ac:dyDescent="0.35">
      <c r="A873" s="276"/>
      <c r="B873" s="276"/>
      <c r="C873" s="276"/>
      <c r="D873" s="276"/>
      <c r="E873" s="276"/>
      <c r="F873" s="276"/>
      <c r="G873" s="276"/>
    </row>
    <row r="874" spans="1:7" x14ac:dyDescent="0.35">
      <c r="A874" s="276"/>
      <c r="B874" s="276"/>
      <c r="C874" s="276"/>
      <c r="D874" s="276"/>
      <c r="E874" s="276"/>
      <c r="F874" s="276"/>
      <c r="G874" s="276"/>
    </row>
    <row r="875" spans="1:7" x14ac:dyDescent="0.35">
      <c r="A875" s="276"/>
      <c r="B875" s="276"/>
      <c r="C875" s="276"/>
      <c r="D875" s="276"/>
      <c r="E875" s="276"/>
      <c r="F875" s="276"/>
      <c r="G875" s="276"/>
    </row>
    <row r="876" spans="1:7" x14ac:dyDescent="0.35">
      <c r="A876" s="276"/>
      <c r="B876" s="276"/>
      <c r="C876" s="276"/>
      <c r="D876" s="276"/>
      <c r="E876" s="276"/>
      <c r="F876" s="276"/>
      <c r="G876" s="276"/>
    </row>
    <row r="877" spans="1:7" x14ac:dyDescent="0.35">
      <c r="A877" s="276"/>
      <c r="B877" s="276"/>
      <c r="C877" s="276"/>
      <c r="D877" s="276"/>
      <c r="E877" s="276"/>
      <c r="F877" s="276"/>
      <c r="G877" s="276"/>
    </row>
    <row r="878" spans="1:7" x14ac:dyDescent="0.35">
      <c r="A878" s="276"/>
      <c r="B878" s="276"/>
      <c r="C878" s="276"/>
      <c r="D878" s="276"/>
      <c r="E878" s="276"/>
      <c r="F878" s="276"/>
      <c r="G878" s="276"/>
    </row>
    <row r="879" spans="1:7" x14ac:dyDescent="0.35">
      <c r="A879" s="276"/>
      <c r="B879" s="276"/>
      <c r="C879" s="276"/>
      <c r="D879" s="276"/>
      <c r="E879" s="276"/>
      <c r="F879" s="276"/>
      <c r="G879" s="276"/>
    </row>
    <row r="880" spans="1:7" x14ac:dyDescent="0.35">
      <c r="A880" s="276"/>
      <c r="B880" s="276"/>
      <c r="C880" s="276"/>
      <c r="D880" s="276"/>
      <c r="E880" s="276"/>
      <c r="F880" s="276"/>
      <c r="G880" s="276"/>
    </row>
    <row r="881" spans="1:7" x14ac:dyDescent="0.35">
      <c r="A881" s="276"/>
      <c r="B881" s="276"/>
      <c r="C881" s="276"/>
      <c r="D881" s="276"/>
      <c r="E881" s="276"/>
      <c r="F881" s="276"/>
      <c r="G881" s="276"/>
    </row>
    <row r="882" spans="1:7" x14ac:dyDescent="0.35">
      <c r="A882" s="276"/>
      <c r="B882" s="276"/>
      <c r="C882" s="276"/>
      <c r="D882" s="276"/>
      <c r="E882" s="276"/>
      <c r="F882" s="276"/>
      <c r="G882" s="276"/>
    </row>
    <row r="883" spans="1:7" x14ac:dyDescent="0.35">
      <c r="A883" s="276"/>
      <c r="B883" s="276"/>
      <c r="C883" s="276"/>
      <c r="D883" s="276"/>
      <c r="E883" s="276"/>
      <c r="F883" s="276"/>
      <c r="G883" s="276"/>
    </row>
    <row r="884" spans="1:7" x14ac:dyDescent="0.35">
      <c r="A884" s="276"/>
      <c r="B884" s="276"/>
      <c r="C884" s="276"/>
      <c r="D884" s="276"/>
      <c r="E884" s="276"/>
      <c r="F884" s="276"/>
      <c r="G884" s="276"/>
    </row>
    <row r="885" spans="1:7" x14ac:dyDescent="0.35">
      <c r="A885" s="276"/>
      <c r="B885" s="276"/>
      <c r="C885" s="276"/>
      <c r="D885" s="276"/>
      <c r="E885" s="276"/>
      <c r="F885" s="276"/>
      <c r="G885" s="276"/>
    </row>
    <row r="886" spans="1:7" x14ac:dyDescent="0.35">
      <c r="A886" s="276"/>
      <c r="B886" s="276"/>
      <c r="C886" s="276"/>
      <c r="D886" s="276"/>
      <c r="E886" s="276"/>
      <c r="F886" s="276"/>
      <c r="G886" s="276"/>
    </row>
    <row r="887" spans="1:7" x14ac:dyDescent="0.35">
      <c r="A887" s="276"/>
      <c r="B887" s="276"/>
      <c r="C887" s="276"/>
      <c r="D887" s="276"/>
      <c r="E887" s="276"/>
      <c r="F887" s="276"/>
      <c r="G887" s="276"/>
    </row>
    <row r="888" spans="1:7" x14ac:dyDescent="0.35">
      <c r="A888" s="276"/>
      <c r="B888" s="276"/>
      <c r="C888" s="276"/>
      <c r="D888" s="276"/>
      <c r="E888" s="276"/>
      <c r="F888" s="276"/>
      <c r="G888" s="276"/>
    </row>
    <row r="889" spans="1:7" x14ac:dyDescent="0.35">
      <c r="A889" s="276"/>
      <c r="B889" s="276"/>
      <c r="C889" s="276"/>
      <c r="D889" s="276"/>
      <c r="E889" s="276"/>
      <c r="F889" s="276"/>
      <c r="G889" s="276"/>
    </row>
    <row r="890" spans="1:7" x14ac:dyDescent="0.35">
      <c r="A890" s="276"/>
      <c r="B890" s="276"/>
      <c r="C890" s="276"/>
      <c r="D890" s="276"/>
      <c r="E890" s="276"/>
      <c r="F890" s="276"/>
      <c r="G890" s="276"/>
    </row>
    <row r="891" spans="1:7" x14ac:dyDescent="0.35">
      <c r="A891" s="276"/>
      <c r="B891" s="276"/>
      <c r="C891" s="276"/>
      <c r="D891" s="276"/>
      <c r="E891" s="276"/>
      <c r="F891" s="276"/>
      <c r="G891" s="276"/>
    </row>
    <row r="892" spans="1:7" x14ac:dyDescent="0.35">
      <c r="A892" s="276"/>
      <c r="B892" s="276"/>
      <c r="C892" s="276"/>
      <c r="D892" s="276"/>
      <c r="E892" s="276"/>
      <c r="F892" s="276"/>
      <c r="G892" s="276"/>
    </row>
    <row r="893" spans="1:7" x14ac:dyDescent="0.35">
      <c r="A893" s="276"/>
      <c r="B893" s="276"/>
      <c r="C893" s="276"/>
      <c r="D893" s="276"/>
      <c r="E893" s="276"/>
      <c r="F893" s="276"/>
      <c r="G893" s="276"/>
    </row>
    <row r="894" spans="1:7" x14ac:dyDescent="0.35">
      <c r="A894" s="276"/>
      <c r="B894" s="276"/>
      <c r="C894" s="276"/>
      <c r="D894" s="276"/>
      <c r="E894" s="276"/>
      <c r="F894" s="276"/>
      <c r="G894" s="276"/>
    </row>
    <row r="895" spans="1:7" x14ac:dyDescent="0.35">
      <c r="A895" s="276"/>
      <c r="B895" s="276"/>
      <c r="C895" s="276"/>
      <c r="D895" s="276"/>
      <c r="E895" s="276"/>
      <c r="F895" s="276"/>
      <c r="G895" s="276"/>
    </row>
    <row r="896" spans="1:7" x14ac:dyDescent="0.35">
      <c r="A896" s="276"/>
      <c r="B896" s="276"/>
      <c r="C896" s="276"/>
      <c r="D896" s="276"/>
      <c r="E896" s="276"/>
      <c r="F896" s="276"/>
      <c r="G896" s="276"/>
    </row>
    <row r="897" spans="1:7" x14ac:dyDescent="0.35">
      <c r="A897" s="276"/>
      <c r="B897" s="276"/>
      <c r="C897" s="276"/>
      <c r="D897" s="276"/>
      <c r="E897" s="276"/>
      <c r="F897" s="276"/>
      <c r="G897" s="276"/>
    </row>
    <row r="898" spans="1:7" x14ac:dyDescent="0.35">
      <c r="A898" s="276"/>
      <c r="B898" s="276"/>
      <c r="C898" s="276"/>
      <c r="D898" s="276"/>
      <c r="E898" s="276"/>
      <c r="F898" s="276"/>
      <c r="G898" s="276"/>
    </row>
    <row r="899" spans="1:7" x14ac:dyDescent="0.35">
      <c r="A899" s="276"/>
      <c r="B899" s="276"/>
      <c r="C899" s="276"/>
      <c r="D899" s="276"/>
      <c r="E899" s="276"/>
      <c r="F899" s="276"/>
      <c r="G899" s="276"/>
    </row>
    <row r="900" spans="1:7" x14ac:dyDescent="0.35">
      <c r="A900" s="276"/>
      <c r="B900" s="276"/>
      <c r="C900" s="276"/>
      <c r="D900" s="276"/>
      <c r="E900" s="276"/>
      <c r="F900" s="276"/>
      <c r="G900" s="276"/>
    </row>
    <row r="901" spans="1:7" x14ac:dyDescent="0.35">
      <c r="A901" s="276"/>
      <c r="B901" s="276"/>
      <c r="C901" s="276"/>
      <c r="D901" s="276"/>
      <c r="E901" s="276"/>
      <c r="F901" s="276"/>
      <c r="G901" s="276"/>
    </row>
    <row r="902" spans="1:7" x14ac:dyDescent="0.35">
      <c r="A902" s="276"/>
      <c r="B902" s="276"/>
      <c r="C902" s="276"/>
      <c r="D902" s="276"/>
      <c r="E902" s="276"/>
      <c r="F902" s="276"/>
      <c r="G902" s="276"/>
    </row>
    <row r="903" spans="1:7" x14ac:dyDescent="0.35">
      <c r="A903" s="276"/>
      <c r="B903" s="276"/>
      <c r="C903" s="276"/>
      <c r="D903" s="276"/>
      <c r="E903" s="276"/>
      <c r="F903" s="276"/>
      <c r="G903" s="276"/>
    </row>
    <row r="904" spans="1:7" x14ac:dyDescent="0.35">
      <c r="A904" s="276"/>
      <c r="B904" s="276"/>
      <c r="C904" s="276"/>
      <c r="D904" s="276"/>
      <c r="E904" s="276"/>
      <c r="F904" s="276"/>
      <c r="G904" s="276"/>
    </row>
    <row r="905" spans="1:7" x14ac:dyDescent="0.35">
      <c r="A905" s="276"/>
      <c r="B905" s="276"/>
      <c r="C905" s="276"/>
      <c r="D905" s="276"/>
      <c r="E905" s="276"/>
      <c r="F905" s="276"/>
      <c r="G905" s="276"/>
    </row>
    <row r="906" spans="1:7" x14ac:dyDescent="0.35">
      <c r="A906" s="276"/>
      <c r="B906" s="276"/>
      <c r="C906" s="276"/>
      <c r="D906" s="276"/>
      <c r="E906" s="276"/>
      <c r="F906" s="276"/>
      <c r="G906" s="276"/>
    </row>
    <row r="907" spans="1:7" x14ac:dyDescent="0.35">
      <c r="A907" s="276"/>
      <c r="B907" s="276"/>
      <c r="C907" s="276"/>
      <c r="D907" s="276"/>
      <c r="E907" s="276"/>
      <c r="F907" s="276"/>
      <c r="G907" s="276"/>
    </row>
    <row r="908" spans="1:7" x14ac:dyDescent="0.35">
      <c r="A908" s="276"/>
      <c r="B908" s="276"/>
      <c r="C908" s="276"/>
      <c r="D908" s="276"/>
      <c r="E908" s="276"/>
      <c r="F908" s="276"/>
      <c r="G908" s="276"/>
    </row>
    <row r="909" spans="1:7" x14ac:dyDescent="0.35">
      <c r="A909" s="276"/>
      <c r="B909" s="276"/>
      <c r="C909" s="276"/>
      <c r="D909" s="276"/>
      <c r="E909" s="276"/>
      <c r="F909" s="276"/>
      <c r="G909" s="276"/>
    </row>
    <row r="910" spans="1:7" x14ac:dyDescent="0.35">
      <c r="A910" s="276"/>
      <c r="B910" s="276"/>
      <c r="C910" s="276"/>
      <c r="D910" s="276"/>
      <c r="E910" s="276"/>
      <c r="F910" s="276"/>
      <c r="G910" s="276"/>
    </row>
    <row r="911" spans="1:7" x14ac:dyDescent="0.35">
      <c r="A911" s="276"/>
      <c r="B911" s="276"/>
      <c r="C911" s="276"/>
      <c r="D911" s="276"/>
      <c r="E911" s="276"/>
      <c r="F911" s="276"/>
      <c r="G911" s="276"/>
    </row>
    <row r="912" spans="1:7" x14ac:dyDescent="0.35">
      <c r="A912" s="276"/>
      <c r="B912" s="276"/>
      <c r="C912" s="276"/>
      <c r="D912" s="276"/>
      <c r="E912" s="276"/>
      <c r="F912" s="276"/>
      <c r="G912" s="276"/>
    </row>
    <row r="913" spans="1:7" x14ac:dyDescent="0.35">
      <c r="A913" s="276"/>
      <c r="B913" s="276"/>
      <c r="C913" s="276"/>
      <c r="D913" s="276"/>
      <c r="E913" s="276"/>
      <c r="F913" s="276"/>
      <c r="G913" s="276"/>
    </row>
    <row r="914" spans="1:7" x14ac:dyDescent="0.35">
      <c r="A914" s="276"/>
      <c r="B914" s="276"/>
      <c r="C914" s="276"/>
      <c r="D914" s="276"/>
      <c r="E914" s="276"/>
      <c r="F914" s="276"/>
      <c r="G914" s="276"/>
    </row>
    <row r="915" spans="1:7" x14ac:dyDescent="0.35">
      <c r="A915" s="276"/>
      <c r="B915" s="276"/>
      <c r="C915" s="276"/>
      <c r="D915" s="276"/>
      <c r="E915" s="276"/>
      <c r="F915" s="276"/>
      <c r="G915" s="276"/>
    </row>
    <row r="916" spans="1:7" x14ac:dyDescent="0.35">
      <c r="A916" s="276"/>
      <c r="B916" s="276"/>
      <c r="C916" s="276"/>
      <c r="D916" s="276"/>
      <c r="E916" s="276"/>
      <c r="F916" s="276"/>
      <c r="G916" s="276"/>
    </row>
    <row r="917" spans="1:7" x14ac:dyDescent="0.35">
      <c r="A917" s="276"/>
      <c r="B917" s="276"/>
      <c r="C917" s="276"/>
      <c r="D917" s="276"/>
      <c r="E917" s="276"/>
      <c r="F917" s="276"/>
      <c r="G917" s="276"/>
    </row>
    <row r="918" spans="1:7" x14ac:dyDescent="0.35">
      <c r="A918" s="276"/>
      <c r="B918" s="276"/>
      <c r="C918" s="276"/>
      <c r="D918" s="276"/>
      <c r="E918" s="276"/>
      <c r="F918" s="276"/>
      <c r="G918" s="276"/>
    </row>
    <row r="919" spans="1:7" x14ac:dyDescent="0.35">
      <c r="A919" s="276"/>
      <c r="B919" s="276"/>
      <c r="C919" s="276"/>
      <c r="D919" s="276"/>
      <c r="E919" s="276"/>
      <c r="F919" s="276"/>
      <c r="G919" s="276"/>
    </row>
    <row r="920" spans="1:7" x14ac:dyDescent="0.35">
      <c r="A920" s="276"/>
      <c r="B920" s="276"/>
      <c r="C920" s="276"/>
      <c r="D920" s="276"/>
      <c r="E920" s="276"/>
      <c r="F920" s="276"/>
      <c r="G920" s="276"/>
    </row>
    <row r="921" spans="1:7" x14ac:dyDescent="0.35">
      <c r="A921" s="276"/>
      <c r="B921" s="276"/>
      <c r="C921" s="276"/>
      <c r="D921" s="276"/>
      <c r="E921" s="276"/>
      <c r="F921" s="276"/>
      <c r="G921" s="276"/>
    </row>
    <row r="922" spans="1:7" x14ac:dyDescent="0.35">
      <c r="A922" s="276"/>
      <c r="B922" s="276"/>
      <c r="C922" s="276"/>
      <c r="D922" s="276"/>
      <c r="E922" s="276"/>
      <c r="F922" s="276"/>
      <c r="G922" s="276"/>
    </row>
    <row r="923" spans="1:7" x14ac:dyDescent="0.35">
      <c r="A923" s="276"/>
      <c r="B923" s="276"/>
      <c r="C923" s="276"/>
      <c r="D923" s="276"/>
      <c r="E923" s="276"/>
      <c r="F923" s="276"/>
      <c r="G923" s="276"/>
    </row>
    <row r="924" spans="1:7" x14ac:dyDescent="0.35">
      <c r="A924" s="276"/>
      <c r="B924" s="276"/>
      <c r="C924" s="276"/>
      <c r="D924" s="276"/>
      <c r="E924" s="276"/>
      <c r="F924" s="276"/>
      <c r="G924" s="276"/>
    </row>
    <row r="925" spans="1:7" x14ac:dyDescent="0.35">
      <c r="A925" s="276"/>
      <c r="B925" s="276"/>
      <c r="C925" s="276"/>
      <c r="D925" s="276"/>
      <c r="E925" s="276"/>
      <c r="F925" s="276"/>
      <c r="G925" s="276"/>
    </row>
    <row r="926" spans="1:7" x14ac:dyDescent="0.35">
      <c r="A926" s="276"/>
      <c r="B926" s="276"/>
      <c r="C926" s="276"/>
      <c r="D926" s="276"/>
      <c r="E926" s="276"/>
      <c r="F926" s="276"/>
      <c r="G926" s="276"/>
    </row>
    <row r="927" spans="1:7" x14ac:dyDescent="0.35">
      <c r="A927" s="276"/>
      <c r="B927" s="276"/>
      <c r="C927" s="276"/>
      <c r="D927" s="276"/>
      <c r="E927" s="276"/>
      <c r="F927" s="276"/>
      <c r="G927" s="276"/>
    </row>
    <row r="928" spans="1:7" x14ac:dyDescent="0.35">
      <c r="A928" s="276"/>
      <c r="B928" s="276"/>
      <c r="C928" s="276"/>
      <c r="D928" s="276"/>
      <c r="E928" s="276"/>
      <c r="F928" s="276"/>
      <c r="G928" s="276"/>
    </row>
    <row r="929" spans="1:7" x14ac:dyDescent="0.35">
      <c r="A929" s="276"/>
      <c r="B929" s="276"/>
      <c r="C929" s="276"/>
      <c r="D929" s="276"/>
      <c r="E929" s="276"/>
      <c r="F929" s="276"/>
      <c r="G929" s="276"/>
    </row>
    <row r="930" spans="1:7" x14ac:dyDescent="0.35">
      <c r="A930" s="276"/>
      <c r="B930" s="276"/>
      <c r="C930" s="276"/>
      <c r="D930" s="276"/>
      <c r="E930" s="276"/>
      <c r="F930" s="276"/>
      <c r="G930" s="276"/>
    </row>
    <row r="931" spans="1:7" x14ac:dyDescent="0.35">
      <c r="A931" s="276"/>
      <c r="B931" s="276"/>
      <c r="C931" s="276"/>
      <c r="D931" s="276"/>
      <c r="E931" s="276"/>
      <c r="F931" s="276"/>
      <c r="G931" s="276"/>
    </row>
    <row r="932" spans="1:7" x14ac:dyDescent="0.35">
      <c r="A932" s="276"/>
      <c r="B932" s="276"/>
      <c r="C932" s="276"/>
      <c r="D932" s="276"/>
      <c r="E932" s="276"/>
      <c r="F932" s="276"/>
      <c r="G932" s="276"/>
    </row>
    <row r="933" spans="1:7" x14ac:dyDescent="0.35">
      <c r="A933" s="276"/>
      <c r="B933" s="276"/>
      <c r="C933" s="276"/>
      <c r="D933" s="276"/>
      <c r="E933" s="276"/>
      <c r="F933" s="276"/>
      <c r="G933" s="276"/>
    </row>
    <row r="934" spans="1:7" x14ac:dyDescent="0.35">
      <c r="A934" s="276"/>
      <c r="B934" s="276"/>
      <c r="C934" s="276"/>
      <c r="D934" s="276"/>
      <c r="E934" s="276"/>
      <c r="F934" s="276"/>
      <c r="G934" s="276"/>
    </row>
    <row r="935" spans="1:7" x14ac:dyDescent="0.35">
      <c r="A935" s="276"/>
      <c r="B935" s="276"/>
      <c r="C935" s="276"/>
      <c r="D935" s="276"/>
      <c r="E935" s="276"/>
      <c r="F935" s="276"/>
      <c r="G935" s="276"/>
    </row>
    <row r="936" spans="1:7" x14ac:dyDescent="0.35">
      <c r="A936" s="276"/>
      <c r="B936" s="276"/>
      <c r="C936" s="276"/>
      <c r="D936" s="276"/>
      <c r="E936" s="276"/>
      <c r="F936" s="276"/>
      <c r="G936" s="276"/>
    </row>
    <row r="937" spans="1:7" x14ac:dyDescent="0.35">
      <c r="A937" s="276"/>
      <c r="B937" s="276"/>
      <c r="C937" s="276"/>
      <c r="D937" s="276"/>
      <c r="E937" s="276"/>
      <c r="F937" s="276"/>
      <c r="G937" s="276"/>
    </row>
    <row r="938" spans="1:7" x14ac:dyDescent="0.35">
      <c r="A938" s="276"/>
      <c r="B938" s="276"/>
      <c r="C938" s="276"/>
      <c r="D938" s="276"/>
      <c r="E938" s="276"/>
      <c r="F938" s="276"/>
      <c r="G938" s="276"/>
    </row>
    <row r="939" spans="1:7" x14ac:dyDescent="0.35">
      <c r="A939" s="276"/>
      <c r="B939" s="276"/>
      <c r="C939" s="276"/>
      <c r="D939" s="276"/>
      <c r="E939" s="276"/>
      <c r="F939" s="276"/>
      <c r="G939" s="276"/>
    </row>
    <row r="940" spans="1:7" x14ac:dyDescent="0.35">
      <c r="A940" s="276"/>
      <c r="B940" s="276"/>
      <c r="C940" s="276"/>
      <c r="D940" s="276"/>
      <c r="E940" s="276"/>
      <c r="F940" s="276"/>
      <c r="G940" s="276"/>
    </row>
    <row r="941" spans="1:7" x14ac:dyDescent="0.35">
      <c r="A941" s="276"/>
      <c r="B941" s="276"/>
      <c r="C941" s="276"/>
      <c r="D941" s="276"/>
      <c r="E941" s="276"/>
      <c r="F941" s="276"/>
      <c r="G941" s="276"/>
    </row>
    <row r="942" spans="1:7" x14ac:dyDescent="0.35">
      <c r="A942" s="276"/>
      <c r="B942" s="276"/>
      <c r="C942" s="276"/>
      <c r="D942" s="276"/>
      <c r="E942" s="276"/>
      <c r="F942" s="276"/>
      <c r="G942" s="276"/>
    </row>
    <row r="943" spans="1:7" x14ac:dyDescent="0.35">
      <c r="A943" s="276"/>
      <c r="B943" s="276"/>
      <c r="C943" s="276"/>
      <c r="D943" s="276"/>
      <c r="E943" s="276"/>
      <c r="F943" s="276"/>
      <c r="G943" s="276"/>
    </row>
    <row r="944" spans="1:7" x14ac:dyDescent="0.35">
      <c r="A944" s="276"/>
      <c r="B944" s="276"/>
      <c r="C944" s="276"/>
      <c r="D944" s="276"/>
      <c r="E944" s="276"/>
      <c r="F944" s="276"/>
      <c r="G944" s="276"/>
    </row>
    <row r="945" spans="1:7" x14ac:dyDescent="0.35">
      <c r="A945" s="276"/>
      <c r="B945" s="276"/>
      <c r="C945" s="276"/>
      <c r="D945" s="276"/>
      <c r="E945" s="276"/>
      <c r="F945" s="276"/>
      <c r="G945" s="276"/>
    </row>
    <row r="946" spans="1:7" x14ac:dyDescent="0.35">
      <c r="A946" s="276"/>
      <c r="B946" s="276"/>
      <c r="C946" s="276"/>
      <c r="D946" s="276"/>
      <c r="E946" s="276"/>
      <c r="F946" s="276"/>
      <c r="G946" s="276"/>
    </row>
    <row r="947" spans="1:7" x14ac:dyDescent="0.35">
      <c r="A947" s="276"/>
      <c r="B947" s="276"/>
      <c r="C947" s="276"/>
      <c r="D947" s="276"/>
      <c r="E947" s="276"/>
      <c r="F947" s="276"/>
      <c r="G947" s="276"/>
    </row>
    <row r="948" spans="1:7" x14ac:dyDescent="0.35">
      <c r="A948" s="276"/>
      <c r="B948" s="276"/>
      <c r="C948" s="276"/>
      <c r="D948" s="276"/>
      <c r="E948" s="276"/>
      <c r="F948" s="276"/>
      <c r="G948" s="276"/>
    </row>
    <row r="949" spans="1:7" x14ac:dyDescent="0.35">
      <c r="A949" s="276"/>
      <c r="B949" s="276"/>
      <c r="C949" s="276"/>
      <c r="D949" s="276"/>
      <c r="E949" s="276"/>
      <c r="F949" s="276"/>
      <c r="G949" s="276"/>
    </row>
    <row r="950" spans="1:7" x14ac:dyDescent="0.35">
      <c r="A950" s="276"/>
      <c r="B950" s="276"/>
      <c r="C950" s="276"/>
      <c r="D950" s="276"/>
      <c r="E950" s="276"/>
      <c r="F950" s="276"/>
      <c r="G950" s="276"/>
    </row>
    <row r="951" spans="1:7" x14ac:dyDescent="0.35">
      <c r="A951" s="276"/>
      <c r="B951" s="276"/>
      <c r="C951" s="276"/>
      <c r="D951" s="276"/>
      <c r="E951" s="276"/>
      <c r="F951" s="276"/>
      <c r="G951" s="276"/>
    </row>
    <row r="952" spans="1:7" x14ac:dyDescent="0.35">
      <c r="A952" s="276"/>
      <c r="B952" s="276"/>
      <c r="C952" s="276"/>
      <c r="D952" s="276"/>
      <c r="E952" s="276"/>
      <c r="F952" s="276"/>
      <c r="G952" s="276"/>
    </row>
    <row r="953" spans="1:7" x14ac:dyDescent="0.35">
      <c r="A953" s="276"/>
      <c r="B953" s="276"/>
      <c r="C953" s="276"/>
      <c r="D953" s="276"/>
      <c r="E953" s="276"/>
      <c r="F953" s="276"/>
      <c r="G953" s="276"/>
    </row>
    <row r="954" spans="1:7" x14ac:dyDescent="0.35">
      <c r="A954" s="276"/>
      <c r="B954" s="276"/>
      <c r="C954" s="276"/>
      <c r="D954" s="276"/>
      <c r="E954" s="276"/>
      <c r="F954" s="276"/>
      <c r="G954" s="276"/>
    </row>
    <row r="955" spans="1:7" x14ac:dyDescent="0.35">
      <c r="A955" s="276"/>
      <c r="B955" s="276"/>
      <c r="C955" s="276"/>
      <c r="D955" s="276"/>
      <c r="E955" s="276"/>
      <c r="F955" s="276"/>
      <c r="G955" s="276"/>
    </row>
    <row r="956" spans="1:7" x14ac:dyDescent="0.35">
      <c r="A956" s="276"/>
      <c r="B956" s="276"/>
      <c r="C956" s="276"/>
      <c r="D956" s="276"/>
      <c r="E956" s="276"/>
      <c r="F956" s="276"/>
      <c r="G956" s="276"/>
    </row>
    <row r="957" spans="1:7" x14ac:dyDescent="0.35">
      <c r="A957" s="276"/>
      <c r="B957" s="276"/>
      <c r="C957" s="276"/>
      <c r="D957" s="276"/>
      <c r="E957" s="276"/>
      <c r="F957" s="276"/>
      <c r="G957" s="276"/>
    </row>
    <row r="958" spans="1:7" x14ac:dyDescent="0.35">
      <c r="A958" s="276"/>
      <c r="B958" s="276"/>
      <c r="C958" s="276"/>
      <c r="D958" s="276"/>
      <c r="E958" s="276"/>
      <c r="F958" s="276"/>
      <c r="G958" s="276"/>
    </row>
    <row r="959" spans="1:7" x14ac:dyDescent="0.35">
      <c r="A959" s="276"/>
      <c r="B959" s="276"/>
      <c r="C959" s="276"/>
      <c r="D959" s="276"/>
      <c r="E959" s="276"/>
      <c r="F959" s="276"/>
      <c r="G959" s="276"/>
    </row>
    <row r="960" spans="1:7" x14ac:dyDescent="0.35">
      <c r="A960" s="276"/>
      <c r="B960" s="276"/>
      <c r="C960" s="276"/>
      <c r="D960" s="276"/>
      <c r="E960" s="276"/>
      <c r="F960" s="276"/>
      <c r="G960" s="276"/>
    </row>
    <row r="961" spans="1:7" x14ac:dyDescent="0.35">
      <c r="A961" s="276"/>
      <c r="B961" s="276"/>
      <c r="C961" s="276"/>
      <c r="D961" s="276"/>
      <c r="E961" s="276"/>
      <c r="F961" s="276"/>
      <c r="G961" s="276"/>
    </row>
    <row r="962" spans="1:7" x14ac:dyDescent="0.35">
      <c r="A962" s="276"/>
      <c r="B962" s="276"/>
      <c r="C962" s="276"/>
      <c r="D962" s="276"/>
      <c r="E962" s="276"/>
      <c r="F962" s="276"/>
      <c r="G962" s="276"/>
    </row>
    <row r="963" spans="1:7" x14ac:dyDescent="0.35">
      <c r="A963" s="276"/>
      <c r="B963" s="276"/>
      <c r="C963" s="276"/>
      <c r="D963" s="276"/>
      <c r="E963" s="276"/>
      <c r="F963" s="276"/>
      <c r="G963" s="276"/>
    </row>
    <row r="964" spans="1:7" x14ac:dyDescent="0.35">
      <c r="A964" s="276"/>
      <c r="B964" s="276"/>
      <c r="C964" s="276"/>
      <c r="D964" s="276"/>
      <c r="E964" s="276"/>
      <c r="F964" s="276"/>
      <c r="G964" s="276"/>
    </row>
    <row r="965" spans="1:7" x14ac:dyDescent="0.35">
      <c r="A965" s="276"/>
      <c r="B965" s="276"/>
      <c r="C965" s="276"/>
      <c r="D965" s="276"/>
      <c r="E965" s="276"/>
      <c r="F965" s="276"/>
      <c r="G965" s="276"/>
    </row>
    <row r="966" spans="1:7" x14ac:dyDescent="0.35">
      <c r="A966" s="276"/>
      <c r="B966" s="276"/>
      <c r="C966" s="276"/>
      <c r="D966" s="276"/>
      <c r="E966" s="276"/>
      <c r="F966" s="276"/>
      <c r="G966" s="276"/>
    </row>
    <row r="967" spans="1:7" x14ac:dyDescent="0.35">
      <c r="A967" s="276"/>
      <c r="B967" s="276"/>
      <c r="C967" s="276"/>
      <c r="D967" s="276"/>
      <c r="E967" s="276"/>
      <c r="F967" s="276"/>
      <c r="G967" s="276"/>
    </row>
    <row r="968" spans="1:7" x14ac:dyDescent="0.35">
      <c r="A968" s="276"/>
      <c r="B968" s="276"/>
      <c r="C968" s="276"/>
      <c r="D968" s="276"/>
      <c r="E968" s="276"/>
      <c r="F968" s="276"/>
      <c r="G968" s="276"/>
    </row>
    <row r="969" spans="1:7" x14ac:dyDescent="0.35">
      <c r="A969" s="276"/>
      <c r="B969" s="276"/>
      <c r="C969" s="276"/>
      <c r="D969" s="276"/>
      <c r="E969" s="276"/>
      <c r="F969" s="276"/>
      <c r="G969" s="276"/>
    </row>
    <row r="970" spans="1:7" x14ac:dyDescent="0.35">
      <c r="A970" s="276"/>
      <c r="B970" s="276"/>
      <c r="C970" s="276"/>
      <c r="D970" s="276"/>
      <c r="E970" s="276"/>
      <c r="F970" s="276"/>
      <c r="G970" s="276"/>
    </row>
    <row r="971" spans="1:7" x14ac:dyDescent="0.35">
      <c r="A971" s="276"/>
      <c r="B971" s="276"/>
      <c r="C971" s="276"/>
      <c r="D971" s="276"/>
      <c r="E971" s="276"/>
      <c r="F971" s="276"/>
      <c r="G971" s="276"/>
    </row>
    <row r="972" spans="1:7" x14ac:dyDescent="0.35">
      <c r="A972" s="276"/>
      <c r="B972" s="276"/>
      <c r="C972" s="276"/>
      <c r="D972" s="276"/>
      <c r="E972" s="276"/>
      <c r="F972" s="276"/>
      <c r="G972" s="276"/>
    </row>
    <row r="973" spans="1:7" x14ac:dyDescent="0.35">
      <c r="A973" s="276"/>
      <c r="B973" s="276"/>
      <c r="C973" s="276"/>
      <c r="D973" s="276"/>
      <c r="E973" s="276"/>
      <c r="F973" s="276"/>
      <c r="G973" s="276"/>
    </row>
    <row r="974" spans="1:7" x14ac:dyDescent="0.35">
      <c r="A974" s="276"/>
      <c r="B974" s="276"/>
      <c r="C974" s="276"/>
      <c r="D974" s="276"/>
      <c r="E974" s="276"/>
      <c r="F974" s="276"/>
      <c r="G974" s="276"/>
    </row>
    <row r="975" spans="1:7" x14ac:dyDescent="0.35">
      <c r="A975" s="276"/>
      <c r="B975" s="276"/>
      <c r="C975" s="276"/>
      <c r="D975" s="276"/>
      <c r="E975" s="276"/>
      <c r="F975" s="276"/>
      <c r="G975" s="276"/>
    </row>
    <row r="976" spans="1:7" x14ac:dyDescent="0.35">
      <c r="A976" s="276"/>
      <c r="B976" s="276"/>
      <c r="C976" s="276"/>
      <c r="D976" s="276"/>
      <c r="E976" s="276"/>
      <c r="F976" s="276"/>
      <c r="G976" s="276"/>
    </row>
    <row r="977" spans="1:7" x14ac:dyDescent="0.35">
      <c r="A977" s="276"/>
      <c r="B977" s="276"/>
      <c r="C977" s="276"/>
      <c r="D977" s="276"/>
      <c r="E977" s="276"/>
      <c r="F977" s="276"/>
      <c r="G977" s="276"/>
    </row>
    <row r="978" spans="1:7" x14ac:dyDescent="0.35">
      <c r="A978" s="276"/>
      <c r="B978" s="276"/>
      <c r="C978" s="276"/>
      <c r="D978" s="276"/>
      <c r="E978" s="276"/>
      <c r="F978" s="276"/>
      <c r="G978" s="276"/>
    </row>
    <row r="979" spans="1:7" x14ac:dyDescent="0.35">
      <c r="A979" s="276"/>
      <c r="B979" s="276"/>
      <c r="C979" s="276"/>
      <c r="D979" s="276"/>
      <c r="E979" s="276"/>
      <c r="F979" s="276"/>
      <c r="G979" s="276"/>
    </row>
    <row r="980" spans="1:7" x14ac:dyDescent="0.35">
      <c r="A980" s="276"/>
      <c r="B980" s="276"/>
      <c r="C980" s="276"/>
      <c r="D980" s="276"/>
      <c r="E980" s="276"/>
      <c r="F980" s="276"/>
      <c r="G980" s="276"/>
    </row>
    <row r="981" spans="1:7" x14ac:dyDescent="0.35">
      <c r="A981" s="276"/>
      <c r="B981" s="276"/>
      <c r="C981" s="276"/>
      <c r="D981" s="276"/>
      <c r="E981" s="276"/>
      <c r="F981" s="276"/>
      <c r="G981" s="276"/>
    </row>
    <row r="982" spans="1:7" x14ac:dyDescent="0.35">
      <c r="A982" s="276"/>
      <c r="B982" s="276"/>
      <c r="C982" s="276"/>
      <c r="D982" s="276"/>
      <c r="E982" s="276"/>
      <c r="F982" s="276"/>
      <c r="G982" s="276"/>
    </row>
    <row r="983" spans="1:7" x14ac:dyDescent="0.35">
      <c r="A983" s="276"/>
      <c r="B983" s="276"/>
      <c r="C983" s="276"/>
      <c r="D983" s="276"/>
      <c r="E983" s="276"/>
      <c r="F983" s="276"/>
      <c r="G983" s="276"/>
    </row>
    <row r="984" spans="1:7" x14ac:dyDescent="0.35">
      <c r="A984" s="276"/>
      <c r="B984" s="276"/>
      <c r="C984" s="276"/>
      <c r="D984" s="276"/>
      <c r="E984" s="276"/>
      <c r="F984" s="276"/>
      <c r="G984" s="276"/>
    </row>
    <row r="985" spans="1:7" x14ac:dyDescent="0.35">
      <c r="A985" s="276"/>
      <c r="B985" s="276"/>
      <c r="C985" s="276"/>
      <c r="D985" s="276"/>
      <c r="E985" s="276"/>
      <c r="F985" s="276"/>
      <c r="G985" s="276"/>
    </row>
    <row r="986" spans="1:7" x14ac:dyDescent="0.35">
      <c r="A986" s="276"/>
      <c r="B986" s="276"/>
      <c r="C986" s="276"/>
      <c r="D986" s="276"/>
      <c r="E986" s="276"/>
      <c r="F986" s="276"/>
      <c r="G986" s="276"/>
    </row>
    <row r="987" spans="1:7" x14ac:dyDescent="0.35">
      <c r="A987" s="276"/>
      <c r="B987" s="276"/>
      <c r="C987" s="276"/>
      <c r="D987" s="276"/>
      <c r="E987" s="276"/>
      <c r="F987" s="276"/>
      <c r="G987" s="276"/>
    </row>
    <row r="988" spans="1:7" x14ac:dyDescent="0.35">
      <c r="A988" s="276"/>
      <c r="B988" s="276"/>
      <c r="C988" s="276"/>
      <c r="D988" s="276"/>
      <c r="E988" s="276"/>
      <c r="F988" s="276"/>
      <c r="G988" s="276"/>
    </row>
    <row r="989" spans="1:7" x14ac:dyDescent="0.35">
      <c r="A989" s="276"/>
      <c r="B989" s="276"/>
      <c r="C989" s="276"/>
      <c r="D989" s="276"/>
      <c r="E989" s="276"/>
      <c r="F989" s="276"/>
      <c r="G989" s="276"/>
    </row>
    <row r="990" spans="1:7" x14ac:dyDescent="0.35">
      <c r="A990" s="276"/>
      <c r="B990" s="276"/>
      <c r="C990" s="276"/>
      <c r="D990" s="276"/>
      <c r="E990" s="276"/>
      <c r="F990" s="276"/>
      <c r="G990" s="276"/>
    </row>
    <row r="991" spans="1:7" x14ac:dyDescent="0.35">
      <c r="A991" s="276"/>
      <c r="B991" s="276"/>
      <c r="C991" s="276"/>
      <c r="D991" s="276"/>
      <c r="E991" s="276"/>
      <c r="F991" s="276"/>
      <c r="G991" s="276"/>
    </row>
    <row r="992" spans="1:7" x14ac:dyDescent="0.35">
      <c r="A992" s="276"/>
      <c r="B992" s="276"/>
      <c r="C992" s="276"/>
      <c r="D992" s="276"/>
      <c r="E992" s="276"/>
      <c r="F992" s="276"/>
      <c r="G992" s="276"/>
    </row>
    <row r="993" spans="1:7" x14ac:dyDescent="0.35">
      <c r="A993" s="276"/>
      <c r="B993" s="276"/>
      <c r="C993" s="276"/>
      <c r="D993" s="276"/>
      <c r="E993" s="276"/>
      <c r="F993" s="276"/>
      <c r="G993" s="276"/>
    </row>
    <row r="994" spans="1:7" x14ac:dyDescent="0.35">
      <c r="A994" s="276"/>
      <c r="B994" s="276"/>
      <c r="C994" s="276"/>
      <c r="D994" s="276"/>
      <c r="E994" s="276"/>
      <c r="F994" s="276"/>
      <c r="G994" s="276"/>
    </row>
    <row r="995" spans="1:7" x14ac:dyDescent="0.35">
      <c r="A995" s="276"/>
      <c r="B995" s="276"/>
      <c r="C995" s="276"/>
      <c r="D995" s="276"/>
      <c r="E995" s="276"/>
      <c r="F995" s="276"/>
      <c r="G995" s="276"/>
    </row>
    <row r="996" spans="1:7" x14ac:dyDescent="0.35">
      <c r="A996" s="276"/>
      <c r="B996" s="276"/>
      <c r="C996" s="276"/>
      <c r="D996" s="276"/>
      <c r="E996" s="276"/>
      <c r="F996" s="276"/>
      <c r="G996" s="276"/>
    </row>
    <row r="997" spans="1:7" x14ac:dyDescent="0.35">
      <c r="A997" s="276"/>
      <c r="B997" s="276"/>
      <c r="C997" s="276"/>
      <c r="D997" s="276"/>
      <c r="E997" s="276"/>
      <c r="F997" s="276"/>
      <c r="G997" s="276"/>
    </row>
    <row r="998" spans="1:7" x14ac:dyDescent="0.35">
      <c r="A998" s="276"/>
      <c r="B998" s="276"/>
      <c r="C998" s="276"/>
      <c r="D998" s="276"/>
      <c r="E998" s="276"/>
      <c r="F998" s="276"/>
      <c r="G998" s="276"/>
    </row>
    <row r="999" spans="1:7" x14ac:dyDescent="0.35">
      <c r="A999" s="276"/>
      <c r="B999" s="276"/>
      <c r="C999" s="276"/>
      <c r="D999" s="276"/>
      <c r="E999" s="276"/>
      <c r="F999" s="276"/>
      <c r="G999" s="276"/>
    </row>
    <row r="1000" spans="1:7" x14ac:dyDescent="0.35">
      <c r="A1000" s="276"/>
      <c r="B1000" s="276"/>
      <c r="C1000" s="276"/>
      <c r="D1000" s="276"/>
      <c r="E1000" s="276"/>
      <c r="F1000" s="276"/>
      <c r="G1000" s="276"/>
    </row>
    <row r="1001" spans="1:7" x14ac:dyDescent="0.35">
      <c r="A1001" s="276"/>
      <c r="B1001" s="276"/>
      <c r="C1001" s="276"/>
      <c r="D1001" s="276"/>
      <c r="E1001" s="276"/>
      <c r="F1001" s="276"/>
      <c r="G1001" s="276"/>
    </row>
    <row r="1002" spans="1:7" x14ac:dyDescent="0.35">
      <c r="A1002" s="276"/>
      <c r="B1002" s="276"/>
      <c r="C1002" s="276"/>
      <c r="D1002" s="276"/>
      <c r="E1002" s="276"/>
      <c r="F1002" s="276"/>
      <c r="G1002" s="276"/>
    </row>
    <row r="1003" spans="1:7" x14ac:dyDescent="0.35">
      <c r="A1003" s="276"/>
      <c r="B1003" s="276"/>
      <c r="C1003" s="276"/>
      <c r="D1003" s="276"/>
      <c r="E1003" s="276"/>
      <c r="F1003" s="276"/>
      <c r="G1003" s="276"/>
    </row>
    <row r="1004" spans="1:7" x14ac:dyDescent="0.35">
      <c r="A1004" s="276"/>
      <c r="B1004" s="276"/>
      <c r="C1004" s="276"/>
      <c r="D1004" s="276"/>
      <c r="E1004" s="276"/>
      <c r="F1004" s="276"/>
      <c r="G1004" s="276"/>
    </row>
    <row r="1005" spans="1:7" x14ac:dyDescent="0.35">
      <c r="A1005" s="276"/>
      <c r="B1005" s="276"/>
      <c r="C1005" s="276"/>
      <c r="D1005" s="276"/>
      <c r="E1005" s="276"/>
      <c r="F1005" s="276"/>
      <c r="G1005" s="276"/>
    </row>
    <row r="1006" spans="1:7" x14ac:dyDescent="0.35">
      <c r="A1006" s="276"/>
      <c r="B1006" s="276"/>
      <c r="C1006" s="276"/>
      <c r="D1006" s="276"/>
      <c r="E1006" s="276"/>
      <c r="F1006" s="276"/>
      <c r="G1006" s="276"/>
    </row>
    <row r="1007" spans="1:7" x14ac:dyDescent="0.35">
      <c r="A1007" s="276"/>
      <c r="B1007" s="276"/>
      <c r="C1007" s="276"/>
      <c r="D1007" s="276"/>
      <c r="E1007" s="276"/>
      <c r="F1007" s="276"/>
      <c r="G1007" s="276"/>
    </row>
    <row r="1008" spans="1:7" x14ac:dyDescent="0.35">
      <c r="A1008" s="276"/>
      <c r="B1008" s="276"/>
      <c r="C1008" s="276"/>
      <c r="D1008" s="276"/>
      <c r="E1008" s="276"/>
      <c r="F1008" s="276"/>
      <c r="G1008" s="276"/>
    </row>
    <row r="1009" spans="1:7" x14ac:dyDescent="0.35">
      <c r="A1009" s="276"/>
      <c r="B1009" s="276"/>
      <c r="C1009" s="276"/>
      <c r="D1009" s="276"/>
      <c r="E1009" s="276"/>
      <c r="F1009" s="276"/>
      <c r="G1009" s="276"/>
    </row>
    <row r="1010" spans="1:7" x14ac:dyDescent="0.35">
      <c r="A1010" s="276"/>
      <c r="B1010" s="276"/>
      <c r="C1010" s="276"/>
      <c r="D1010" s="276"/>
      <c r="E1010" s="276"/>
      <c r="F1010" s="276"/>
      <c r="G1010" s="276"/>
    </row>
    <row r="1011" spans="1:7" x14ac:dyDescent="0.35">
      <c r="A1011" s="276"/>
      <c r="B1011" s="276"/>
      <c r="C1011" s="276"/>
      <c r="D1011" s="276"/>
      <c r="E1011" s="276"/>
      <c r="F1011" s="276"/>
      <c r="G1011" s="276"/>
    </row>
    <row r="1012" spans="1:7" x14ac:dyDescent="0.35">
      <c r="A1012" s="276"/>
      <c r="B1012" s="276"/>
      <c r="C1012" s="276"/>
      <c r="D1012" s="276"/>
      <c r="E1012" s="276"/>
      <c r="F1012" s="276"/>
      <c r="G1012" s="276"/>
    </row>
    <row r="1013" spans="1:7" x14ac:dyDescent="0.35">
      <c r="A1013" s="276"/>
      <c r="B1013" s="276"/>
      <c r="C1013" s="276"/>
      <c r="D1013" s="276"/>
      <c r="E1013" s="276"/>
      <c r="F1013" s="276"/>
      <c r="G1013" s="276"/>
    </row>
    <row r="1014" spans="1:7" x14ac:dyDescent="0.35">
      <c r="A1014" s="276"/>
      <c r="B1014" s="276"/>
      <c r="C1014" s="276"/>
      <c r="D1014" s="276"/>
      <c r="E1014" s="276"/>
      <c r="F1014" s="276"/>
      <c r="G1014" s="276"/>
    </row>
    <row r="1015" spans="1:7" x14ac:dyDescent="0.35">
      <c r="A1015" s="276"/>
      <c r="B1015" s="276"/>
      <c r="C1015" s="276"/>
      <c r="D1015" s="276"/>
      <c r="E1015" s="276"/>
      <c r="F1015" s="276"/>
      <c r="G1015" s="276"/>
    </row>
    <row r="1016" spans="1:7" x14ac:dyDescent="0.35">
      <c r="A1016" s="276"/>
      <c r="B1016" s="276"/>
      <c r="C1016" s="276"/>
      <c r="D1016" s="276"/>
      <c r="E1016" s="276"/>
      <c r="F1016" s="276"/>
      <c r="G1016" s="276"/>
    </row>
    <row r="1017" spans="1:7" x14ac:dyDescent="0.35">
      <c r="A1017" s="276"/>
      <c r="B1017" s="276"/>
      <c r="C1017" s="276"/>
      <c r="D1017" s="276"/>
      <c r="E1017" s="276"/>
      <c r="F1017" s="276"/>
      <c r="G1017" s="276"/>
    </row>
    <row r="1018" spans="1:7" x14ac:dyDescent="0.35">
      <c r="A1018" s="276"/>
      <c r="B1018" s="276"/>
      <c r="C1018" s="276"/>
      <c r="D1018" s="276"/>
      <c r="E1018" s="276"/>
      <c r="F1018" s="276"/>
      <c r="G1018" s="276"/>
    </row>
    <row r="1019" spans="1:7" x14ac:dyDescent="0.35">
      <c r="A1019" s="276"/>
      <c r="B1019" s="276"/>
      <c r="C1019" s="276"/>
      <c r="D1019" s="276"/>
      <c r="E1019" s="276"/>
      <c r="F1019" s="276"/>
      <c r="G1019" s="276"/>
    </row>
    <row r="1020" spans="1:7" x14ac:dyDescent="0.35">
      <c r="A1020" s="276"/>
      <c r="B1020" s="276"/>
      <c r="C1020" s="276"/>
      <c r="D1020" s="276"/>
      <c r="E1020" s="276"/>
      <c r="F1020" s="276"/>
      <c r="G1020" s="276"/>
    </row>
    <row r="1021" spans="1:7" x14ac:dyDescent="0.35">
      <c r="A1021" s="276"/>
      <c r="B1021" s="276"/>
      <c r="C1021" s="276"/>
      <c r="D1021" s="276"/>
      <c r="E1021" s="276"/>
      <c r="F1021" s="276"/>
      <c r="G1021" s="276"/>
    </row>
    <row r="1022" spans="1:7" x14ac:dyDescent="0.35">
      <c r="A1022" s="276"/>
      <c r="B1022" s="276"/>
      <c r="C1022" s="276"/>
      <c r="D1022" s="276"/>
      <c r="E1022" s="276"/>
      <c r="F1022" s="276"/>
      <c r="G1022" s="276"/>
    </row>
    <row r="1023" spans="1:7" x14ac:dyDescent="0.35">
      <c r="A1023" s="276"/>
      <c r="B1023" s="276"/>
      <c r="C1023" s="276"/>
      <c r="D1023" s="276"/>
      <c r="E1023" s="276"/>
      <c r="F1023" s="276"/>
      <c r="G1023" s="276"/>
    </row>
    <row r="1024" spans="1:7" x14ac:dyDescent="0.35">
      <c r="A1024" s="276"/>
      <c r="B1024" s="276"/>
      <c r="C1024" s="276"/>
      <c r="D1024" s="276"/>
      <c r="E1024" s="276"/>
      <c r="F1024" s="276"/>
      <c r="G1024" s="276"/>
    </row>
    <row r="1025" spans="1:7" x14ac:dyDescent="0.35">
      <c r="A1025" s="276"/>
      <c r="B1025" s="276"/>
      <c r="C1025" s="276"/>
      <c r="D1025" s="276"/>
      <c r="E1025" s="276"/>
      <c r="F1025" s="276"/>
      <c r="G1025" s="276"/>
    </row>
    <row r="1026" spans="1:7" x14ac:dyDescent="0.35">
      <c r="A1026" s="276"/>
      <c r="B1026" s="276"/>
      <c r="C1026" s="276"/>
      <c r="D1026" s="276"/>
      <c r="E1026" s="276"/>
      <c r="F1026" s="276"/>
      <c r="G1026" s="276"/>
    </row>
    <row r="1027" spans="1:7" x14ac:dyDescent="0.35">
      <c r="A1027" s="276"/>
      <c r="B1027" s="276"/>
      <c r="C1027" s="276"/>
      <c r="D1027" s="276"/>
      <c r="E1027" s="276"/>
      <c r="F1027" s="276"/>
      <c r="G1027" s="276"/>
    </row>
    <row r="1028" spans="1:7" x14ac:dyDescent="0.35">
      <c r="A1028" s="276"/>
      <c r="B1028" s="276"/>
      <c r="C1028" s="276"/>
      <c r="D1028" s="276"/>
      <c r="E1028" s="276"/>
      <c r="F1028" s="276"/>
      <c r="G1028" s="276"/>
    </row>
    <row r="1029" spans="1:7" x14ac:dyDescent="0.35">
      <c r="A1029" s="276"/>
      <c r="B1029" s="276"/>
      <c r="C1029" s="276"/>
      <c r="D1029" s="276"/>
      <c r="E1029" s="276"/>
      <c r="F1029" s="276"/>
      <c r="G1029" s="276"/>
    </row>
    <row r="1030" spans="1:7" x14ac:dyDescent="0.35">
      <c r="A1030" s="276"/>
      <c r="B1030" s="276"/>
      <c r="C1030" s="276"/>
      <c r="D1030" s="276"/>
      <c r="E1030" s="276"/>
      <c r="F1030" s="276"/>
      <c r="G1030" s="276"/>
    </row>
    <row r="1031" spans="1:7" x14ac:dyDescent="0.35">
      <c r="A1031" s="276"/>
      <c r="B1031" s="276"/>
      <c r="C1031" s="276"/>
      <c r="D1031" s="276"/>
      <c r="E1031" s="276"/>
      <c r="F1031" s="276"/>
      <c r="G1031" s="276"/>
    </row>
    <row r="1032" spans="1:7" x14ac:dyDescent="0.35">
      <c r="A1032" s="276"/>
      <c r="B1032" s="276"/>
      <c r="C1032" s="276"/>
      <c r="D1032" s="276"/>
      <c r="E1032" s="276"/>
      <c r="F1032" s="276"/>
      <c r="G1032" s="276"/>
    </row>
    <row r="1033" spans="1:7" x14ac:dyDescent="0.35">
      <c r="A1033" s="276"/>
      <c r="B1033" s="276"/>
      <c r="C1033" s="276"/>
      <c r="D1033" s="276"/>
      <c r="E1033" s="276"/>
      <c r="F1033" s="276"/>
      <c r="G1033" s="276"/>
    </row>
    <row r="1034" spans="1:7" x14ac:dyDescent="0.35">
      <c r="A1034" s="276"/>
      <c r="B1034" s="276"/>
      <c r="C1034" s="276"/>
      <c r="D1034" s="276"/>
      <c r="E1034" s="276"/>
      <c r="F1034" s="276"/>
      <c r="G1034" s="276"/>
    </row>
    <row r="1035" spans="1:7" x14ac:dyDescent="0.35">
      <c r="A1035" s="276"/>
      <c r="B1035" s="276"/>
      <c r="C1035" s="276"/>
      <c r="D1035" s="276"/>
      <c r="E1035" s="276"/>
      <c r="F1035" s="276"/>
      <c r="G1035" s="276"/>
    </row>
    <row r="1036" spans="1:7" x14ac:dyDescent="0.35">
      <c r="A1036" s="276"/>
      <c r="B1036" s="276"/>
      <c r="C1036" s="276"/>
      <c r="D1036" s="276"/>
      <c r="E1036" s="276"/>
      <c r="F1036" s="276"/>
      <c r="G1036" s="276"/>
    </row>
    <row r="1037" spans="1:7" x14ac:dyDescent="0.35">
      <c r="A1037" s="276"/>
      <c r="B1037" s="276"/>
      <c r="C1037" s="276"/>
      <c r="D1037" s="276"/>
      <c r="E1037" s="276"/>
      <c r="F1037" s="276"/>
      <c r="G1037" s="276"/>
    </row>
    <row r="1038" spans="1:7" x14ac:dyDescent="0.35">
      <c r="A1038" s="276"/>
      <c r="B1038" s="276"/>
      <c r="C1038" s="276"/>
      <c r="D1038" s="276"/>
      <c r="E1038" s="276"/>
      <c r="F1038" s="276"/>
      <c r="G1038" s="276"/>
    </row>
    <row r="1039" spans="1:7" x14ac:dyDescent="0.35">
      <c r="A1039" s="276"/>
      <c r="B1039" s="276"/>
      <c r="C1039" s="276"/>
      <c r="D1039" s="276"/>
      <c r="E1039" s="276"/>
      <c r="F1039" s="276"/>
      <c r="G1039" s="276"/>
    </row>
    <row r="1040" spans="1:7" x14ac:dyDescent="0.35">
      <c r="A1040" s="276"/>
      <c r="B1040" s="276"/>
      <c r="C1040" s="276"/>
      <c r="D1040" s="276"/>
      <c r="E1040" s="276"/>
      <c r="F1040" s="276"/>
      <c r="G1040" s="276"/>
    </row>
    <row r="1041" spans="1:7" x14ac:dyDescent="0.35">
      <c r="A1041" s="276"/>
      <c r="B1041" s="276"/>
      <c r="C1041" s="276"/>
      <c r="D1041" s="276"/>
      <c r="E1041" s="276"/>
      <c r="F1041" s="276"/>
      <c r="G1041" s="276"/>
    </row>
    <row r="1042" spans="1:7" x14ac:dyDescent="0.35">
      <c r="A1042" s="276"/>
      <c r="B1042" s="276"/>
      <c r="C1042" s="276"/>
      <c r="D1042" s="276"/>
      <c r="E1042" s="276"/>
      <c r="F1042" s="276"/>
      <c r="G1042" s="276"/>
    </row>
    <row r="1043" spans="1:7" x14ac:dyDescent="0.35">
      <c r="A1043" s="276"/>
      <c r="B1043" s="276"/>
      <c r="C1043" s="276"/>
      <c r="D1043" s="276"/>
      <c r="E1043" s="276"/>
      <c r="F1043" s="276"/>
      <c r="G1043" s="276"/>
    </row>
    <row r="1044" spans="1:7" x14ac:dyDescent="0.35">
      <c r="A1044" s="276"/>
      <c r="B1044" s="276"/>
      <c r="C1044" s="276"/>
      <c r="D1044" s="276"/>
      <c r="E1044" s="276"/>
      <c r="F1044" s="276"/>
      <c r="G1044" s="276"/>
    </row>
    <row r="1045" spans="1:7" x14ac:dyDescent="0.35">
      <c r="A1045" s="276"/>
      <c r="B1045" s="276"/>
      <c r="C1045" s="276"/>
      <c r="D1045" s="276"/>
      <c r="E1045" s="276"/>
      <c r="F1045" s="276"/>
      <c r="G1045" s="276"/>
    </row>
    <row r="1046" spans="1:7" x14ac:dyDescent="0.35">
      <c r="A1046" s="276"/>
      <c r="B1046" s="276"/>
      <c r="C1046" s="276"/>
      <c r="D1046" s="276"/>
      <c r="E1046" s="276"/>
      <c r="F1046" s="276"/>
      <c r="G1046" s="276"/>
    </row>
    <row r="1047" spans="1:7" x14ac:dyDescent="0.35">
      <c r="A1047" s="276"/>
      <c r="B1047" s="276"/>
      <c r="C1047" s="276"/>
      <c r="D1047" s="276"/>
      <c r="E1047" s="276"/>
      <c r="F1047" s="276"/>
      <c r="G1047" s="276"/>
    </row>
    <row r="1048" spans="1:7" x14ac:dyDescent="0.35">
      <c r="A1048" s="276"/>
      <c r="B1048" s="276"/>
      <c r="C1048" s="276"/>
      <c r="D1048" s="276"/>
      <c r="E1048" s="276"/>
      <c r="F1048" s="276"/>
      <c r="G1048" s="276"/>
    </row>
    <row r="1049" spans="1:7" x14ac:dyDescent="0.35">
      <c r="A1049" s="276"/>
      <c r="B1049" s="276"/>
      <c r="C1049" s="276"/>
      <c r="D1049" s="276"/>
      <c r="E1049" s="276"/>
      <c r="F1049" s="276"/>
      <c r="G1049" s="276"/>
    </row>
    <row r="1050" spans="1:7" x14ac:dyDescent="0.35">
      <c r="A1050" s="276"/>
      <c r="B1050" s="276"/>
      <c r="C1050" s="276"/>
      <c r="D1050" s="276"/>
      <c r="E1050" s="276"/>
      <c r="F1050" s="276"/>
      <c r="G1050" s="276"/>
    </row>
    <row r="1051" spans="1:7" x14ac:dyDescent="0.35">
      <c r="A1051" s="276"/>
      <c r="B1051" s="276"/>
      <c r="C1051" s="276"/>
      <c r="D1051" s="276"/>
      <c r="E1051" s="276"/>
      <c r="F1051" s="276"/>
      <c r="G1051" s="276"/>
    </row>
    <row r="1052" spans="1:7" x14ac:dyDescent="0.35">
      <c r="A1052" s="276"/>
      <c r="B1052" s="276"/>
      <c r="C1052" s="276"/>
      <c r="D1052" s="276"/>
      <c r="E1052" s="276"/>
      <c r="F1052" s="276"/>
      <c r="G1052" s="276"/>
    </row>
    <row r="1053" spans="1:7" x14ac:dyDescent="0.35">
      <c r="A1053" s="276"/>
      <c r="B1053" s="276"/>
      <c r="C1053" s="276"/>
      <c r="D1053" s="276"/>
      <c r="E1053" s="276"/>
      <c r="F1053" s="276"/>
      <c r="G1053" s="276"/>
    </row>
    <row r="1054" spans="1:7" x14ac:dyDescent="0.35">
      <c r="A1054" s="276"/>
      <c r="B1054" s="276"/>
      <c r="C1054" s="276"/>
      <c r="D1054" s="276"/>
      <c r="E1054" s="276"/>
      <c r="F1054" s="276"/>
      <c r="G1054" s="276"/>
    </row>
    <row r="1055" spans="1:7" x14ac:dyDescent="0.35">
      <c r="A1055" s="276"/>
      <c r="B1055" s="276"/>
      <c r="C1055" s="276"/>
      <c r="D1055" s="276"/>
      <c r="E1055" s="276"/>
      <c r="F1055" s="276"/>
      <c r="G1055" s="276"/>
    </row>
    <row r="1056" spans="1:7" x14ac:dyDescent="0.35">
      <c r="A1056" s="276"/>
      <c r="B1056" s="276"/>
      <c r="C1056" s="276"/>
      <c r="D1056" s="276"/>
      <c r="E1056" s="276"/>
      <c r="F1056" s="276"/>
      <c r="G1056" s="276"/>
    </row>
    <row r="1057" spans="1:7" x14ac:dyDescent="0.35">
      <c r="A1057" s="276"/>
      <c r="B1057" s="276"/>
      <c r="C1057" s="276"/>
      <c r="D1057" s="276"/>
      <c r="E1057" s="276"/>
      <c r="F1057" s="276"/>
      <c r="G1057" s="276"/>
    </row>
    <row r="1058" spans="1:7" x14ac:dyDescent="0.35">
      <c r="A1058" s="276"/>
      <c r="B1058" s="276"/>
      <c r="C1058" s="276"/>
      <c r="D1058" s="276"/>
      <c r="E1058" s="276"/>
      <c r="F1058" s="276"/>
      <c r="G1058" s="276"/>
    </row>
    <row r="1059" spans="1:7" x14ac:dyDescent="0.35">
      <c r="A1059" s="276"/>
      <c r="B1059" s="276"/>
      <c r="C1059" s="276"/>
      <c r="D1059" s="276"/>
      <c r="E1059" s="276"/>
      <c r="F1059" s="276"/>
      <c r="G1059" s="276"/>
    </row>
    <row r="1060" spans="1:7" x14ac:dyDescent="0.35">
      <c r="A1060" s="276"/>
      <c r="B1060" s="276"/>
      <c r="C1060" s="276"/>
      <c r="D1060" s="276"/>
      <c r="E1060" s="276"/>
      <c r="F1060" s="276"/>
      <c r="G1060" s="276"/>
    </row>
    <row r="1061" spans="1:7" x14ac:dyDescent="0.35">
      <c r="A1061" s="276"/>
      <c r="B1061" s="276"/>
      <c r="C1061" s="276"/>
      <c r="D1061" s="276"/>
      <c r="E1061" s="276"/>
      <c r="F1061" s="276"/>
      <c r="G1061" s="276"/>
    </row>
    <row r="1062" spans="1:7" x14ac:dyDescent="0.35">
      <c r="A1062" s="276"/>
      <c r="B1062" s="276"/>
      <c r="C1062" s="276"/>
      <c r="D1062" s="276"/>
      <c r="E1062" s="276"/>
      <c r="F1062" s="276"/>
      <c r="G1062" s="276"/>
    </row>
    <row r="1063" spans="1:7" x14ac:dyDescent="0.35">
      <c r="A1063" s="276"/>
      <c r="B1063" s="276"/>
      <c r="C1063" s="276"/>
      <c r="D1063" s="276"/>
      <c r="E1063" s="276"/>
      <c r="F1063" s="276"/>
      <c r="G1063" s="276"/>
    </row>
    <row r="1064" spans="1:7" x14ac:dyDescent="0.35">
      <c r="A1064" s="276"/>
      <c r="B1064" s="276"/>
      <c r="C1064" s="276"/>
      <c r="D1064" s="276"/>
      <c r="E1064" s="276"/>
      <c r="F1064" s="276"/>
      <c r="G1064" s="276"/>
    </row>
    <row r="1065" spans="1:7" x14ac:dyDescent="0.35">
      <c r="A1065" s="276"/>
      <c r="B1065" s="276"/>
      <c r="C1065" s="276"/>
      <c r="D1065" s="276"/>
      <c r="E1065" s="276"/>
      <c r="F1065" s="276"/>
      <c r="G1065" s="276"/>
    </row>
    <row r="1066" spans="1:7" x14ac:dyDescent="0.35">
      <c r="A1066" s="276"/>
      <c r="B1066" s="276"/>
      <c r="C1066" s="276"/>
      <c r="D1066" s="276"/>
      <c r="E1066" s="276"/>
      <c r="F1066" s="276"/>
      <c r="G1066" s="276"/>
    </row>
    <row r="1067" spans="1:7" x14ac:dyDescent="0.35">
      <c r="A1067" s="276"/>
      <c r="B1067" s="276"/>
      <c r="C1067" s="276"/>
      <c r="D1067" s="276"/>
      <c r="E1067" s="276"/>
      <c r="F1067" s="276"/>
      <c r="G1067" s="276"/>
    </row>
    <row r="1068" spans="1:7" x14ac:dyDescent="0.35">
      <c r="A1068" s="276"/>
      <c r="B1068" s="276"/>
      <c r="C1068" s="276"/>
      <c r="D1068" s="276"/>
      <c r="E1068" s="276"/>
      <c r="F1068" s="276"/>
      <c r="G1068" s="276"/>
    </row>
    <row r="1069" spans="1:7" x14ac:dyDescent="0.35">
      <c r="A1069" s="276"/>
      <c r="B1069" s="276"/>
      <c r="C1069" s="276"/>
      <c r="D1069" s="276"/>
      <c r="E1069" s="276"/>
      <c r="F1069" s="276"/>
      <c r="G1069" s="276"/>
    </row>
    <row r="1070" spans="1:7" x14ac:dyDescent="0.35">
      <c r="A1070" s="276"/>
      <c r="B1070" s="276"/>
      <c r="C1070" s="276"/>
      <c r="D1070" s="276"/>
      <c r="E1070" s="276"/>
      <c r="F1070" s="276"/>
      <c r="G1070" s="276"/>
    </row>
    <row r="1071" spans="1:7" x14ac:dyDescent="0.35">
      <c r="A1071" s="276"/>
      <c r="B1071" s="276"/>
      <c r="C1071" s="276"/>
      <c r="D1071" s="276"/>
      <c r="E1071" s="276"/>
      <c r="F1071" s="276"/>
      <c r="G1071" s="276"/>
    </row>
    <row r="1072" spans="1:7" x14ac:dyDescent="0.35">
      <c r="A1072" s="276"/>
      <c r="B1072" s="276"/>
      <c r="C1072" s="276"/>
      <c r="D1072" s="276"/>
      <c r="E1072" s="276"/>
      <c r="F1072" s="276"/>
      <c r="G1072" s="276"/>
    </row>
    <row r="1073" spans="1:7" x14ac:dyDescent="0.35">
      <c r="A1073" s="276"/>
      <c r="B1073" s="276"/>
      <c r="C1073" s="276"/>
      <c r="D1073" s="276"/>
      <c r="E1073" s="276"/>
      <c r="F1073" s="276"/>
      <c r="G1073" s="276"/>
    </row>
    <row r="1074" spans="1:7" x14ac:dyDescent="0.35">
      <c r="A1074" s="276"/>
      <c r="B1074" s="276"/>
      <c r="C1074" s="276"/>
      <c r="D1074" s="276"/>
      <c r="E1074" s="276"/>
      <c r="F1074" s="276"/>
      <c r="G1074" s="276"/>
    </row>
    <row r="1075" spans="1:7" x14ac:dyDescent="0.35">
      <c r="A1075" s="276"/>
      <c r="B1075" s="276"/>
      <c r="C1075" s="276"/>
      <c r="D1075" s="276"/>
      <c r="E1075" s="276"/>
      <c r="F1075" s="276"/>
      <c r="G1075" s="276"/>
    </row>
    <row r="1076" spans="1:7" x14ac:dyDescent="0.35">
      <c r="A1076" s="276"/>
      <c r="B1076" s="276"/>
      <c r="C1076" s="276"/>
      <c r="D1076" s="276"/>
      <c r="E1076" s="276"/>
      <c r="F1076" s="276"/>
      <c r="G1076" s="276"/>
    </row>
    <row r="1077" spans="1:7" x14ac:dyDescent="0.35">
      <c r="A1077" s="276"/>
      <c r="B1077" s="276"/>
      <c r="C1077" s="276"/>
      <c r="D1077" s="276"/>
      <c r="E1077" s="276"/>
      <c r="F1077" s="276"/>
      <c r="G1077" s="276"/>
    </row>
    <row r="1078" spans="1:7" x14ac:dyDescent="0.35">
      <c r="A1078" s="276"/>
      <c r="B1078" s="276"/>
      <c r="C1078" s="276"/>
      <c r="D1078" s="276"/>
      <c r="E1078" s="276"/>
      <c r="F1078" s="276"/>
      <c r="G1078" s="276"/>
    </row>
    <row r="1079" spans="1:7" x14ac:dyDescent="0.35">
      <c r="A1079" s="276"/>
      <c r="B1079" s="276"/>
      <c r="C1079" s="276"/>
      <c r="D1079" s="276"/>
      <c r="E1079" s="276"/>
      <c r="F1079" s="276"/>
      <c r="G1079" s="276"/>
    </row>
    <row r="1080" spans="1:7" x14ac:dyDescent="0.35">
      <c r="A1080" s="276"/>
      <c r="B1080" s="276"/>
      <c r="C1080" s="276"/>
      <c r="D1080" s="276"/>
      <c r="E1080" s="276"/>
      <c r="F1080" s="276"/>
      <c r="G1080" s="276"/>
    </row>
    <row r="1081" spans="1:7" x14ac:dyDescent="0.35">
      <c r="A1081" s="276"/>
      <c r="B1081" s="276"/>
      <c r="C1081" s="276"/>
      <c r="D1081" s="276"/>
      <c r="E1081" s="276"/>
      <c r="F1081" s="276"/>
      <c r="G1081" s="276"/>
    </row>
    <row r="1082" spans="1:7" x14ac:dyDescent="0.35">
      <c r="A1082" s="276"/>
      <c r="B1082" s="276"/>
      <c r="C1082" s="276"/>
      <c r="D1082" s="276"/>
      <c r="E1082" s="276"/>
      <c r="F1082" s="276"/>
      <c r="G1082" s="276"/>
    </row>
    <row r="1083" spans="1:7" x14ac:dyDescent="0.35">
      <c r="A1083" s="276"/>
      <c r="B1083" s="276"/>
      <c r="C1083" s="276"/>
      <c r="D1083" s="276"/>
      <c r="E1083" s="276"/>
      <c r="F1083" s="276"/>
      <c r="G1083" s="276"/>
    </row>
    <row r="1084" spans="1:7" x14ac:dyDescent="0.35">
      <c r="A1084" s="276"/>
      <c r="B1084" s="276"/>
      <c r="C1084" s="276"/>
      <c r="D1084" s="276"/>
      <c r="E1084" s="276"/>
      <c r="F1084" s="276"/>
      <c r="G1084" s="276"/>
    </row>
    <row r="1085" spans="1:7" x14ac:dyDescent="0.35">
      <c r="A1085" s="276"/>
      <c r="B1085" s="276"/>
      <c r="C1085" s="276"/>
      <c r="D1085" s="276"/>
      <c r="E1085" s="276"/>
      <c r="F1085" s="276"/>
      <c r="G1085" s="276"/>
    </row>
    <row r="1086" spans="1:7" x14ac:dyDescent="0.35">
      <c r="A1086" s="276"/>
      <c r="B1086" s="276"/>
      <c r="C1086" s="276"/>
      <c r="D1086" s="276"/>
      <c r="E1086" s="276"/>
      <c r="F1086" s="276"/>
      <c r="G1086" s="276"/>
    </row>
    <row r="1087" spans="1:7" x14ac:dyDescent="0.35">
      <c r="A1087" s="276"/>
      <c r="B1087" s="276"/>
      <c r="C1087" s="276"/>
      <c r="D1087" s="276"/>
      <c r="E1087" s="276"/>
      <c r="F1087" s="276"/>
      <c r="G1087" s="276"/>
    </row>
    <row r="1088" spans="1:7" x14ac:dyDescent="0.35">
      <c r="A1088" s="276"/>
      <c r="B1088" s="276"/>
      <c r="C1088" s="276"/>
      <c r="D1088" s="276"/>
      <c r="E1088" s="276"/>
      <c r="F1088" s="276"/>
      <c r="G1088" s="276"/>
    </row>
    <row r="1089" spans="1:7" x14ac:dyDescent="0.35">
      <c r="A1089" s="276"/>
      <c r="B1089" s="276"/>
      <c r="C1089" s="276"/>
      <c r="D1089" s="276"/>
      <c r="E1089" s="276"/>
      <c r="F1089" s="276"/>
      <c r="G1089" s="276"/>
    </row>
    <row r="1090" spans="1:7" x14ac:dyDescent="0.35">
      <c r="A1090" s="276"/>
      <c r="B1090" s="276"/>
      <c r="C1090" s="276"/>
      <c r="D1090" s="276"/>
      <c r="E1090" s="276"/>
      <c r="F1090" s="276"/>
      <c r="G1090" s="276"/>
    </row>
    <row r="1091" spans="1:7" x14ac:dyDescent="0.35">
      <c r="A1091" s="276"/>
      <c r="B1091" s="276"/>
      <c r="C1091" s="276"/>
      <c r="D1091" s="276"/>
      <c r="E1091" s="276"/>
      <c r="F1091" s="276"/>
      <c r="G1091" s="276"/>
    </row>
    <row r="1092" spans="1:7" x14ac:dyDescent="0.35">
      <c r="A1092" s="276"/>
      <c r="B1092" s="276"/>
      <c r="C1092" s="276"/>
      <c r="D1092" s="276"/>
      <c r="E1092" s="276"/>
      <c r="F1092" s="276"/>
      <c r="G1092" s="276"/>
    </row>
    <row r="1093" spans="1:7" x14ac:dyDescent="0.35">
      <c r="A1093" s="276"/>
      <c r="B1093" s="276"/>
      <c r="C1093" s="276"/>
      <c r="D1093" s="276"/>
      <c r="E1093" s="276"/>
      <c r="F1093" s="276"/>
      <c r="G1093" s="276"/>
    </row>
    <row r="1094" spans="1:7" x14ac:dyDescent="0.35">
      <c r="A1094" s="276"/>
      <c r="B1094" s="276"/>
      <c r="C1094" s="276"/>
      <c r="D1094" s="276"/>
      <c r="E1094" s="276"/>
      <c r="F1094" s="276"/>
      <c r="G1094" s="276"/>
    </row>
    <row r="1095" spans="1:7" x14ac:dyDescent="0.35">
      <c r="A1095" s="276"/>
      <c r="B1095" s="276"/>
      <c r="C1095" s="276"/>
      <c r="D1095" s="276"/>
      <c r="E1095" s="276"/>
      <c r="F1095" s="276"/>
      <c r="G1095" s="276"/>
    </row>
    <row r="1096" spans="1:7" x14ac:dyDescent="0.35">
      <c r="A1096" s="276"/>
      <c r="B1096" s="276"/>
      <c r="C1096" s="276"/>
      <c r="D1096" s="276"/>
      <c r="E1096" s="276"/>
      <c r="F1096" s="276"/>
      <c r="G1096" s="276"/>
    </row>
    <row r="1097" spans="1:7" x14ac:dyDescent="0.35">
      <c r="A1097" s="276"/>
      <c r="B1097" s="276"/>
      <c r="C1097" s="276"/>
      <c r="D1097" s="276"/>
      <c r="E1097" s="276"/>
      <c r="F1097" s="276"/>
      <c r="G1097" s="276"/>
    </row>
    <row r="1098" spans="1:7" x14ac:dyDescent="0.35">
      <c r="A1098" s="276"/>
      <c r="B1098" s="276"/>
      <c r="C1098" s="276"/>
      <c r="D1098" s="276"/>
      <c r="E1098" s="276"/>
      <c r="F1098" s="276"/>
      <c r="G1098" s="276"/>
    </row>
    <row r="1099" spans="1:7" x14ac:dyDescent="0.35">
      <c r="A1099" s="276"/>
      <c r="B1099" s="276"/>
      <c r="C1099" s="276"/>
      <c r="D1099" s="276"/>
      <c r="E1099" s="276"/>
      <c r="F1099" s="276"/>
      <c r="G1099" s="276"/>
    </row>
    <row r="1100" spans="1:7" x14ac:dyDescent="0.35">
      <c r="A1100" s="276"/>
      <c r="B1100" s="276"/>
      <c r="C1100" s="276"/>
      <c r="D1100" s="276"/>
      <c r="E1100" s="276"/>
      <c r="F1100" s="276"/>
      <c r="G1100" s="276"/>
    </row>
    <row r="1101" spans="1:7" x14ac:dyDescent="0.35">
      <c r="A1101" s="276"/>
      <c r="B1101" s="276"/>
      <c r="C1101" s="276"/>
      <c r="D1101" s="276"/>
      <c r="E1101" s="276"/>
      <c r="F1101" s="276"/>
      <c r="G1101" s="276"/>
    </row>
    <row r="1102" spans="1:7" x14ac:dyDescent="0.35">
      <c r="A1102" s="276"/>
      <c r="B1102" s="276"/>
      <c r="C1102" s="276"/>
      <c r="D1102" s="276"/>
      <c r="E1102" s="276"/>
      <c r="F1102" s="276"/>
      <c r="G1102" s="276"/>
    </row>
    <row r="1103" spans="1:7" x14ac:dyDescent="0.35">
      <c r="A1103" s="276"/>
      <c r="B1103" s="276"/>
      <c r="C1103" s="276"/>
      <c r="D1103" s="276"/>
      <c r="E1103" s="276"/>
      <c r="F1103" s="276"/>
      <c r="G1103" s="276"/>
    </row>
    <row r="1104" spans="1:7" x14ac:dyDescent="0.35">
      <c r="A1104" s="276"/>
      <c r="B1104" s="276"/>
      <c r="C1104" s="276"/>
      <c r="D1104" s="276"/>
      <c r="E1104" s="276"/>
      <c r="F1104" s="276"/>
      <c r="G1104" s="276"/>
    </row>
    <row r="1105" spans="1:7" x14ac:dyDescent="0.35">
      <c r="A1105" s="276"/>
      <c r="B1105" s="276"/>
      <c r="C1105" s="276"/>
      <c r="D1105" s="276"/>
      <c r="E1105" s="276"/>
      <c r="F1105" s="276"/>
      <c r="G1105" s="276"/>
    </row>
    <row r="1106" spans="1:7" x14ac:dyDescent="0.35">
      <c r="A1106" s="276"/>
      <c r="B1106" s="276"/>
      <c r="C1106" s="276"/>
      <c r="D1106" s="276"/>
      <c r="E1106" s="276"/>
      <c r="F1106" s="276"/>
      <c r="G1106" s="276"/>
    </row>
    <row r="1107" spans="1:7" x14ac:dyDescent="0.35">
      <c r="A1107" s="276"/>
      <c r="B1107" s="276"/>
      <c r="C1107" s="276"/>
      <c r="D1107" s="276"/>
      <c r="E1107" s="276"/>
      <c r="F1107" s="276"/>
      <c r="G1107" s="276"/>
    </row>
    <row r="1108" spans="1:7" x14ac:dyDescent="0.35">
      <c r="A1108" s="276"/>
      <c r="B1108" s="276"/>
      <c r="C1108" s="276"/>
      <c r="D1108" s="276"/>
      <c r="E1108" s="276"/>
      <c r="F1108" s="276"/>
      <c r="G1108" s="276"/>
    </row>
    <row r="1109" spans="1:7" x14ac:dyDescent="0.35">
      <c r="A1109" s="276"/>
      <c r="B1109" s="276"/>
      <c r="C1109" s="276"/>
      <c r="D1109" s="276"/>
      <c r="E1109" s="276"/>
      <c r="F1109" s="276"/>
      <c r="G1109" s="276"/>
    </row>
    <row r="1110" spans="1:7" x14ac:dyDescent="0.35">
      <c r="A1110" s="276"/>
      <c r="B1110" s="276"/>
      <c r="C1110" s="276"/>
      <c r="D1110" s="276"/>
      <c r="E1110" s="276"/>
      <c r="F1110" s="276"/>
      <c r="G1110" s="276"/>
    </row>
    <row r="1111" spans="1:7" x14ac:dyDescent="0.35">
      <c r="A1111" s="276"/>
      <c r="B1111" s="276"/>
      <c r="C1111" s="276"/>
      <c r="D1111" s="276"/>
      <c r="E1111" s="276"/>
      <c r="F1111" s="276"/>
      <c r="G1111" s="276"/>
    </row>
    <row r="1112" spans="1:7" x14ac:dyDescent="0.35">
      <c r="A1112" s="276"/>
      <c r="B1112" s="276"/>
      <c r="C1112" s="276"/>
      <c r="D1112" s="276"/>
      <c r="E1112" s="276"/>
      <c r="F1112" s="276"/>
      <c r="G1112" s="276"/>
    </row>
    <row r="1113" spans="1:7" x14ac:dyDescent="0.35">
      <c r="A1113" s="276"/>
      <c r="B1113" s="276"/>
      <c r="C1113" s="276"/>
      <c r="D1113" s="276"/>
      <c r="E1113" s="276"/>
      <c r="F1113" s="276"/>
      <c r="G1113" s="276"/>
    </row>
    <row r="1114" spans="1:7" x14ac:dyDescent="0.35">
      <c r="A1114" s="276"/>
      <c r="B1114" s="276"/>
      <c r="C1114" s="276"/>
      <c r="D1114" s="276"/>
      <c r="E1114" s="276"/>
      <c r="F1114" s="276"/>
      <c r="G1114" s="276"/>
    </row>
    <row r="1115" spans="1:7" x14ac:dyDescent="0.35">
      <c r="A1115" s="276"/>
      <c r="B1115" s="276"/>
      <c r="C1115" s="276"/>
      <c r="D1115" s="276"/>
      <c r="E1115" s="276"/>
      <c r="F1115" s="276"/>
      <c r="G1115" s="276"/>
    </row>
    <row r="1116" spans="1:7" x14ac:dyDescent="0.35">
      <c r="A1116" s="276"/>
      <c r="B1116" s="276"/>
      <c r="C1116" s="276"/>
      <c r="D1116" s="276"/>
      <c r="E1116" s="276"/>
      <c r="F1116" s="276"/>
      <c r="G1116" s="276"/>
    </row>
    <row r="1117" spans="1:7" x14ac:dyDescent="0.35">
      <c r="A1117" s="276"/>
      <c r="B1117" s="276"/>
      <c r="C1117" s="276"/>
      <c r="D1117" s="276"/>
      <c r="E1117" s="276"/>
      <c r="F1117" s="276"/>
      <c r="G1117" s="276"/>
    </row>
    <row r="1118" spans="1:7" x14ac:dyDescent="0.35">
      <c r="A1118" s="276"/>
      <c r="B1118" s="276"/>
      <c r="C1118" s="276"/>
      <c r="D1118" s="276"/>
      <c r="E1118" s="276"/>
      <c r="F1118" s="276"/>
      <c r="G1118" s="276"/>
    </row>
    <row r="1119" spans="1:7" x14ac:dyDescent="0.35">
      <c r="A1119" s="276"/>
      <c r="B1119" s="276"/>
      <c r="C1119" s="276"/>
      <c r="D1119" s="276"/>
      <c r="E1119" s="276"/>
      <c r="F1119" s="276"/>
      <c r="G1119" s="276"/>
    </row>
    <row r="1120" spans="1:7" x14ac:dyDescent="0.35">
      <c r="A1120" s="276"/>
      <c r="B1120" s="276"/>
      <c r="C1120" s="276"/>
      <c r="D1120" s="276"/>
      <c r="E1120" s="276"/>
      <c r="F1120" s="276"/>
      <c r="G1120" s="276"/>
    </row>
    <row r="1121" spans="1:7" x14ac:dyDescent="0.35">
      <c r="A1121" s="276"/>
      <c r="B1121" s="276"/>
      <c r="C1121" s="276"/>
      <c r="D1121" s="276"/>
      <c r="E1121" s="276"/>
      <c r="F1121" s="276"/>
      <c r="G1121" s="276"/>
    </row>
    <row r="1122" spans="1:7" x14ac:dyDescent="0.35">
      <c r="A1122" s="276"/>
      <c r="B1122" s="276"/>
      <c r="C1122" s="276"/>
      <c r="D1122" s="276"/>
      <c r="E1122" s="276"/>
      <c r="F1122" s="276"/>
      <c r="G1122" s="276"/>
    </row>
    <row r="1123" spans="1:7" x14ac:dyDescent="0.35">
      <c r="A1123" s="276"/>
      <c r="B1123" s="276"/>
      <c r="C1123" s="276"/>
      <c r="D1123" s="276"/>
      <c r="E1123" s="276"/>
      <c r="F1123" s="276"/>
      <c r="G1123" s="276"/>
    </row>
    <row r="1124" spans="1:7" x14ac:dyDescent="0.35">
      <c r="A1124" s="276"/>
      <c r="B1124" s="276"/>
      <c r="C1124" s="276"/>
      <c r="D1124" s="276"/>
      <c r="E1124" s="276"/>
      <c r="F1124" s="276"/>
      <c r="G1124" s="276"/>
    </row>
    <row r="1125" spans="1:7" x14ac:dyDescent="0.35">
      <c r="A1125" s="276"/>
      <c r="B1125" s="276"/>
      <c r="C1125" s="276"/>
      <c r="D1125" s="276"/>
      <c r="E1125" s="276"/>
      <c r="F1125" s="276"/>
      <c r="G1125" s="276"/>
    </row>
    <row r="1126" spans="1:7" x14ac:dyDescent="0.35">
      <c r="A1126" s="276"/>
      <c r="B1126" s="276"/>
      <c r="C1126" s="276"/>
      <c r="D1126" s="276"/>
      <c r="E1126" s="276"/>
      <c r="F1126" s="276"/>
      <c r="G1126" s="276"/>
    </row>
    <row r="1127" spans="1:7" x14ac:dyDescent="0.35">
      <c r="A1127" s="276"/>
      <c r="B1127" s="276"/>
      <c r="C1127" s="276"/>
      <c r="D1127" s="276"/>
      <c r="E1127" s="276"/>
      <c r="F1127" s="276"/>
      <c r="G1127" s="276"/>
    </row>
    <row r="1128" spans="1:7" x14ac:dyDescent="0.35">
      <c r="A1128" s="276"/>
      <c r="B1128" s="276"/>
      <c r="C1128" s="276"/>
      <c r="D1128" s="276"/>
      <c r="E1128" s="276"/>
      <c r="F1128" s="276"/>
      <c r="G1128" s="276"/>
    </row>
    <row r="1129" spans="1:7" x14ac:dyDescent="0.35">
      <c r="A1129" s="276"/>
      <c r="B1129" s="276"/>
      <c r="C1129" s="276"/>
      <c r="D1129" s="276"/>
      <c r="E1129" s="276"/>
      <c r="F1129" s="276"/>
      <c r="G1129" s="276"/>
    </row>
    <row r="1130" spans="1:7" x14ac:dyDescent="0.35">
      <c r="A1130" s="276"/>
      <c r="B1130" s="276"/>
      <c r="C1130" s="276"/>
      <c r="D1130" s="276"/>
      <c r="E1130" s="276"/>
      <c r="F1130" s="276"/>
      <c r="G1130" s="276"/>
    </row>
    <row r="1131" spans="1:7" x14ac:dyDescent="0.35">
      <c r="A1131" s="276"/>
      <c r="B1131" s="276"/>
      <c r="C1131" s="276"/>
      <c r="D1131" s="276"/>
      <c r="E1131" s="276"/>
      <c r="F1131" s="276"/>
      <c r="G1131" s="276"/>
    </row>
    <row r="1132" spans="1:7" x14ac:dyDescent="0.35">
      <c r="A1132" s="276"/>
      <c r="B1132" s="276"/>
      <c r="C1132" s="276"/>
      <c r="D1132" s="276"/>
      <c r="E1132" s="276"/>
      <c r="F1132" s="276"/>
      <c r="G1132" s="276"/>
    </row>
    <row r="1133" spans="1:7" x14ac:dyDescent="0.35">
      <c r="A1133" s="276"/>
      <c r="B1133" s="276"/>
      <c r="C1133" s="276"/>
      <c r="D1133" s="276"/>
      <c r="E1133" s="276"/>
      <c r="F1133" s="276"/>
      <c r="G1133" s="276"/>
    </row>
    <row r="1134" spans="1:7" x14ac:dyDescent="0.35">
      <c r="A1134" s="276"/>
      <c r="B1134" s="276"/>
      <c r="C1134" s="276"/>
      <c r="D1134" s="276"/>
      <c r="E1134" s="276"/>
      <c r="F1134" s="276"/>
      <c r="G1134" s="276"/>
    </row>
    <row r="1135" spans="1:7" x14ac:dyDescent="0.35">
      <c r="A1135" s="276"/>
      <c r="B1135" s="276"/>
      <c r="C1135" s="276"/>
      <c r="D1135" s="276"/>
      <c r="E1135" s="276"/>
      <c r="F1135" s="276"/>
      <c r="G1135" s="276"/>
    </row>
    <row r="1136" spans="1:7" x14ac:dyDescent="0.35">
      <c r="A1136" s="276"/>
      <c r="B1136" s="276"/>
      <c r="C1136" s="276"/>
      <c r="D1136" s="276"/>
      <c r="E1136" s="276"/>
      <c r="F1136" s="276"/>
      <c r="G1136" s="276"/>
    </row>
    <row r="1137" spans="1:7" x14ac:dyDescent="0.35">
      <c r="A1137" s="276"/>
      <c r="B1137" s="276"/>
      <c r="C1137" s="276"/>
      <c r="D1137" s="276"/>
      <c r="E1137" s="276"/>
      <c r="F1137" s="276"/>
      <c r="G1137" s="276"/>
    </row>
    <row r="1138" spans="1:7" x14ac:dyDescent="0.35">
      <c r="A1138" s="276"/>
      <c r="B1138" s="276"/>
      <c r="C1138" s="276"/>
      <c r="D1138" s="276"/>
      <c r="E1138" s="276"/>
      <c r="F1138" s="276"/>
      <c r="G1138" s="276"/>
    </row>
    <row r="1139" spans="1:7" x14ac:dyDescent="0.35">
      <c r="A1139" s="276"/>
      <c r="B1139" s="276"/>
      <c r="C1139" s="276"/>
      <c r="D1139" s="276"/>
      <c r="E1139" s="276"/>
      <c r="F1139" s="276"/>
      <c r="G1139" s="276"/>
    </row>
    <row r="1140" spans="1:7" x14ac:dyDescent="0.35">
      <c r="A1140" s="276"/>
      <c r="B1140" s="276"/>
      <c r="C1140" s="276"/>
      <c r="D1140" s="276"/>
      <c r="E1140" s="276"/>
      <c r="F1140" s="276"/>
      <c r="G1140" s="276"/>
    </row>
    <row r="1141" spans="1:7" x14ac:dyDescent="0.35">
      <c r="A1141" s="276"/>
      <c r="B1141" s="276"/>
      <c r="C1141" s="276"/>
      <c r="D1141" s="276"/>
      <c r="E1141" s="276"/>
      <c r="F1141" s="276"/>
      <c r="G1141" s="276"/>
    </row>
    <row r="1142" spans="1:7" x14ac:dyDescent="0.35">
      <c r="A1142" s="276"/>
      <c r="B1142" s="276"/>
      <c r="C1142" s="276"/>
      <c r="D1142" s="276"/>
      <c r="E1142" s="276"/>
      <c r="F1142" s="276"/>
      <c r="G1142" s="276"/>
    </row>
    <row r="1143" spans="1:7" x14ac:dyDescent="0.35">
      <c r="A1143" s="276"/>
      <c r="B1143" s="276"/>
      <c r="C1143" s="276"/>
      <c r="D1143" s="276"/>
      <c r="E1143" s="276"/>
      <c r="F1143" s="276"/>
      <c r="G1143" s="276"/>
    </row>
    <row r="1144" spans="1:7" x14ac:dyDescent="0.35">
      <c r="A1144" s="276"/>
      <c r="B1144" s="276"/>
      <c r="C1144" s="276"/>
      <c r="D1144" s="276"/>
      <c r="E1144" s="276"/>
      <c r="F1144" s="276"/>
      <c r="G1144" s="276"/>
    </row>
    <row r="1145" spans="1:7" x14ac:dyDescent="0.35">
      <c r="A1145" s="276"/>
      <c r="B1145" s="276"/>
      <c r="C1145" s="276"/>
      <c r="D1145" s="276"/>
      <c r="E1145" s="276"/>
      <c r="F1145" s="276"/>
      <c r="G1145" s="276"/>
    </row>
    <row r="1146" spans="1:7" x14ac:dyDescent="0.35">
      <c r="A1146" s="276"/>
      <c r="B1146" s="276"/>
      <c r="C1146" s="276"/>
      <c r="D1146" s="276"/>
      <c r="E1146" s="276"/>
      <c r="F1146" s="276"/>
      <c r="G1146" s="276"/>
    </row>
    <row r="1147" spans="1:7" x14ac:dyDescent="0.35">
      <c r="A1147" s="276"/>
      <c r="B1147" s="276"/>
      <c r="C1147" s="276"/>
      <c r="D1147" s="276"/>
      <c r="E1147" s="276"/>
      <c r="F1147" s="276"/>
      <c r="G1147" s="276"/>
    </row>
    <row r="1148" spans="1:7" x14ac:dyDescent="0.35">
      <c r="A1148" s="276"/>
      <c r="B1148" s="276"/>
      <c r="C1148" s="276"/>
      <c r="D1148" s="276"/>
      <c r="E1148" s="276"/>
      <c r="F1148" s="276"/>
      <c r="G1148" s="276"/>
    </row>
    <row r="1149" spans="1:7" x14ac:dyDescent="0.35">
      <c r="A1149" s="276"/>
      <c r="B1149" s="276"/>
      <c r="C1149" s="276"/>
      <c r="D1149" s="276"/>
      <c r="E1149" s="276"/>
      <c r="F1149" s="276"/>
      <c r="G1149" s="276"/>
    </row>
    <row r="1150" spans="1:7" x14ac:dyDescent="0.35">
      <c r="A1150" s="276"/>
      <c r="B1150" s="276"/>
      <c r="C1150" s="276"/>
      <c r="D1150" s="276"/>
      <c r="E1150" s="276"/>
      <c r="F1150" s="276"/>
      <c r="G1150" s="276"/>
    </row>
    <row r="1151" spans="1:7" x14ac:dyDescent="0.35">
      <c r="A1151" s="276"/>
      <c r="B1151" s="276"/>
      <c r="C1151" s="276"/>
      <c r="D1151" s="276"/>
      <c r="E1151" s="276"/>
      <c r="F1151" s="276"/>
      <c r="G1151" s="276"/>
    </row>
    <row r="1152" spans="1:7" x14ac:dyDescent="0.35">
      <c r="A1152" s="276"/>
      <c r="B1152" s="276"/>
      <c r="C1152" s="276"/>
      <c r="D1152" s="276"/>
      <c r="E1152" s="276"/>
      <c r="F1152" s="276"/>
      <c r="G1152" s="276"/>
    </row>
    <row r="1153" spans="1:7" x14ac:dyDescent="0.35">
      <c r="A1153" s="276"/>
      <c r="B1153" s="276"/>
      <c r="C1153" s="276"/>
      <c r="D1153" s="276"/>
      <c r="E1153" s="276"/>
      <c r="F1153" s="276"/>
      <c r="G1153" s="276"/>
    </row>
    <row r="1154" spans="1:7" x14ac:dyDescent="0.35">
      <c r="A1154" s="276"/>
      <c r="B1154" s="276"/>
      <c r="C1154" s="276"/>
      <c r="D1154" s="276"/>
      <c r="E1154" s="276"/>
      <c r="F1154" s="276"/>
      <c r="G1154" s="276"/>
    </row>
    <row r="1155" spans="1:7" x14ac:dyDescent="0.35">
      <c r="A1155" s="276"/>
      <c r="B1155" s="276"/>
      <c r="C1155" s="276"/>
      <c r="D1155" s="276"/>
      <c r="E1155" s="276"/>
      <c r="F1155" s="276"/>
      <c r="G1155" s="276"/>
    </row>
    <row r="1156" spans="1:7" x14ac:dyDescent="0.35">
      <c r="A1156" s="276"/>
      <c r="B1156" s="276"/>
      <c r="C1156" s="276"/>
      <c r="D1156" s="276"/>
      <c r="E1156" s="276"/>
      <c r="F1156" s="276"/>
      <c r="G1156" s="276"/>
    </row>
    <row r="1157" spans="1:7" x14ac:dyDescent="0.35">
      <c r="A1157" s="276"/>
      <c r="B1157" s="276"/>
      <c r="C1157" s="276"/>
      <c r="D1157" s="276"/>
      <c r="E1157" s="276"/>
      <c r="F1157" s="276"/>
      <c r="G1157" s="276"/>
    </row>
    <row r="1158" spans="1:7" x14ac:dyDescent="0.35">
      <c r="A1158" s="276"/>
      <c r="B1158" s="276"/>
      <c r="C1158" s="276"/>
      <c r="D1158" s="276"/>
      <c r="E1158" s="276"/>
      <c r="F1158" s="276"/>
      <c r="G1158" s="276"/>
    </row>
    <row r="1159" spans="1:7" x14ac:dyDescent="0.35">
      <c r="A1159" s="276"/>
      <c r="B1159" s="276"/>
      <c r="C1159" s="276"/>
      <c r="D1159" s="276"/>
      <c r="E1159" s="276"/>
      <c r="F1159" s="276"/>
      <c r="G1159" s="276"/>
    </row>
    <row r="1160" spans="1:7" x14ac:dyDescent="0.35">
      <c r="A1160" s="276"/>
      <c r="B1160" s="276"/>
      <c r="C1160" s="276"/>
      <c r="D1160" s="276"/>
      <c r="E1160" s="276"/>
      <c r="F1160" s="276"/>
      <c r="G1160" s="276"/>
    </row>
    <row r="1161" spans="1:7" x14ac:dyDescent="0.35">
      <c r="A1161" s="276"/>
      <c r="B1161" s="276"/>
      <c r="C1161" s="276"/>
      <c r="D1161" s="276"/>
      <c r="E1161" s="276"/>
      <c r="F1161" s="276"/>
      <c r="G1161" s="276"/>
    </row>
    <row r="1162" spans="1:7" x14ac:dyDescent="0.35">
      <c r="A1162" s="276"/>
      <c r="B1162" s="276"/>
      <c r="C1162" s="276"/>
      <c r="D1162" s="276"/>
      <c r="E1162" s="276"/>
      <c r="F1162" s="276"/>
      <c r="G1162" s="276"/>
    </row>
    <row r="1163" spans="1:7" x14ac:dyDescent="0.35">
      <c r="A1163" s="276"/>
      <c r="B1163" s="276"/>
      <c r="C1163" s="276"/>
      <c r="D1163" s="276"/>
      <c r="E1163" s="276"/>
      <c r="F1163" s="276"/>
      <c r="G1163" s="276"/>
    </row>
    <row r="1164" spans="1:7" x14ac:dyDescent="0.35">
      <c r="A1164" s="276"/>
      <c r="B1164" s="276"/>
      <c r="C1164" s="276"/>
      <c r="D1164" s="276"/>
      <c r="E1164" s="276"/>
      <c r="F1164" s="276"/>
      <c r="G1164" s="276"/>
    </row>
    <row r="1165" spans="1:7" x14ac:dyDescent="0.35">
      <c r="A1165" s="276"/>
      <c r="B1165" s="276"/>
      <c r="C1165" s="276"/>
      <c r="D1165" s="276"/>
      <c r="E1165" s="276"/>
      <c r="F1165" s="276"/>
      <c r="G1165" s="276"/>
    </row>
    <row r="1166" spans="1:7" x14ac:dyDescent="0.35">
      <c r="A1166" s="276"/>
      <c r="B1166" s="276"/>
      <c r="C1166" s="276"/>
      <c r="D1166" s="276"/>
      <c r="E1166" s="276"/>
      <c r="F1166" s="276"/>
      <c r="G1166" s="276"/>
    </row>
    <row r="1167" spans="1:7" x14ac:dyDescent="0.35">
      <c r="A1167" s="276"/>
      <c r="B1167" s="276"/>
      <c r="C1167" s="276"/>
      <c r="D1167" s="276"/>
      <c r="E1167" s="276"/>
      <c r="F1167" s="276"/>
      <c r="G1167" s="276"/>
    </row>
    <row r="1168" spans="1:7" x14ac:dyDescent="0.35">
      <c r="A1168" s="276"/>
      <c r="B1168" s="276"/>
      <c r="C1168" s="276"/>
      <c r="D1168" s="276"/>
      <c r="E1168" s="276"/>
      <c r="F1168" s="276"/>
      <c r="G1168" s="276"/>
    </row>
    <row r="1169" spans="1:7" x14ac:dyDescent="0.35">
      <c r="A1169" s="276"/>
      <c r="B1169" s="276"/>
      <c r="C1169" s="276"/>
      <c r="D1169" s="276"/>
      <c r="E1169" s="276"/>
      <c r="F1169" s="276"/>
      <c r="G1169" s="276"/>
    </row>
    <row r="1170" spans="1:7" x14ac:dyDescent="0.35">
      <c r="A1170" s="276"/>
      <c r="B1170" s="276"/>
      <c r="C1170" s="276"/>
      <c r="D1170" s="276"/>
      <c r="E1170" s="276"/>
      <c r="F1170" s="276"/>
      <c r="G1170" s="276"/>
    </row>
    <row r="1171" spans="1:7" x14ac:dyDescent="0.35">
      <c r="A1171" s="276"/>
      <c r="B1171" s="276"/>
      <c r="C1171" s="276"/>
      <c r="D1171" s="276"/>
      <c r="E1171" s="276"/>
      <c r="F1171" s="276"/>
      <c r="G1171" s="276"/>
    </row>
    <row r="1172" spans="1:7" x14ac:dyDescent="0.35">
      <c r="A1172" s="276"/>
      <c r="B1172" s="276"/>
      <c r="C1172" s="276"/>
      <c r="D1172" s="276"/>
      <c r="E1172" s="276"/>
      <c r="F1172" s="276"/>
      <c r="G1172" s="276"/>
    </row>
    <row r="1173" spans="1:7" x14ac:dyDescent="0.35">
      <c r="A1173" s="276"/>
      <c r="B1173" s="276"/>
      <c r="C1173" s="276"/>
      <c r="D1173" s="276"/>
      <c r="E1173" s="276"/>
      <c r="F1173" s="276"/>
      <c r="G1173" s="276"/>
    </row>
    <row r="1174" spans="1:7" x14ac:dyDescent="0.35">
      <c r="A1174" s="276"/>
      <c r="B1174" s="276"/>
      <c r="C1174" s="276"/>
      <c r="D1174" s="276"/>
      <c r="E1174" s="276"/>
      <c r="F1174" s="276"/>
      <c r="G1174" s="276"/>
    </row>
    <row r="1175" spans="1:7" x14ac:dyDescent="0.35">
      <c r="A1175" s="276"/>
      <c r="B1175" s="276"/>
      <c r="C1175" s="276"/>
      <c r="D1175" s="276"/>
      <c r="E1175" s="276"/>
      <c r="F1175" s="276"/>
      <c r="G1175" s="276"/>
    </row>
    <row r="1176" spans="1:7" x14ac:dyDescent="0.35">
      <c r="A1176" s="276"/>
      <c r="B1176" s="276"/>
      <c r="C1176" s="276"/>
      <c r="D1176" s="276"/>
      <c r="E1176" s="276"/>
      <c r="F1176" s="276"/>
      <c r="G1176" s="276"/>
    </row>
    <row r="1177" spans="1:7" x14ac:dyDescent="0.35">
      <c r="A1177" s="276"/>
      <c r="B1177" s="276"/>
      <c r="C1177" s="276"/>
      <c r="D1177" s="276"/>
      <c r="E1177" s="276"/>
      <c r="F1177" s="276"/>
      <c r="G1177" s="276"/>
    </row>
    <row r="1178" spans="1:7" x14ac:dyDescent="0.35">
      <c r="A1178" s="276"/>
      <c r="B1178" s="276"/>
      <c r="C1178" s="276"/>
      <c r="D1178" s="276"/>
      <c r="E1178" s="276"/>
      <c r="F1178" s="276"/>
      <c r="G1178" s="276"/>
    </row>
    <row r="1179" spans="1:7" x14ac:dyDescent="0.35">
      <c r="A1179" s="276"/>
      <c r="B1179" s="276"/>
      <c r="C1179" s="276"/>
      <c r="D1179" s="276"/>
      <c r="E1179" s="276"/>
      <c r="F1179" s="276"/>
      <c r="G1179" s="276"/>
    </row>
    <row r="1180" spans="1:7" x14ac:dyDescent="0.35">
      <c r="A1180" s="276"/>
      <c r="B1180" s="276"/>
      <c r="C1180" s="276"/>
      <c r="D1180" s="276"/>
      <c r="E1180" s="276"/>
      <c r="F1180" s="276"/>
      <c r="G1180" s="276"/>
    </row>
    <row r="1181" spans="1:7" x14ac:dyDescent="0.35">
      <c r="A1181" s="276"/>
      <c r="B1181" s="276"/>
      <c r="C1181" s="276"/>
      <c r="D1181" s="276"/>
      <c r="E1181" s="276"/>
      <c r="F1181" s="276"/>
      <c r="G1181" s="276"/>
    </row>
    <row r="1182" spans="1:7" x14ac:dyDescent="0.35">
      <c r="A1182" s="276"/>
      <c r="B1182" s="276"/>
      <c r="C1182" s="276"/>
      <c r="D1182" s="276"/>
      <c r="E1182" s="276"/>
      <c r="F1182" s="276"/>
      <c r="G1182" s="276"/>
    </row>
    <row r="1183" spans="1:7" x14ac:dyDescent="0.35">
      <c r="A1183" s="276"/>
      <c r="B1183" s="276"/>
      <c r="C1183" s="276"/>
      <c r="D1183" s="276"/>
      <c r="E1183" s="276"/>
      <c r="F1183" s="276"/>
      <c r="G1183" s="276"/>
    </row>
    <row r="1184" spans="1:7" x14ac:dyDescent="0.35">
      <c r="A1184" s="276"/>
      <c r="B1184" s="276"/>
      <c r="C1184" s="276"/>
      <c r="D1184" s="276"/>
      <c r="E1184" s="276"/>
      <c r="F1184" s="276"/>
      <c r="G1184" s="276"/>
    </row>
    <row r="1185" spans="1:7" x14ac:dyDescent="0.35">
      <c r="A1185" s="276"/>
      <c r="B1185" s="276"/>
      <c r="C1185" s="276"/>
      <c r="D1185" s="276"/>
      <c r="E1185" s="276"/>
      <c r="F1185" s="276"/>
      <c r="G1185" s="276"/>
    </row>
    <row r="1186" spans="1:7" x14ac:dyDescent="0.35">
      <c r="A1186" s="276"/>
      <c r="B1186" s="276"/>
      <c r="C1186" s="276"/>
      <c r="D1186" s="276"/>
      <c r="E1186" s="276"/>
      <c r="F1186" s="276"/>
      <c r="G1186" s="276"/>
    </row>
    <row r="1187" spans="1:7" x14ac:dyDescent="0.35">
      <c r="A1187" s="276"/>
      <c r="B1187" s="276"/>
      <c r="C1187" s="276"/>
      <c r="D1187" s="276"/>
      <c r="E1187" s="276"/>
      <c r="F1187" s="276"/>
      <c r="G1187" s="276"/>
    </row>
    <row r="1188" spans="1:7" x14ac:dyDescent="0.35">
      <c r="A1188" s="276"/>
      <c r="B1188" s="276"/>
      <c r="C1188" s="276"/>
      <c r="D1188" s="276"/>
      <c r="E1188" s="276"/>
      <c r="F1188" s="276"/>
      <c r="G1188" s="276"/>
    </row>
    <row r="1189" spans="1:7" x14ac:dyDescent="0.35">
      <c r="A1189" s="276"/>
      <c r="B1189" s="276"/>
      <c r="C1189" s="276"/>
      <c r="D1189" s="276"/>
      <c r="E1189" s="276"/>
      <c r="F1189" s="276"/>
      <c r="G1189" s="276"/>
    </row>
    <row r="1190" spans="1:7" x14ac:dyDescent="0.35">
      <c r="A1190" s="276"/>
      <c r="B1190" s="276"/>
      <c r="C1190" s="276"/>
      <c r="D1190" s="276"/>
      <c r="E1190" s="276"/>
      <c r="F1190" s="276"/>
      <c r="G1190" s="276"/>
    </row>
    <row r="1191" spans="1:7" x14ac:dyDescent="0.35">
      <c r="A1191" s="276"/>
      <c r="B1191" s="276"/>
      <c r="C1191" s="276"/>
      <c r="D1191" s="276"/>
      <c r="E1191" s="276"/>
      <c r="F1191" s="276"/>
      <c r="G1191" s="276"/>
    </row>
    <row r="1192" spans="1:7" x14ac:dyDescent="0.35">
      <c r="A1192" s="276"/>
      <c r="B1192" s="276"/>
      <c r="C1192" s="276"/>
      <c r="D1192" s="276"/>
      <c r="E1192" s="276"/>
      <c r="F1192" s="276"/>
      <c r="G1192" s="276"/>
    </row>
    <row r="1193" spans="1:7" x14ac:dyDescent="0.35">
      <c r="A1193" s="276"/>
      <c r="B1193" s="276"/>
      <c r="C1193" s="276"/>
      <c r="D1193" s="276"/>
      <c r="E1193" s="276"/>
      <c r="F1193" s="276"/>
      <c r="G1193" s="276"/>
    </row>
    <row r="1194" spans="1:7" x14ac:dyDescent="0.35">
      <c r="A1194" s="276"/>
      <c r="B1194" s="276"/>
      <c r="C1194" s="276"/>
      <c r="D1194" s="276"/>
      <c r="E1194" s="276"/>
      <c r="F1194" s="276"/>
      <c r="G1194" s="276"/>
    </row>
    <row r="1195" spans="1:7" x14ac:dyDescent="0.35">
      <c r="A1195" s="276"/>
      <c r="B1195" s="276"/>
      <c r="C1195" s="276"/>
      <c r="D1195" s="276"/>
      <c r="E1195" s="276"/>
      <c r="F1195" s="276"/>
      <c r="G1195" s="276"/>
    </row>
    <row r="1196" spans="1:7" x14ac:dyDescent="0.35">
      <c r="A1196" s="276"/>
      <c r="B1196" s="276"/>
      <c r="C1196" s="276"/>
      <c r="D1196" s="276"/>
      <c r="E1196" s="276"/>
      <c r="F1196" s="276"/>
      <c r="G1196" s="276"/>
    </row>
    <row r="1197" spans="1:7" x14ac:dyDescent="0.35">
      <c r="A1197" s="276"/>
      <c r="B1197" s="276"/>
      <c r="C1197" s="276"/>
      <c r="D1197" s="276"/>
      <c r="E1197" s="276"/>
      <c r="F1197" s="276"/>
      <c r="G1197" s="276"/>
    </row>
    <row r="1198" spans="1:7" x14ac:dyDescent="0.35">
      <c r="A1198" s="276"/>
      <c r="B1198" s="276"/>
      <c r="C1198" s="276"/>
      <c r="D1198" s="276"/>
      <c r="E1198" s="276"/>
      <c r="F1198" s="276"/>
      <c r="G1198" s="276"/>
    </row>
    <row r="1199" spans="1:7" x14ac:dyDescent="0.35">
      <c r="A1199" s="276"/>
      <c r="B1199" s="276"/>
      <c r="C1199" s="276"/>
      <c r="D1199" s="276"/>
      <c r="E1199" s="276"/>
      <c r="F1199" s="276"/>
      <c r="G1199" s="276"/>
    </row>
    <row r="1200" spans="1:7" x14ac:dyDescent="0.35">
      <c r="A1200" s="276"/>
      <c r="B1200" s="276"/>
      <c r="C1200" s="276"/>
      <c r="D1200" s="276"/>
      <c r="E1200" s="276"/>
      <c r="F1200" s="276"/>
      <c r="G1200" s="276"/>
    </row>
  </sheetData>
  <autoFilter ref="A1:G21" xr:uid="{00000000-0009-0000-0000-000009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4" r:id="rId4" name="Button 10">
              <controlPr defaultSize="0" print="0" autoFill="0" autoPict="0" macro="[0]!Kopi_Tiltaksliste" altText="Update action list">
                <anchor>
                  <from>
                    <xdr:col>5</xdr:col>
                    <xdr:colOff>1790700</xdr:colOff>
                    <xdr:row>0</xdr:row>
                    <xdr:rowOff>47625</xdr:rowOff>
                  </from>
                  <to>
                    <xdr:col>7</xdr:col>
                    <xdr:colOff>342900</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EEB94-7F1F-45D4-98A7-D299FE570980}">
  <sheetPr codeName="Sheet4">
    <tabColor rgb="FFC00000"/>
  </sheetPr>
  <dimension ref="D5:Q88"/>
  <sheetViews>
    <sheetView topLeftCell="A4" workbookViewId="0">
      <selection activeCell="Q5" sqref="P5:Q5"/>
    </sheetView>
  </sheetViews>
  <sheetFormatPr baseColWidth="10" defaultColWidth="8.85546875" defaultRowHeight="15" x14ac:dyDescent="0.25"/>
  <cols>
    <col min="4" max="4" width="11.42578125" customWidth="1"/>
    <col min="5" max="5" width="60.7109375" customWidth="1"/>
    <col min="6" max="6" width="11.42578125" customWidth="1"/>
    <col min="7" max="7" width="60.7109375" customWidth="1"/>
  </cols>
  <sheetData>
    <row r="5" spans="4:17" ht="60" customHeight="1" x14ac:dyDescent="0.25">
      <c r="D5" s="61" t="s">
        <v>263</v>
      </c>
      <c r="E5" s="61" t="s">
        <v>274</v>
      </c>
      <c r="F5" s="61" t="s">
        <v>263</v>
      </c>
      <c r="G5" s="61" t="s">
        <v>274</v>
      </c>
      <c r="H5" s="1"/>
      <c r="I5" s="1"/>
      <c r="J5" s="1"/>
      <c r="K5" s="1"/>
      <c r="L5" s="1"/>
      <c r="M5" s="1"/>
      <c r="N5" s="1"/>
      <c r="O5" s="1"/>
      <c r="P5" s="1"/>
      <c r="Q5" s="1"/>
    </row>
    <row r="6" spans="4:17" ht="60" customHeight="1" x14ac:dyDescent="0.25">
      <c r="D6" s="55" t="str">
        <f ca="1">Risikomatrise!K5</f>
        <v/>
      </c>
      <c r="E6" s="59" t="str">
        <f ca="1">Risikomatrise!L5</f>
        <v/>
      </c>
      <c r="F6" s="55" t="str">
        <f ca="1">Risikomatrise!M5</f>
        <v/>
      </c>
      <c r="G6" s="59" t="str">
        <f ca="1">Risikomatrise!N5</f>
        <v/>
      </c>
      <c r="H6" s="1"/>
      <c r="I6" s="1"/>
      <c r="J6" s="1"/>
      <c r="K6" s="1"/>
      <c r="L6" s="1"/>
      <c r="M6" s="1"/>
      <c r="N6" s="1"/>
      <c r="O6" s="1"/>
      <c r="P6" s="1"/>
      <c r="Q6" s="1"/>
    </row>
    <row r="7" spans="4:17" ht="60" customHeight="1" x14ac:dyDescent="0.25">
      <c r="D7" s="55" t="str">
        <f ca="1">Risikomatrise!K6</f>
        <v/>
      </c>
      <c r="E7" s="59" t="str">
        <f ca="1">Risikomatrise!L6</f>
        <v/>
      </c>
      <c r="F7" s="55" t="str">
        <f ca="1">Risikomatrise!M6</f>
        <v/>
      </c>
      <c r="G7" s="59" t="str">
        <f ca="1">Risikomatrise!N6</f>
        <v/>
      </c>
      <c r="H7" s="1"/>
      <c r="I7" s="1"/>
      <c r="J7" s="1"/>
      <c r="K7" s="1"/>
      <c r="L7" s="1"/>
      <c r="M7" s="1"/>
      <c r="N7" s="1"/>
      <c r="O7" s="1"/>
      <c r="P7" s="1"/>
      <c r="Q7" s="1"/>
    </row>
    <row r="8" spans="4:17" ht="60" customHeight="1" x14ac:dyDescent="0.25">
      <c r="D8" s="55" t="str">
        <f ca="1">Risikomatrise!K7</f>
        <v/>
      </c>
      <c r="E8" s="59" t="str">
        <f ca="1">Risikomatrise!L7</f>
        <v/>
      </c>
      <c r="F8" s="55" t="str">
        <f ca="1">Risikomatrise!M7</f>
        <v/>
      </c>
      <c r="G8" s="59" t="str">
        <f ca="1">Risikomatrise!N7</f>
        <v/>
      </c>
      <c r="H8" s="1"/>
      <c r="I8" s="1"/>
      <c r="J8" s="1"/>
      <c r="K8" s="1"/>
      <c r="L8" s="1"/>
      <c r="M8" s="1"/>
      <c r="N8" s="1"/>
      <c r="O8" s="1"/>
      <c r="P8" s="1"/>
      <c r="Q8" s="1"/>
    </row>
    <row r="9" spans="4:17" ht="60" customHeight="1" x14ac:dyDescent="0.25">
      <c r="D9" s="55" t="str">
        <f ca="1">Risikomatrise!K8</f>
        <v/>
      </c>
      <c r="E9" s="59" t="str">
        <f ca="1">Risikomatrise!L8</f>
        <v/>
      </c>
      <c r="F9" s="55" t="str">
        <f ca="1">Risikomatrise!M8</f>
        <v/>
      </c>
      <c r="G9" s="59" t="str">
        <f ca="1">Risikomatrise!N8</f>
        <v/>
      </c>
      <c r="H9" s="1"/>
      <c r="I9" s="1"/>
      <c r="J9" s="1"/>
      <c r="K9" s="1"/>
      <c r="L9" s="1"/>
      <c r="M9" s="1"/>
      <c r="N9" s="1"/>
      <c r="O9" s="1"/>
      <c r="P9" s="1"/>
      <c r="Q9" s="1"/>
    </row>
    <row r="10" spans="4:17" ht="60" customHeight="1" x14ac:dyDescent="0.25">
      <c r="D10" s="55" t="str">
        <f ca="1">Risikomatrise!K9</f>
        <v/>
      </c>
      <c r="E10" s="59" t="str">
        <f ca="1">Risikomatrise!L9</f>
        <v/>
      </c>
      <c r="F10" s="55" t="str">
        <f ca="1">Risikomatrise!M9</f>
        <v/>
      </c>
      <c r="G10" s="59" t="str">
        <f ca="1">Risikomatrise!N9</f>
        <v/>
      </c>
      <c r="H10" s="1"/>
      <c r="I10" s="1"/>
      <c r="J10" s="1"/>
      <c r="K10" s="1"/>
      <c r="L10" s="1"/>
      <c r="M10" s="1"/>
      <c r="N10" s="1"/>
      <c r="O10" s="1"/>
      <c r="P10" s="1"/>
      <c r="Q10" s="1"/>
    </row>
    <row r="11" spans="4:17" ht="60" customHeight="1" x14ac:dyDescent="0.25">
      <c r="D11" s="55" t="str">
        <f ca="1">Risikomatrise!K15</f>
        <v/>
      </c>
      <c r="E11" s="59" t="str">
        <f ca="1">Risikomatrise!L15</f>
        <v/>
      </c>
      <c r="F11" s="55" t="str">
        <f ca="1">Risikomatrise!M15</f>
        <v/>
      </c>
      <c r="G11" s="59" t="str">
        <f ca="1">Risikomatrise!N15</f>
        <v/>
      </c>
      <c r="H11" s="1"/>
      <c r="I11" s="1"/>
      <c r="J11" s="1"/>
      <c r="K11" s="1"/>
      <c r="L11" s="1"/>
      <c r="M11" s="1"/>
      <c r="N11" s="1"/>
      <c r="O11" s="1"/>
      <c r="P11" s="1"/>
      <c r="Q11" s="1"/>
    </row>
    <row r="12" spans="4:17" ht="60" customHeight="1" x14ac:dyDescent="0.25">
      <c r="D12" s="55" t="str">
        <f ca="1">Risikomatrise!K16</f>
        <v/>
      </c>
      <c r="E12" s="59" t="str">
        <f ca="1">Risikomatrise!L16</f>
        <v/>
      </c>
      <c r="F12" s="55" t="str">
        <f ca="1">Risikomatrise!M16</f>
        <v/>
      </c>
      <c r="G12" s="59" t="str">
        <f ca="1">Risikomatrise!N16</f>
        <v/>
      </c>
      <c r="H12" s="1"/>
      <c r="I12" s="1"/>
      <c r="J12" s="1"/>
      <c r="K12" s="1"/>
      <c r="L12" s="1"/>
      <c r="M12" s="1"/>
      <c r="N12" s="1"/>
      <c r="O12" s="1"/>
      <c r="P12" s="1"/>
      <c r="Q12" s="1"/>
    </row>
    <row r="13" spans="4:17" ht="60" customHeight="1" x14ac:dyDescent="0.25">
      <c r="D13" s="55" t="str">
        <f ca="1">Risikomatrise!K17</f>
        <v/>
      </c>
      <c r="E13" s="59" t="str">
        <f ca="1">Risikomatrise!L17</f>
        <v/>
      </c>
      <c r="F13" s="55" t="str">
        <f ca="1">Risikomatrise!M17</f>
        <v/>
      </c>
      <c r="G13" s="59" t="str">
        <f ca="1">Risikomatrise!N17</f>
        <v/>
      </c>
      <c r="H13" s="1"/>
      <c r="I13" s="1"/>
      <c r="J13" s="1"/>
      <c r="K13" s="1"/>
      <c r="L13" s="1"/>
      <c r="M13" s="1"/>
      <c r="N13" s="1"/>
      <c r="O13" s="1"/>
      <c r="P13" s="1"/>
      <c r="Q13" s="1"/>
    </row>
    <row r="14" spans="4:17" ht="60" customHeight="1" x14ac:dyDescent="0.25">
      <c r="D14" s="55" t="str">
        <f ca="1">Risikomatrise!K18</f>
        <v/>
      </c>
      <c r="E14" s="59" t="str">
        <f ca="1">Risikomatrise!L18</f>
        <v/>
      </c>
      <c r="F14" s="55" t="str">
        <f ca="1">Risikomatrise!M18</f>
        <v/>
      </c>
      <c r="G14" s="59" t="str">
        <f ca="1">Risikomatrise!N18</f>
        <v/>
      </c>
      <c r="H14" s="1"/>
      <c r="I14" s="1"/>
      <c r="J14" s="1"/>
      <c r="K14" s="1"/>
      <c r="L14" s="1"/>
      <c r="M14" s="1"/>
      <c r="N14" s="1"/>
      <c r="O14" s="1"/>
      <c r="P14" s="1"/>
      <c r="Q14" s="1"/>
    </row>
    <row r="15" spans="4:17" ht="60" customHeight="1" x14ac:dyDescent="0.25">
      <c r="D15" s="55" t="str">
        <f ca="1">Risikomatrise!K19</f>
        <v/>
      </c>
      <c r="E15" s="59" t="str">
        <f ca="1">Risikomatrise!L19</f>
        <v/>
      </c>
      <c r="F15" s="55" t="str">
        <f ca="1">Risikomatrise!M19</f>
        <v/>
      </c>
      <c r="G15" s="59" t="str">
        <f ca="1">Risikomatrise!N19</f>
        <v/>
      </c>
      <c r="H15" s="1"/>
      <c r="I15" s="1"/>
      <c r="J15" s="1"/>
      <c r="K15" s="1"/>
      <c r="L15" s="1"/>
      <c r="M15" s="1"/>
      <c r="N15" s="1"/>
      <c r="O15" s="1"/>
      <c r="P15" s="1"/>
      <c r="Q15" s="1"/>
    </row>
    <row r="16" spans="4:17" ht="60" customHeight="1" x14ac:dyDescent="0.25">
      <c r="D16" s="55" t="str">
        <f ca="1">Risikomatrise!K20</f>
        <v/>
      </c>
      <c r="E16" s="59" t="str">
        <f ca="1">Risikomatrise!L20</f>
        <v/>
      </c>
      <c r="F16" s="55" t="str">
        <f ca="1">Risikomatrise!M20</f>
        <v/>
      </c>
      <c r="G16" s="59" t="str">
        <f ca="1">Risikomatrise!N20</f>
        <v/>
      </c>
      <c r="H16" s="1"/>
      <c r="I16" s="1"/>
      <c r="J16" s="1"/>
      <c r="K16" s="1"/>
      <c r="L16" s="1"/>
      <c r="M16" s="1"/>
      <c r="N16" s="1"/>
      <c r="O16" s="1"/>
      <c r="P16" s="1"/>
      <c r="Q16" s="1"/>
    </row>
    <row r="17" spans="4:17" ht="60" customHeight="1" x14ac:dyDescent="0.25">
      <c r="D17" s="55" t="str">
        <f ca="1">Risikomatrise!K24</f>
        <v/>
      </c>
      <c r="E17" s="59" t="str">
        <f ca="1">Risikomatrise!L24</f>
        <v/>
      </c>
      <c r="F17" s="55" t="str">
        <f ca="1">Risikomatrise!M24</f>
        <v/>
      </c>
      <c r="G17" s="59" t="str">
        <f ca="1">Risikomatrise!N24</f>
        <v/>
      </c>
      <c r="H17" s="1"/>
      <c r="I17" s="1"/>
      <c r="J17" s="1"/>
      <c r="K17" s="1"/>
      <c r="L17" s="1"/>
      <c r="M17" s="1"/>
      <c r="N17" s="1"/>
      <c r="O17" s="1"/>
      <c r="P17" s="1"/>
      <c r="Q17" s="1"/>
    </row>
    <row r="18" spans="4:17" ht="60" customHeight="1" x14ac:dyDescent="0.25">
      <c r="D18" s="55" t="str">
        <f ca="1">Risikomatrise!K25</f>
        <v/>
      </c>
      <c r="E18" s="59" t="str">
        <f ca="1">Risikomatrise!L25</f>
        <v/>
      </c>
      <c r="F18" s="55" t="str">
        <f ca="1">Risikomatrise!M25</f>
        <v/>
      </c>
      <c r="G18" s="59" t="str">
        <f ca="1">Risikomatrise!N25</f>
        <v/>
      </c>
      <c r="H18" s="1"/>
      <c r="I18" s="1"/>
      <c r="J18" s="1"/>
      <c r="K18" s="1"/>
      <c r="L18" s="1"/>
      <c r="M18" s="1"/>
      <c r="N18" s="1"/>
      <c r="O18" s="1"/>
      <c r="P18" s="1"/>
      <c r="Q18" s="1"/>
    </row>
    <row r="19" spans="4:17" ht="60" customHeight="1" x14ac:dyDescent="0.25">
      <c r="D19" s="55" t="str">
        <f ca="1">Risikomatrise!K26</f>
        <v/>
      </c>
      <c r="E19" s="59" t="str">
        <f ca="1">Risikomatrise!L26</f>
        <v/>
      </c>
      <c r="F19" s="55" t="str">
        <f ca="1">Risikomatrise!M26</f>
        <v/>
      </c>
      <c r="G19" s="59" t="str">
        <f ca="1">Risikomatrise!N26</f>
        <v/>
      </c>
      <c r="H19" s="1"/>
      <c r="I19" s="1"/>
      <c r="J19" s="1"/>
      <c r="K19" s="1"/>
      <c r="L19" s="1"/>
      <c r="M19" s="1"/>
      <c r="N19" s="1"/>
      <c r="O19" s="1"/>
      <c r="P19" s="1"/>
      <c r="Q19" s="1"/>
    </row>
    <row r="20" spans="4:17" x14ac:dyDescent="0.25">
      <c r="D20" s="1"/>
      <c r="E20" s="1"/>
      <c r="F20" s="1"/>
      <c r="G20" s="1"/>
      <c r="H20" s="1"/>
      <c r="I20" s="1"/>
      <c r="J20" s="1"/>
      <c r="K20" s="1"/>
      <c r="L20" s="1"/>
      <c r="M20" s="1"/>
      <c r="N20" s="1"/>
      <c r="O20" s="1"/>
      <c r="P20" s="1"/>
      <c r="Q20" s="1"/>
    </row>
    <row r="21" spans="4:17" x14ac:dyDescent="0.25">
      <c r="D21" s="1"/>
      <c r="E21" s="1"/>
      <c r="F21" s="1"/>
      <c r="G21" s="1"/>
      <c r="H21" s="1"/>
      <c r="I21" s="1"/>
      <c r="J21" s="1"/>
      <c r="K21" s="1"/>
      <c r="L21" s="1"/>
      <c r="M21" s="1"/>
      <c r="N21" s="1"/>
      <c r="O21" s="1"/>
      <c r="P21" s="1"/>
      <c r="Q21" s="1"/>
    </row>
    <row r="22" spans="4:17" x14ac:dyDescent="0.25">
      <c r="D22" s="1"/>
      <c r="E22" s="1"/>
      <c r="F22" s="1"/>
      <c r="G22" s="1"/>
      <c r="H22" s="1"/>
      <c r="I22" s="1"/>
      <c r="J22" s="1"/>
      <c r="K22" s="1"/>
      <c r="L22" s="1"/>
      <c r="M22" s="1"/>
      <c r="N22" s="1"/>
      <c r="O22" s="1"/>
      <c r="P22" s="1"/>
      <c r="Q22" s="1"/>
    </row>
    <row r="23" spans="4:17" x14ac:dyDescent="0.25">
      <c r="D23" s="1"/>
      <c r="E23" s="1"/>
      <c r="F23" s="1"/>
      <c r="G23" s="1"/>
      <c r="H23" s="1"/>
      <c r="I23" s="1"/>
      <c r="J23" s="1"/>
      <c r="K23" s="1"/>
      <c r="L23" s="1"/>
      <c r="M23" s="1"/>
      <c r="N23" s="1"/>
      <c r="O23" s="1"/>
      <c r="P23" s="1"/>
      <c r="Q23" s="1"/>
    </row>
    <row r="24" spans="4:17" x14ac:dyDescent="0.25">
      <c r="D24" s="1"/>
      <c r="E24" s="1"/>
      <c r="F24" s="1"/>
      <c r="G24" s="1"/>
      <c r="H24" s="1"/>
      <c r="I24" s="1"/>
      <c r="J24" s="1"/>
      <c r="K24" s="1"/>
      <c r="L24" s="1"/>
      <c r="M24" s="1"/>
      <c r="N24" s="1"/>
      <c r="O24" s="1"/>
      <c r="P24" s="1"/>
      <c r="Q24" s="1"/>
    </row>
    <row r="25" spans="4:17" x14ac:dyDescent="0.25">
      <c r="D25" s="1"/>
      <c r="E25" s="1"/>
      <c r="F25" s="1"/>
      <c r="G25" s="1"/>
      <c r="H25" s="1"/>
      <c r="I25" s="1"/>
      <c r="J25" s="1"/>
      <c r="K25" s="1"/>
      <c r="L25" s="1"/>
      <c r="M25" s="1"/>
      <c r="N25" s="1"/>
      <c r="O25" s="1"/>
      <c r="P25" s="1"/>
      <c r="Q25" s="1"/>
    </row>
    <row r="26" spans="4:17" x14ac:dyDescent="0.25">
      <c r="D26" s="1"/>
      <c r="E26" s="1"/>
      <c r="F26" s="1"/>
      <c r="G26" s="1"/>
      <c r="H26" s="1"/>
      <c r="I26" s="1"/>
      <c r="J26" s="1"/>
      <c r="K26" s="1"/>
      <c r="L26" s="1"/>
      <c r="M26" s="1"/>
      <c r="N26" s="1"/>
      <c r="O26" s="1"/>
      <c r="P26" s="1"/>
      <c r="Q26" s="1"/>
    </row>
    <row r="27" spans="4:17" x14ac:dyDescent="0.25">
      <c r="D27" s="1"/>
      <c r="E27" s="1"/>
      <c r="F27" s="1"/>
      <c r="G27" s="1"/>
      <c r="H27" s="1"/>
      <c r="I27" s="1"/>
      <c r="J27" s="1"/>
      <c r="K27" s="1"/>
      <c r="L27" s="1"/>
      <c r="M27" s="1"/>
      <c r="N27" s="1"/>
      <c r="O27" s="1"/>
      <c r="P27" s="1"/>
      <c r="Q27" s="1"/>
    </row>
    <row r="28" spans="4:17" x14ac:dyDescent="0.25">
      <c r="D28" s="1"/>
      <c r="E28" s="1"/>
      <c r="F28" s="1"/>
      <c r="G28" s="1"/>
      <c r="H28" s="1"/>
      <c r="I28" s="1"/>
      <c r="J28" s="1"/>
      <c r="K28" s="1"/>
      <c r="L28" s="1"/>
      <c r="M28" s="1"/>
      <c r="N28" s="1"/>
      <c r="O28" s="1"/>
      <c r="P28" s="1"/>
      <c r="Q28" s="1"/>
    </row>
    <row r="29" spans="4:17" x14ac:dyDescent="0.25">
      <c r="D29" s="1"/>
      <c r="E29" s="1"/>
      <c r="F29" s="1"/>
      <c r="G29" s="1"/>
      <c r="H29" s="1"/>
      <c r="I29" s="1"/>
      <c r="J29" s="1"/>
      <c r="K29" s="1"/>
      <c r="L29" s="1"/>
      <c r="M29" s="1"/>
      <c r="N29" s="1"/>
      <c r="O29" s="1"/>
      <c r="P29" s="1"/>
      <c r="Q29" s="1"/>
    </row>
    <row r="30" spans="4:17" x14ac:dyDescent="0.25">
      <c r="D30" s="1"/>
      <c r="E30" s="1"/>
      <c r="F30" s="1"/>
      <c r="G30" s="1"/>
      <c r="H30" s="1"/>
      <c r="I30" s="1"/>
      <c r="J30" s="1"/>
      <c r="K30" s="1"/>
      <c r="L30" s="1"/>
      <c r="M30" s="1"/>
      <c r="N30" s="1"/>
      <c r="O30" s="1"/>
      <c r="P30" s="1"/>
      <c r="Q30" s="1"/>
    </row>
    <row r="31" spans="4:17" x14ac:dyDescent="0.25">
      <c r="D31" s="1"/>
      <c r="E31" s="1"/>
      <c r="F31" s="1"/>
      <c r="G31" s="1"/>
      <c r="H31" s="1"/>
      <c r="I31" s="1"/>
      <c r="J31" s="1"/>
      <c r="K31" s="1"/>
      <c r="L31" s="1"/>
      <c r="M31" s="1"/>
      <c r="N31" s="1"/>
      <c r="O31" s="1"/>
      <c r="P31" s="1"/>
      <c r="Q31" s="1"/>
    </row>
    <row r="32" spans="4:17" x14ac:dyDescent="0.25">
      <c r="D32" s="1"/>
      <c r="E32" s="1"/>
      <c r="F32" s="1"/>
      <c r="G32" s="1"/>
      <c r="H32" s="1"/>
      <c r="I32" s="1"/>
      <c r="J32" s="1"/>
      <c r="K32" s="1"/>
      <c r="L32" s="1"/>
      <c r="M32" s="1"/>
      <c r="N32" s="1"/>
      <c r="O32" s="1"/>
      <c r="P32" s="1"/>
      <c r="Q32" s="1"/>
    </row>
    <row r="33" spans="4:17" x14ac:dyDescent="0.25">
      <c r="D33" s="1"/>
      <c r="E33" s="1"/>
      <c r="F33" s="1"/>
      <c r="G33" s="1"/>
      <c r="H33" s="1"/>
      <c r="I33" s="1"/>
      <c r="J33" s="1"/>
      <c r="K33" s="1"/>
      <c r="L33" s="1"/>
      <c r="M33" s="1"/>
      <c r="N33" s="1"/>
      <c r="O33" s="1"/>
      <c r="P33" s="1"/>
      <c r="Q33" s="1"/>
    </row>
    <row r="34" spans="4:17" x14ac:dyDescent="0.25">
      <c r="D34" s="1"/>
      <c r="E34" s="1"/>
      <c r="F34" s="1"/>
      <c r="G34" s="1"/>
      <c r="H34" s="1"/>
      <c r="I34" s="1"/>
      <c r="J34" s="1"/>
      <c r="K34" s="1"/>
      <c r="L34" s="1"/>
      <c r="M34" s="1"/>
      <c r="N34" s="1"/>
      <c r="O34" s="1"/>
      <c r="P34" s="1"/>
      <c r="Q34" s="1"/>
    </row>
    <row r="35" spans="4:17" x14ac:dyDescent="0.25">
      <c r="D35" s="1"/>
      <c r="E35" s="1"/>
      <c r="F35" s="1"/>
      <c r="G35" s="1"/>
      <c r="H35" s="1"/>
      <c r="I35" s="1"/>
      <c r="J35" s="1"/>
      <c r="K35" s="1"/>
      <c r="L35" s="1"/>
      <c r="M35" s="1"/>
      <c r="N35" s="1"/>
      <c r="O35" s="1"/>
      <c r="P35" s="1"/>
      <c r="Q35" s="1"/>
    </row>
    <row r="36" spans="4:17" x14ac:dyDescent="0.25">
      <c r="D36" s="1"/>
      <c r="E36" s="1"/>
      <c r="F36" s="1"/>
      <c r="G36" s="1"/>
      <c r="H36" s="1"/>
      <c r="I36" s="1"/>
      <c r="J36" s="1"/>
      <c r="K36" s="1"/>
      <c r="L36" s="1"/>
      <c r="M36" s="1"/>
      <c r="N36" s="1"/>
      <c r="O36" s="1"/>
      <c r="P36" s="1"/>
      <c r="Q36" s="1"/>
    </row>
    <row r="37" spans="4:17" x14ac:dyDescent="0.25">
      <c r="D37" s="1"/>
      <c r="E37" s="1"/>
      <c r="F37" s="1"/>
      <c r="G37" s="1"/>
      <c r="H37" s="1"/>
      <c r="I37" s="1"/>
      <c r="J37" s="1"/>
      <c r="K37" s="1"/>
      <c r="L37" s="1"/>
      <c r="M37" s="1"/>
      <c r="N37" s="1"/>
      <c r="O37" s="1"/>
      <c r="P37" s="1"/>
      <c r="Q37" s="1"/>
    </row>
    <row r="38" spans="4:17" x14ac:dyDescent="0.25">
      <c r="D38" s="1"/>
      <c r="E38" s="1"/>
      <c r="F38" s="1"/>
      <c r="G38" s="1"/>
      <c r="H38" s="1"/>
      <c r="I38" s="1"/>
      <c r="J38" s="1"/>
      <c r="K38" s="1"/>
      <c r="L38" s="1"/>
      <c r="M38" s="1"/>
      <c r="N38" s="1"/>
      <c r="O38" s="1"/>
      <c r="P38" s="1"/>
      <c r="Q38" s="1"/>
    </row>
    <row r="39" spans="4:17" x14ac:dyDescent="0.25">
      <c r="D39" s="1"/>
      <c r="E39" s="1"/>
      <c r="F39" s="1"/>
      <c r="G39" s="1"/>
      <c r="H39" s="1"/>
      <c r="I39" s="1"/>
      <c r="J39" s="1"/>
      <c r="K39" s="1"/>
      <c r="L39" s="1"/>
      <c r="M39" s="1"/>
      <c r="N39" s="1"/>
      <c r="O39" s="1"/>
      <c r="P39" s="1"/>
      <c r="Q39" s="1"/>
    </row>
    <row r="40" spans="4:17" x14ac:dyDescent="0.25">
      <c r="D40" s="1"/>
      <c r="E40" s="1"/>
      <c r="F40" s="1"/>
      <c r="G40" s="1"/>
      <c r="H40" s="1"/>
      <c r="I40" s="1"/>
      <c r="J40" s="1"/>
      <c r="K40" s="1"/>
      <c r="L40" s="1"/>
      <c r="M40" s="1"/>
      <c r="N40" s="1"/>
      <c r="O40" s="1"/>
      <c r="P40" s="1"/>
      <c r="Q40" s="1"/>
    </row>
    <row r="41" spans="4:17" x14ac:dyDescent="0.25">
      <c r="D41" s="1"/>
      <c r="E41" s="1"/>
      <c r="F41" s="1"/>
      <c r="G41" s="1"/>
      <c r="H41" s="1"/>
      <c r="I41" s="1"/>
      <c r="J41" s="1"/>
      <c r="K41" s="1"/>
      <c r="L41" s="1"/>
      <c r="M41" s="1"/>
      <c r="N41" s="1"/>
      <c r="O41" s="1"/>
      <c r="P41" s="1"/>
      <c r="Q41" s="1"/>
    </row>
    <row r="42" spans="4:17" x14ac:dyDescent="0.25">
      <c r="D42" s="1"/>
      <c r="E42" s="1"/>
      <c r="F42" s="1"/>
      <c r="G42" s="1"/>
      <c r="H42" s="1"/>
      <c r="I42" s="1"/>
      <c r="J42" s="1"/>
      <c r="K42" s="1"/>
      <c r="L42" s="1"/>
      <c r="M42" s="1"/>
      <c r="N42" s="1"/>
      <c r="O42" s="1"/>
      <c r="P42" s="1"/>
      <c r="Q42" s="1"/>
    </row>
    <row r="43" spans="4:17" x14ac:dyDescent="0.25">
      <c r="D43" s="1"/>
      <c r="E43" s="1"/>
      <c r="F43" s="1"/>
      <c r="G43" s="1"/>
      <c r="H43" s="1"/>
      <c r="I43" s="1"/>
      <c r="J43" s="1"/>
      <c r="K43" s="1"/>
      <c r="L43" s="1"/>
      <c r="M43" s="1"/>
      <c r="N43" s="1"/>
      <c r="O43" s="1"/>
      <c r="P43" s="1"/>
      <c r="Q43" s="1"/>
    </row>
    <row r="44" spans="4:17" x14ac:dyDescent="0.25">
      <c r="D44" s="1"/>
      <c r="E44" s="1"/>
      <c r="F44" s="1"/>
      <c r="G44" s="1"/>
      <c r="H44" s="1"/>
      <c r="I44" s="1"/>
      <c r="J44" s="1"/>
      <c r="K44" s="1"/>
      <c r="L44" s="1"/>
      <c r="M44" s="1"/>
      <c r="N44" s="1"/>
      <c r="O44" s="1"/>
      <c r="P44" s="1"/>
      <c r="Q44" s="1"/>
    </row>
    <row r="45" spans="4:17" x14ac:dyDescent="0.25">
      <c r="D45" s="1"/>
      <c r="E45" s="1"/>
      <c r="F45" s="1"/>
      <c r="G45" s="1"/>
      <c r="H45" s="1"/>
      <c r="I45" s="1"/>
      <c r="J45" s="1"/>
      <c r="K45" s="1"/>
      <c r="L45" s="1"/>
      <c r="M45" s="1"/>
      <c r="N45" s="1"/>
      <c r="O45" s="1"/>
      <c r="P45" s="1"/>
      <c r="Q45" s="1"/>
    </row>
    <row r="46" spans="4:17" x14ac:dyDescent="0.25">
      <c r="D46" s="1"/>
      <c r="E46" s="1"/>
      <c r="F46" s="1"/>
      <c r="G46" s="1"/>
      <c r="H46" s="1"/>
      <c r="I46" s="1"/>
      <c r="J46" s="1"/>
      <c r="K46" s="1"/>
      <c r="L46" s="1"/>
      <c r="M46" s="1"/>
      <c r="N46" s="1"/>
      <c r="O46" s="1"/>
      <c r="P46" s="1"/>
      <c r="Q46" s="1"/>
    </row>
    <row r="47" spans="4:17" x14ac:dyDescent="0.25">
      <c r="D47" s="1"/>
      <c r="E47" s="1"/>
      <c r="F47" s="1"/>
      <c r="G47" s="1"/>
      <c r="H47" s="1"/>
      <c r="I47" s="1"/>
      <c r="J47" s="1"/>
      <c r="K47" s="1"/>
      <c r="L47" s="1"/>
      <c r="M47" s="1"/>
      <c r="N47" s="1"/>
      <c r="O47" s="1"/>
      <c r="P47" s="1"/>
      <c r="Q47" s="1"/>
    </row>
    <row r="48" spans="4:17" x14ac:dyDescent="0.25">
      <c r="D48" s="1"/>
      <c r="E48" s="1"/>
      <c r="F48" s="1"/>
      <c r="G48" s="1"/>
      <c r="H48" s="1"/>
      <c r="I48" s="1"/>
      <c r="J48" s="1"/>
      <c r="K48" s="1"/>
      <c r="L48" s="1"/>
      <c r="M48" s="1"/>
      <c r="N48" s="1"/>
      <c r="O48" s="1"/>
      <c r="P48" s="1"/>
      <c r="Q48" s="1"/>
    </row>
    <row r="49" spans="4:17" x14ac:dyDescent="0.25">
      <c r="D49" s="1"/>
      <c r="E49" s="1"/>
      <c r="F49" s="1"/>
      <c r="G49" s="1"/>
      <c r="H49" s="1"/>
      <c r="I49" s="1"/>
      <c r="J49" s="1"/>
      <c r="K49" s="1"/>
      <c r="L49" s="1"/>
      <c r="M49" s="1"/>
      <c r="N49" s="1"/>
      <c r="O49" s="1"/>
      <c r="P49" s="1"/>
      <c r="Q49" s="1"/>
    </row>
    <row r="50" spans="4:17" x14ac:dyDescent="0.25">
      <c r="D50" s="1"/>
      <c r="E50" s="1"/>
      <c r="F50" s="1"/>
      <c r="G50" s="1"/>
      <c r="H50" s="1"/>
      <c r="I50" s="1"/>
      <c r="J50" s="1"/>
      <c r="K50" s="1"/>
      <c r="L50" s="1"/>
      <c r="M50" s="1"/>
      <c r="N50" s="1"/>
      <c r="O50" s="1"/>
      <c r="P50" s="1"/>
      <c r="Q50" s="1"/>
    </row>
    <row r="51" spans="4:17" x14ac:dyDescent="0.25">
      <c r="D51" s="1"/>
      <c r="E51" s="1"/>
      <c r="F51" s="1"/>
      <c r="G51" s="1"/>
      <c r="H51" s="1"/>
      <c r="I51" s="1"/>
      <c r="J51" s="1"/>
      <c r="K51" s="1"/>
      <c r="L51" s="1"/>
      <c r="M51" s="1"/>
      <c r="N51" s="1"/>
      <c r="O51" s="1"/>
      <c r="P51" s="1"/>
      <c r="Q51" s="1"/>
    </row>
    <row r="52" spans="4:17" x14ac:dyDescent="0.25">
      <c r="D52" s="1"/>
      <c r="E52" s="1"/>
      <c r="F52" s="1"/>
      <c r="G52" s="1"/>
      <c r="H52" s="1"/>
      <c r="I52" s="1"/>
      <c r="J52" s="1"/>
      <c r="K52" s="1"/>
      <c r="L52" s="1"/>
      <c r="M52" s="1"/>
      <c r="N52" s="1"/>
      <c r="O52" s="1"/>
      <c r="P52" s="1"/>
      <c r="Q52" s="1"/>
    </row>
    <row r="53" spans="4:17" x14ac:dyDescent="0.25">
      <c r="D53" s="1"/>
      <c r="E53" s="1"/>
      <c r="F53" s="1"/>
      <c r="G53" s="1"/>
      <c r="H53" s="1"/>
      <c r="I53" s="1"/>
      <c r="J53" s="1"/>
      <c r="K53" s="1"/>
      <c r="L53" s="1"/>
      <c r="M53" s="1"/>
      <c r="N53" s="1"/>
      <c r="O53" s="1"/>
      <c r="P53" s="1"/>
      <c r="Q53" s="1"/>
    </row>
    <row r="54" spans="4:17" x14ac:dyDescent="0.25">
      <c r="D54" s="1"/>
      <c r="E54" s="1"/>
      <c r="F54" s="1"/>
      <c r="G54" s="1"/>
      <c r="H54" s="1"/>
      <c r="I54" s="1"/>
      <c r="J54" s="1"/>
      <c r="K54" s="1"/>
      <c r="L54" s="1"/>
      <c r="M54" s="1"/>
      <c r="N54" s="1"/>
      <c r="O54" s="1"/>
      <c r="P54" s="1"/>
      <c r="Q54" s="1"/>
    </row>
    <row r="55" spans="4:17" x14ac:dyDescent="0.25">
      <c r="D55" s="1"/>
      <c r="E55" s="1"/>
      <c r="F55" s="1"/>
      <c r="G55" s="1"/>
      <c r="H55" s="1"/>
      <c r="I55" s="1"/>
      <c r="J55" s="1"/>
      <c r="K55" s="1"/>
      <c r="L55" s="1"/>
      <c r="M55" s="1"/>
      <c r="N55" s="1"/>
      <c r="O55" s="1"/>
      <c r="P55" s="1"/>
      <c r="Q55" s="1"/>
    </row>
    <row r="56" spans="4:17" x14ac:dyDescent="0.25">
      <c r="D56" s="1"/>
      <c r="E56" s="1"/>
      <c r="F56" s="1"/>
      <c r="G56" s="1"/>
      <c r="H56" s="1"/>
      <c r="I56" s="1"/>
      <c r="J56" s="1"/>
      <c r="K56" s="1"/>
      <c r="L56" s="1"/>
      <c r="M56" s="1"/>
      <c r="N56" s="1"/>
      <c r="O56" s="1"/>
      <c r="P56" s="1"/>
      <c r="Q56" s="1"/>
    </row>
    <row r="57" spans="4:17" x14ac:dyDescent="0.25">
      <c r="D57" s="1"/>
      <c r="E57" s="1"/>
      <c r="F57" s="1"/>
      <c r="G57" s="1"/>
      <c r="H57" s="1"/>
      <c r="I57" s="1"/>
      <c r="J57" s="1"/>
      <c r="K57" s="1"/>
      <c r="L57" s="1"/>
      <c r="M57" s="1"/>
      <c r="N57" s="1"/>
      <c r="O57" s="1"/>
      <c r="P57" s="1"/>
      <c r="Q57" s="1"/>
    </row>
    <row r="58" spans="4:17" x14ac:dyDescent="0.25">
      <c r="D58" s="1"/>
      <c r="E58" s="1"/>
      <c r="F58" s="1"/>
      <c r="G58" s="1"/>
      <c r="H58" s="1"/>
      <c r="I58" s="1"/>
      <c r="J58" s="1"/>
      <c r="K58" s="1"/>
      <c r="L58" s="1"/>
      <c r="M58" s="1"/>
      <c r="N58" s="1"/>
      <c r="O58" s="1"/>
      <c r="P58" s="1"/>
      <c r="Q58" s="1"/>
    </row>
    <row r="59" spans="4:17" x14ac:dyDescent="0.25">
      <c r="D59" s="1"/>
      <c r="E59" s="1"/>
      <c r="F59" s="1"/>
      <c r="G59" s="1"/>
      <c r="H59" s="1"/>
      <c r="I59" s="1"/>
      <c r="J59" s="1"/>
      <c r="K59" s="1"/>
      <c r="L59" s="1"/>
      <c r="M59" s="1"/>
      <c r="N59" s="1"/>
      <c r="O59" s="1"/>
      <c r="P59" s="1"/>
      <c r="Q59" s="1"/>
    </row>
    <row r="60" spans="4:17" x14ac:dyDescent="0.25">
      <c r="D60" s="1"/>
      <c r="E60" s="1"/>
      <c r="F60" s="1"/>
      <c r="G60" s="1"/>
      <c r="H60" s="1"/>
      <c r="I60" s="1"/>
      <c r="J60" s="1"/>
      <c r="K60" s="1"/>
      <c r="L60" s="1"/>
      <c r="M60" s="1"/>
      <c r="N60" s="1"/>
      <c r="O60" s="1"/>
      <c r="P60" s="1"/>
      <c r="Q60" s="1"/>
    </row>
    <row r="61" spans="4:17" x14ac:dyDescent="0.25">
      <c r="D61" s="1"/>
      <c r="E61" s="1"/>
      <c r="F61" s="1"/>
      <c r="G61" s="1"/>
      <c r="H61" s="1"/>
      <c r="I61" s="1"/>
      <c r="J61" s="1"/>
      <c r="K61" s="1"/>
      <c r="L61" s="1"/>
      <c r="M61" s="1"/>
      <c r="N61" s="1"/>
      <c r="O61" s="1"/>
      <c r="P61" s="1"/>
      <c r="Q61" s="1"/>
    </row>
    <row r="62" spans="4:17" x14ac:dyDescent="0.25">
      <c r="D62" s="1"/>
      <c r="E62" s="1"/>
      <c r="F62" s="1"/>
      <c r="G62" s="1"/>
      <c r="H62" s="1"/>
      <c r="I62" s="1"/>
      <c r="J62" s="1"/>
      <c r="K62" s="1"/>
      <c r="L62" s="1"/>
      <c r="M62" s="1"/>
      <c r="N62" s="1"/>
      <c r="O62" s="1"/>
      <c r="P62" s="1"/>
      <c r="Q62" s="1"/>
    </row>
    <row r="63" spans="4:17" x14ac:dyDescent="0.25">
      <c r="D63" s="1"/>
      <c r="E63" s="1"/>
      <c r="F63" s="1"/>
      <c r="G63" s="1"/>
      <c r="H63" s="1"/>
      <c r="I63" s="1"/>
      <c r="J63" s="1"/>
      <c r="K63" s="1"/>
      <c r="L63" s="1"/>
      <c r="M63" s="1"/>
      <c r="N63" s="1"/>
      <c r="O63" s="1"/>
      <c r="P63" s="1"/>
      <c r="Q63" s="1"/>
    </row>
    <row r="64" spans="4:17" x14ac:dyDescent="0.25">
      <c r="D64" s="1"/>
      <c r="E64" s="1"/>
      <c r="F64" s="1"/>
      <c r="G64" s="1"/>
      <c r="H64" s="1"/>
      <c r="I64" s="1"/>
      <c r="J64" s="1"/>
      <c r="K64" s="1"/>
      <c r="L64" s="1"/>
      <c r="M64" s="1"/>
      <c r="N64" s="1"/>
      <c r="O64" s="1"/>
      <c r="P64" s="1"/>
      <c r="Q64" s="1"/>
    </row>
    <row r="65" spans="4:17" x14ac:dyDescent="0.25">
      <c r="D65" s="1"/>
      <c r="E65" s="1"/>
      <c r="F65" s="1"/>
      <c r="G65" s="1"/>
      <c r="H65" s="1"/>
      <c r="I65" s="1"/>
      <c r="J65" s="1"/>
      <c r="K65" s="1"/>
      <c r="L65" s="1"/>
      <c r="M65" s="1"/>
      <c r="N65" s="1"/>
      <c r="O65" s="1"/>
      <c r="P65" s="1"/>
      <c r="Q65" s="1"/>
    </row>
    <row r="66" spans="4:17" x14ac:dyDescent="0.25">
      <c r="D66" s="1"/>
      <c r="E66" s="1"/>
      <c r="F66" s="1"/>
      <c r="G66" s="1"/>
      <c r="H66" s="1"/>
      <c r="I66" s="1"/>
      <c r="J66" s="1"/>
      <c r="K66" s="1"/>
      <c r="L66" s="1"/>
      <c r="M66" s="1"/>
      <c r="N66" s="1"/>
      <c r="O66" s="1"/>
      <c r="P66" s="1"/>
      <c r="Q66" s="1"/>
    </row>
    <row r="67" spans="4:17" x14ac:dyDescent="0.25">
      <c r="D67" s="1"/>
      <c r="E67" s="1"/>
      <c r="F67" s="1"/>
      <c r="G67" s="1"/>
      <c r="H67" s="1"/>
      <c r="I67" s="1"/>
      <c r="J67" s="1"/>
      <c r="K67" s="1"/>
      <c r="L67" s="1"/>
      <c r="M67" s="1"/>
      <c r="N67" s="1"/>
      <c r="O67" s="1"/>
      <c r="P67" s="1"/>
      <c r="Q67" s="1"/>
    </row>
    <row r="68" spans="4:17" x14ac:dyDescent="0.25">
      <c r="D68" s="1"/>
      <c r="E68" s="1"/>
      <c r="F68" s="1"/>
      <c r="G68" s="1"/>
      <c r="H68" s="1"/>
      <c r="I68" s="1"/>
      <c r="J68" s="1"/>
      <c r="K68" s="1"/>
      <c r="L68" s="1"/>
      <c r="M68" s="1"/>
      <c r="N68" s="1"/>
      <c r="O68" s="1"/>
      <c r="P68" s="1"/>
      <c r="Q68" s="1"/>
    </row>
    <row r="69" spans="4:17" x14ac:dyDescent="0.25">
      <c r="D69" s="1"/>
      <c r="E69" s="1"/>
      <c r="F69" s="1"/>
      <c r="G69" s="1"/>
      <c r="H69" s="1"/>
      <c r="I69" s="1"/>
      <c r="J69" s="1"/>
      <c r="K69" s="1"/>
      <c r="L69" s="1"/>
      <c r="M69" s="1"/>
      <c r="N69" s="1"/>
      <c r="O69" s="1"/>
      <c r="P69" s="1"/>
      <c r="Q69" s="1"/>
    </row>
    <row r="70" spans="4:17" x14ac:dyDescent="0.25">
      <c r="D70" s="1"/>
      <c r="E70" s="1"/>
      <c r="F70" s="1"/>
      <c r="G70" s="1"/>
      <c r="H70" s="1"/>
      <c r="I70" s="1"/>
      <c r="J70" s="1"/>
      <c r="K70" s="1"/>
      <c r="L70" s="1"/>
      <c r="M70" s="1"/>
      <c r="N70" s="1"/>
      <c r="O70" s="1"/>
      <c r="P70" s="1"/>
      <c r="Q70" s="1"/>
    </row>
    <row r="71" spans="4:17" x14ac:dyDescent="0.25">
      <c r="D71" s="1"/>
      <c r="E71" s="1"/>
      <c r="F71" s="1"/>
      <c r="G71" s="1"/>
      <c r="H71" s="1"/>
      <c r="I71" s="1"/>
      <c r="J71" s="1"/>
      <c r="K71" s="1"/>
      <c r="L71" s="1"/>
      <c r="M71" s="1"/>
      <c r="N71" s="1"/>
      <c r="O71" s="1"/>
      <c r="P71" s="1"/>
      <c r="Q71" s="1"/>
    </row>
    <row r="72" spans="4:17" x14ac:dyDescent="0.25">
      <c r="D72" s="1"/>
      <c r="E72" s="1"/>
      <c r="F72" s="1"/>
      <c r="G72" s="1"/>
      <c r="H72" s="1"/>
      <c r="I72" s="1"/>
      <c r="J72" s="1"/>
      <c r="K72" s="1"/>
      <c r="L72" s="1"/>
      <c r="M72" s="1"/>
      <c r="N72" s="1"/>
      <c r="O72" s="1"/>
      <c r="P72" s="1"/>
      <c r="Q72" s="1"/>
    </row>
    <row r="73" spans="4:17" x14ac:dyDescent="0.25">
      <c r="D73" s="1"/>
      <c r="E73" s="1"/>
      <c r="F73" s="1"/>
      <c r="G73" s="1"/>
      <c r="H73" s="1"/>
      <c r="I73" s="1"/>
      <c r="J73" s="1"/>
      <c r="K73" s="1"/>
      <c r="L73" s="1"/>
      <c r="M73" s="1"/>
      <c r="N73" s="1"/>
      <c r="O73" s="1"/>
      <c r="P73" s="1"/>
      <c r="Q73" s="1"/>
    </row>
    <row r="74" spans="4:17" x14ac:dyDescent="0.25">
      <c r="D74" s="1"/>
      <c r="E74" s="1"/>
      <c r="F74" s="1"/>
      <c r="G74" s="1"/>
      <c r="H74" s="1"/>
      <c r="I74" s="1"/>
      <c r="J74" s="1"/>
      <c r="K74" s="1"/>
      <c r="L74" s="1"/>
      <c r="M74" s="1"/>
      <c r="N74" s="1"/>
      <c r="O74" s="1"/>
      <c r="P74" s="1"/>
      <c r="Q74" s="1"/>
    </row>
    <row r="75" spans="4:17" x14ac:dyDescent="0.25">
      <c r="D75" s="1"/>
      <c r="E75" s="1"/>
      <c r="F75" s="1"/>
      <c r="G75" s="1"/>
      <c r="H75" s="1"/>
      <c r="I75" s="1"/>
      <c r="J75" s="1"/>
      <c r="K75" s="1"/>
      <c r="L75" s="1"/>
      <c r="M75" s="1"/>
      <c r="N75" s="1"/>
      <c r="O75" s="1"/>
      <c r="P75" s="1"/>
      <c r="Q75" s="1"/>
    </row>
    <row r="76" spans="4:17" x14ac:dyDescent="0.25">
      <c r="D76" s="1"/>
      <c r="E76" s="1"/>
      <c r="F76" s="1"/>
      <c r="G76" s="1"/>
      <c r="H76" s="1"/>
      <c r="I76" s="1"/>
      <c r="J76" s="1"/>
      <c r="K76" s="1"/>
      <c r="L76" s="1"/>
      <c r="M76" s="1"/>
      <c r="N76" s="1"/>
      <c r="O76" s="1"/>
      <c r="P76" s="1"/>
      <c r="Q76" s="1"/>
    </row>
    <row r="77" spans="4:17" x14ac:dyDescent="0.25">
      <c r="D77" s="1"/>
      <c r="E77" s="1"/>
      <c r="F77" s="1"/>
      <c r="G77" s="1"/>
      <c r="H77" s="1"/>
      <c r="I77" s="1"/>
      <c r="J77" s="1"/>
      <c r="K77" s="1"/>
      <c r="L77" s="1"/>
      <c r="M77" s="1"/>
      <c r="N77" s="1"/>
      <c r="O77" s="1"/>
      <c r="P77" s="1"/>
      <c r="Q77" s="1"/>
    </row>
    <row r="78" spans="4:17" x14ac:dyDescent="0.25">
      <c r="D78" s="1"/>
      <c r="E78" s="1"/>
      <c r="F78" s="1"/>
      <c r="G78" s="1"/>
      <c r="H78" s="1"/>
      <c r="I78" s="1"/>
      <c r="J78" s="1"/>
      <c r="K78" s="1"/>
      <c r="L78" s="1"/>
      <c r="M78" s="1"/>
      <c r="N78" s="1"/>
      <c r="O78" s="1"/>
      <c r="P78" s="1"/>
      <c r="Q78" s="1"/>
    </row>
    <row r="79" spans="4:17" x14ac:dyDescent="0.25">
      <c r="D79" s="1"/>
      <c r="E79" s="1"/>
      <c r="F79" s="1"/>
      <c r="G79" s="1"/>
      <c r="H79" s="1"/>
      <c r="I79" s="1"/>
      <c r="J79" s="1"/>
      <c r="K79" s="1"/>
      <c r="L79" s="1"/>
      <c r="M79" s="1"/>
      <c r="N79" s="1"/>
      <c r="O79" s="1"/>
      <c r="P79" s="1"/>
      <c r="Q79" s="1"/>
    </row>
    <row r="80" spans="4:17" x14ac:dyDescent="0.25">
      <c r="D80" s="1"/>
      <c r="E80" s="1"/>
      <c r="F80" s="1"/>
      <c r="G80" s="1"/>
      <c r="H80" s="1"/>
      <c r="I80" s="1"/>
      <c r="J80" s="1"/>
      <c r="K80" s="1"/>
      <c r="L80" s="1"/>
      <c r="M80" s="1"/>
      <c r="N80" s="1"/>
      <c r="O80" s="1"/>
      <c r="P80" s="1"/>
      <c r="Q80" s="1"/>
    </row>
    <row r="81" spans="4:17" x14ac:dyDescent="0.25">
      <c r="D81" s="1"/>
      <c r="E81" s="1"/>
      <c r="F81" s="1"/>
      <c r="G81" s="1"/>
      <c r="H81" s="1"/>
      <c r="I81" s="1"/>
      <c r="J81" s="1"/>
      <c r="K81" s="1"/>
      <c r="L81" s="1"/>
      <c r="M81" s="1"/>
      <c r="N81" s="1"/>
      <c r="O81" s="1"/>
      <c r="P81" s="1"/>
      <c r="Q81" s="1"/>
    </row>
    <row r="82" spans="4:17" x14ac:dyDescent="0.25">
      <c r="D82" s="1"/>
      <c r="E82" s="1"/>
      <c r="F82" s="1"/>
      <c r="G82" s="1"/>
      <c r="H82" s="1"/>
      <c r="I82" s="1"/>
      <c r="J82" s="1"/>
      <c r="K82" s="1"/>
      <c r="L82" s="1"/>
      <c r="M82" s="1"/>
      <c r="N82" s="1"/>
      <c r="O82" s="1"/>
      <c r="P82" s="1"/>
      <c r="Q82" s="1"/>
    </row>
    <row r="83" spans="4:17" x14ac:dyDescent="0.25">
      <c r="D83" s="1"/>
      <c r="E83" s="1"/>
      <c r="F83" s="1"/>
      <c r="G83" s="1"/>
      <c r="H83" s="1"/>
      <c r="I83" s="1"/>
      <c r="J83" s="1"/>
      <c r="K83" s="1"/>
      <c r="L83" s="1"/>
      <c r="M83" s="1"/>
      <c r="N83" s="1"/>
      <c r="O83" s="1"/>
      <c r="P83" s="1"/>
      <c r="Q83" s="1"/>
    </row>
    <row r="84" spans="4:17" x14ac:dyDescent="0.25">
      <c r="D84" s="1"/>
      <c r="E84" s="1"/>
      <c r="F84" s="1"/>
      <c r="G84" s="1"/>
      <c r="H84" s="1"/>
      <c r="I84" s="1"/>
      <c r="J84" s="1"/>
      <c r="K84" s="1"/>
      <c r="L84" s="1"/>
      <c r="M84" s="1"/>
      <c r="N84" s="1"/>
      <c r="O84" s="1"/>
      <c r="P84" s="1"/>
      <c r="Q84" s="1"/>
    </row>
    <row r="85" spans="4:17" x14ac:dyDescent="0.25">
      <c r="D85" s="1"/>
      <c r="E85" s="1"/>
      <c r="F85" s="1"/>
      <c r="G85" s="1"/>
      <c r="H85" s="1"/>
      <c r="I85" s="1"/>
      <c r="J85" s="1"/>
      <c r="K85" s="1"/>
      <c r="L85" s="1"/>
      <c r="M85" s="1"/>
      <c r="N85" s="1"/>
      <c r="O85" s="1"/>
      <c r="P85" s="1"/>
      <c r="Q85" s="1"/>
    </row>
    <row r="86" spans="4:17" x14ac:dyDescent="0.25">
      <c r="D86" s="1"/>
      <c r="E86" s="1"/>
      <c r="F86" s="1"/>
      <c r="G86" s="1"/>
      <c r="H86" s="1"/>
      <c r="I86" s="1"/>
      <c r="J86" s="1"/>
      <c r="K86" s="1"/>
      <c r="L86" s="1"/>
      <c r="M86" s="1"/>
      <c r="N86" s="1"/>
      <c r="O86" s="1"/>
      <c r="P86" s="1"/>
      <c r="Q86" s="1"/>
    </row>
    <row r="87" spans="4:17" x14ac:dyDescent="0.25">
      <c r="D87" s="1"/>
      <c r="E87" s="1"/>
      <c r="F87" s="1"/>
      <c r="G87" s="1"/>
      <c r="H87" s="1"/>
      <c r="I87" s="1"/>
      <c r="J87" s="1"/>
      <c r="K87" s="1"/>
      <c r="L87" s="1"/>
      <c r="M87" s="1"/>
      <c r="N87" s="1"/>
      <c r="O87" s="1"/>
      <c r="P87" s="1"/>
      <c r="Q87" s="1"/>
    </row>
    <row r="88" spans="4:17" x14ac:dyDescent="0.25">
      <c r="D88" s="1"/>
      <c r="E88" s="1"/>
      <c r="F88" s="1"/>
      <c r="G88" s="1"/>
      <c r="H88" s="1"/>
      <c r="I88" s="1"/>
      <c r="J88" s="1"/>
      <c r="K88" s="1"/>
      <c r="L88" s="1"/>
      <c r="M88" s="1"/>
      <c r="N88" s="1"/>
      <c r="O88" s="1"/>
      <c r="P88" s="1"/>
      <c r="Q88" s="1"/>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627E-CA32-4D0C-8F00-57E3869D1C72}">
  <sheetPr codeName="Sheet1"/>
  <dimension ref="A1:B31"/>
  <sheetViews>
    <sheetView workbookViewId="0">
      <selection activeCell="B22" sqref="B22"/>
    </sheetView>
  </sheetViews>
  <sheetFormatPr baseColWidth="10" defaultColWidth="8.85546875" defaultRowHeight="15" x14ac:dyDescent="0.25"/>
  <sheetData>
    <row r="1" spans="1:1" x14ac:dyDescent="0.25">
      <c r="A1" t="s">
        <v>275</v>
      </c>
    </row>
    <row r="2" spans="1:1" x14ac:dyDescent="0.25">
      <c r="A2" t="s">
        <v>276</v>
      </c>
    </row>
    <row r="3" spans="1:1" x14ac:dyDescent="0.25">
      <c r="A3" t="s">
        <v>277</v>
      </c>
    </row>
    <row r="4" spans="1:1" x14ac:dyDescent="0.25">
      <c r="A4" t="s">
        <v>278</v>
      </c>
    </row>
    <row r="5" spans="1:1" x14ac:dyDescent="0.25">
      <c r="A5" t="s">
        <v>279</v>
      </c>
    </row>
    <row r="6" spans="1:1" x14ac:dyDescent="0.25">
      <c r="A6" t="s">
        <v>280</v>
      </c>
    </row>
    <row r="7" spans="1:1" x14ac:dyDescent="0.25">
      <c r="A7" t="s">
        <v>281</v>
      </c>
    </row>
    <row r="8" spans="1:1" x14ac:dyDescent="0.25">
      <c r="A8" t="s">
        <v>282</v>
      </c>
    </row>
    <row r="9" spans="1:1" x14ac:dyDescent="0.25">
      <c r="A9" t="s">
        <v>283</v>
      </c>
    </row>
    <row r="10" spans="1:1" x14ac:dyDescent="0.25">
      <c r="A10" t="s">
        <v>284</v>
      </c>
    </row>
    <row r="11" spans="1:1" x14ac:dyDescent="0.25">
      <c r="A11" t="s">
        <v>285</v>
      </c>
    </row>
    <row r="12" spans="1:1" x14ac:dyDescent="0.25">
      <c r="A12" t="s">
        <v>286</v>
      </c>
    </row>
    <row r="13" spans="1:1" x14ac:dyDescent="0.25">
      <c r="A13" t="s">
        <v>287</v>
      </c>
    </row>
    <row r="14" spans="1:1" x14ac:dyDescent="0.25">
      <c r="A14" t="s">
        <v>288</v>
      </c>
    </row>
    <row r="15" spans="1:1" x14ac:dyDescent="0.25">
      <c r="A15" t="s">
        <v>289</v>
      </c>
    </row>
    <row r="16" spans="1:1" x14ac:dyDescent="0.25">
      <c r="A16" t="s">
        <v>290</v>
      </c>
    </row>
    <row r="17" spans="1:2" x14ac:dyDescent="0.25">
      <c r="A17" t="s">
        <v>291</v>
      </c>
    </row>
    <row r="18" spans="1:2" x14ac:dyDescent="0.25">
      <c r="A18" t="s">
        <v>292</v>
      </c>
    </row>
    <row r="19" spans="1:2" x14ac:dyDescent="0.25">
      <c r="A19" t="s">
        <v>293</v>
      </c>
    </row>
    <row r="20" spans="1:2" x14ac:dyDescent="0.25">
      <c r="A20" t="s">
        <v>294</v>
      </c>
    </row>
    <row r="21" spans="1:2" x14ac:dyDescent="0.25">
      <c r="A21" t="s">
        <v>295</v>
      </c>
      <c r="B21" s="45"/>
    </row>
    <row r="22" spans="1:2" x14ac:dyDescent="0.25">
      <c r="A22" t="s">
        <v>296</v>
      </c>
      <c r="B22" t="s">
        <v>307</v>
      </c>
    </row>
    <row r="23" spans="1:2" x14ac:dyDescent="0.25">
      <c r="A23" t="s">
        <v>297</v>
      </c>
      <c r="B23" s="56"/>
    </row>
    <row r="24" spans="1:2" x14ac:dyDescent="0.25">
      <c r="A24" t="s">
        <v>298</v>
      </c>
    </row>
    <row r="25" spans="1:2" x14ac:dyDescent="0.25">
      <c r="A25" t="s">
        <v>299</v>
      </c>
      <c r="B25" s="57" t="s">
        <v>306</v>
      </c>
    </row>
    <row r="26" spans="1:2" x14ac:dyDescent="0.25">
      <c r="A26" t="s">
        <v>300</v>
      </c>
    </row>
    <row r="27" spans="1:2" x14ac:dyDescent="0.25">
      <c r="A27" t="s">
        <v>301</v>
      </c>
    </row>
    <row r="28" spans="1:2" x14ac:dyDescent="0.25">
      <c r="A28" t="s">
        <v>302</v>
      </c>
    </row>
    <row r="29" spans="1:2" x14ac:dyDescent="0.25">
      <c r="A29" t="s">
        <v>303</v>
      </c>
    </row>
    <row r="30" spans="1:2" x14ac:dyDescent="0.25">
      <c r="A30" t="s">
        <v>304</v>
      </c>
    </row>
    <row r="31" spans="1:2" x14ac:dyDescent="0.25">
      <c r="A31" t="s">
        <v>305</v>
      </c>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Ark3"/>
  <dimension ref="A1:U26"/>
  <sheetViews>
    <sheetView topLeftCell="C1" workbookViewId="0">
      <selection activeCell="U12" sqref="Q12:U12"/>
    </sheetView>
  </sheetViews>
  <sheetFormatPr baseColWidth="10" defaultColWidth="9.140625" defaultRowHeight="15" x14ac:dyDescent="0.25"/>
  <cols>
    <col min="1" max="1" width="19" customWidth="1"/>
    <col min="2" max="2" width="14.85546875" customWidth="1"/>
    <col min="3" max="3" width="26.140625" customWidth="1"/>
    <col min="5" max="5" width="11" bestFit="1" customWidth="1"/>
    <col min="6" max="6" width="8.42578125" bestFit="1" customWidth="1"/>
    <col min="7" max="7" width="17" bestFit="1" customWidth="1"/>
    <col min="8" max="8" width="12.42578125" customWidth="1"/>
    <col min="9" max="9" width="10.7109375" bestFit="1" customWidth="1"/>
    <col min="13" max="13" width="15" customWidth="1"/>
    <col min="17" max="17" width="13" customWidth="1"/>
    <col min="19" max="19" width="10.42578125" customWidth="1"/>
    <col min="20" max="20" width="10.140625" bestFit="1" customWidth="1"/>
    <col min="21" max="21" width="15.5703125" bestFit="1" customWidth="1"/>
  </cols>
  <sheetData>
    <row r="1" spans="1:21" x14ac:dyDescent="0.25">
      <c r="A1" t="s">
        <v>119</v>
      </c>
      <c r="C1" t="s">
        <v>120</v>
      </c>
    </row>
    <row r="2" spans="1:21" x14ac:dyDescent="0.25">
      <c r="A2" t="s">
        <v>121</v>
      </c>
      <c r="B2" t="s">
        <v>81</v>
      </c>
      <c r="C2" t="s">
        <v>122</v>
      </c>
      <c r="E2" s="5" t="s">
        <v>123</v>
      </c>
      <c r="G2" t="s">
        <v>124</v>
      </c>
      <c r="R2" t="s">
        <v>264</v>
      </c>
    </row>
    <row r="3" spans="1:21" x14ac:dyDescent="0.25">
      <c r="A3" t="s">
        <v>125</v>
      </c>
      <c r="B3" t="s">
        <v>126</v>
      </c>
      <c r="C3">
        <v>1</v>
      </c>
      <c r="D3" s="5" t="s">
        <v>127</v>
      </c>
      <c r="E3" t="s">
        <v>128</v>
      </c>
      <c r="G3" t="s">
        <v>128</v>
      </c>
      <c r="M3">
        <f>IF(L3&gt;261,'Datasource 2'!B9,(IF(L3&gt;219,'Datasource 2'!B10,(IF(L3&gt;40,'Datasource 2'!B12,(IF(L3&gt;0,$P$13,$P$14)))))))</f>
        <v>0</v>
      </c>
      <c r="Q3" t="s">
        <v>7</v>
      </c>
      <c r="R3" t="s">
        <v>8</v>
      </c>
      <c r="S3" t="s">
        <v>10</v>
      </c>
      <c r="T3" t="s">
        <v>13</v>
      </c>
      <c r="U3" t="s">
        <v>15</v>
      </c>
    </row>
    <row r="4" spans="1:21" x14ac:dyDescent="0.25">
      <c r="A4" t="s">
        <v>129</v>
      </c>
      <c r="B4" t="s">
        <v>130</v>
      </c>
      <c r="C4">
        <v>2</v>
      </c>
      <c r="D4" s="5" t="s">
        <v>127</v>
      </c>
      <c r="E4" t="s">
        <v>118</v>
      </c>
      <c r="G4" t="s">
        <v>118</v>
      </c>
      <c r="Q4" s="62" t="e">
        <f>COUNTIF(Verdivurdering!D2:D1000,"Ubetydelig")/R20</f>
        <v>#DIV/0!</v>
      </c>
      <c r="R4" s="63" t="e">
        <f>COUNTIF(Verdivurdering!D2:D1000,"Lav")/R20</f>
        <v>#DIV/0!</v>
      </c>
      <c r="S4" s="62" t="e">
        <f>COUNTIF(Verdivurdering!D2:D1000,"Moderat")/R20</f>
        <v>#DIV/0!</v>
      </c>
      <c r="T4" s="62" t="e">
        <f>COUNTIF(Verdivurdering!D2:D1000,"Alvorlig")/R20</f>
        <v>#DIV/0!</v>
      </c>
      <c r="U4" s="62" t="e">
        <f>COUNTIF(Verdivurdering!D2:D1000,"Svært alvorlig")/R20</f>
        <v>#DIV/0!</v>
      </c>
    </row>
    <row r="5" spans="1:21" x14ac:dyDescent="0.25">
      <c r="B5" t="s">
        <v>131</v>
      </c>
      <c r="C5">
        <v>3</v>
      </c>
      <c r="D5" s="5" t="s">
        <v>127</v>
      </c>
      <c r="E5" t="s">
        <v>114</v>
      </c>
      <c r="G5" t="s">
        <v>114</v>
      </c>
    </row>
    <row r="6" spans="1:21" x14ac:dyDescent="0.25">
      <c r="A6" s="6"/>
      <c r="B6" s="6"/>
      <c r="C6" s="6">
        <v>4</v>
      </c>
      <c r="D6" s="7" t="s">
        <v>127</v>
      </c>
      <c r="E6" s="6" t="s">
        <v>116</v>
      </c>
      <c r="F6" s="6"/>
      <c r="G6" s="6" t="s">
        <v>116</v>
      </c>
      <c r="H6" s="6"/>
      <c r="R6" t="s">
        <v>265</v>
      </c>
    </row>
    <row r="7" spans="1:21" x14ac:dyDescent="0.25">
      <c r="C7" s="478" t="s">
        <v>132</v>
      </c>
      <c r="D7" s="478"/>
      <c r="E7" s="478" t="s">
        <v>106</v>
      </c>
      <c r="F7" s="478"/>
      <c r="Q7" t="s">
        <v>7</v>
      </c>
      <c r="R7" t="s">
        <v>8</v>
      </c>
      <c r="S7" t="s">
        <v>10</v>
      </c>
      <c r="T7" t="s">
        <v>13</v>
      </c>
      <c r="U7" t="s">
        <v>15</v>
      </c>
    </row>
    <row r="8" spans="1:21" x14ac:dyDescent="0.25">
      <c r="A8" s="8">
        <v>5</v>
      </c>
      <c r="B8" t="s">
        <v>267</v>
      </c>
      <c r="C8" s="8">
        <v>5</v>
      </c>
      <c r="D8" s="9">
        <v>261</v>
      </c>
      <c r="E8" s="8" t="s">
        <v>133</v>
      </c>
      <c r="F8" s="9">
        <v>3499</v>
      </c>
      <c r="H8" t="s">
        <v>109</v>
      </c>
      <c r="M8" t="s">
        <v>134</v>
      </c>
      <c r="N8">
        <v>25000</v>
      </c>
      <c r="Q8" s="62" t="e">
        <f>COUNTIF(Verdivurdering!E2:E1000,"Ubetydelig")/R21</f>
        <v>#DIV/0!</v>
      </c>
      <c r="R8" s="62" t="e">
        <f>COUNTIF(Verdivurdering!E2:E1000,"Lav")/R21</f>
        <v>#DIV/0!</v>
      </c>
      <c r="S8" s="62" t="e">
        <f>COUNTIF(Verdivurdering!E2:E1000,"Moderat")/R21</f>
        <v>#DIV/0!</v>
      </c>
      <c r="T8" s="62" t="e">
        <f>COUNTIF(Verdivurdering!E2:E1000,"Alvorlig")/R21</f>
        <v>#DIV/0!</v>
      </c>
      <c r="U8" s="62" t="e">
        <f>COUNTIF(Verdivurdering!E2:E1000,"Svært alvorlig")/R21</f>
        <v>#DIV/0!</v>
      </c>
    </row>
    <row r="9" spans="1:21" x14ac:dyDescent="0.25">
      <c r="A9" s="8">
        <v>4</v>
      </c>
      <c r="B9" t="s">
        <v>268</v>
      </c>
      <c r="C9" s="8">
        <v>4</v>
      </c>
      <c r="D9" s="9">
        <v>214</v>
      </c>
      <c r="E9" s="8" t="s">
        <v>133</v>
      </c>
      <c r="F9" s="9">
        <v>2499</v>
      </c>
    </row>
    <row r="10" spans="1:21" x14ac:dyDescent="0.25">
      <c r="A10" s="8">
        <v>3</v>
      </c>
      <c r="B10" t="s">
        <v>269</v>
      </c>
      <c r="C10" s="8">
        <v>3</v>
      </c>
      <c r="D10" s="9">
        <v>131</v>
      </c>
      <c r="E10" s="8" t="s">
        <v>133</v>
      </c>
      <c r="F10" s="9">
        <v>499</v>
      </c>
      <c r="R10" t="s">
        <v>266</v>
      </c>
    </row>
    <row r="11" spans="1:21" x14ac:dyDescent="0.25">
      <c r="A11" s="8">
        <v>2</v>
      </c>
      <c r="B11" t="s">
        <v>270</v>
      </c>
      <c r="C11" s="8">
        <v>2</v>
      </c>
      <c r="D11" s="9">
        <v>39</v>
      </c>
      <c r="E11" s="8" t="s">
        <v>133</v>
      </c>
      <c r="F11" s="9">
        <v>49</v>
      </c>
      <c r="M11" t="s">
        <v>135</v>
      </c>
      <c r="N11">
        <v>50</v>
      </c>
      <c r="Q11" t="s">
        <v>7</v>
      </c>
      <c r="R11" t="s">
        <v>8</v>
      </c>
      <c r="S11" t="s">
        <v>10</v>
      </c>
      <c r="T11" t="s">
        <v>13</v>
      </c>
      <c r="U11" t="s">
        <v>15</v>
      </c>
    </row>
    <row r="12" spans="1:21" x14ac:dyDescent="0.25">
      <c r="A12" s="8">
        <v>1</v>
      </c>
      <c r="B12" t="s">
        <v>271</v>
      </c>
      <c r="C12" s="8">
        <v>1</v>
      </c>
      <c r="D12" s="9">
        <v>0</v>
      </c>
      <c r="E12" s="8" t="s">
        <v>133</v>
      </c>
      <c r="F12" s="9">
        <v>0</v>
      </c>
      <c r="M12" t="s">
        <v>7</v>
      </c>
      <c r="N12">
        <v>10</v>
      </c>
      <c r="Q12" s="62" t="e">
        <f>COUNTIF(Verdivurdering!F2:F1000,"Ubetydelig")/R22</f>
        <v>#DIV/0!</v>
      </c>
      <c r="R12" s="62" t="e">
        <f>COUNTIF(Verdivurdering!F2:F1000,"Lav")/R22</f>
        <v>#DIV/0!</v>
      </c>
      <c r="S12" s="62" t="e">
        <f>COUNTIF(Verdivurdering!F2:F1000,"Moderat")/R22</f>
        <v>#DIV/0!</v>
      </c>
      <c r="T12" s="62" t="e">
        <f>COUNTIF(Verdivurdering!F2:F1000,"Alvorlig")/R22</f>
        <v>#DIV/0!</v>
      </c>
      <c r="U12" s="62" t="e">
        <f>COUNTIF(Verdivurdering!F2:F1000,"Svært alvorlig")/R22</f>
        <v>#DIV/0!</v>
      </c>
    </row>
    <row r="13" spans="1:21" x14ac:dyDescent="0.25">
      <c r="A13" s="8">
        <v>0</v>
      </c>
      <c r="B13" t="s">
        <v>272</v>
      </c>
      <c r="C13" s="8">
        <v>0</v>
      </c>
      <c r="D13" s="9" t="s">
        <v>137</v>
      </c>
      <c r="E13" s="8" t="s">
        <v>127</v>
      </c>
      <c r="F13" s="9">
        <v>0</v>
      </c>
      <c r="M13" t="s">
        <v>138</v>
      </c>
      <c r="N13">
        <v>0</v>
      </c>
    </row>
    <row r="14" spans="1:21" x14ac:dyDescent="0.25">
      <c r="B14" t="s">
        <v>136</v>
      </c>
      <c r="G14" t="s">
        <v>263</v>
      </c>
      <c r="I14" t="s">
        <v>7</v>
      </c>
      <c r="J14">
        <v>1</v>
      </c>
      <c r="K14" t="s">
        <v>139</v>
      </c>
      <c r="M14" t="s">
        <v>140</v>
      </c>
    </row>
    <row r="15" spans="1:21" x14ac:dyDescent="0.25">
      <c r="A15" t="s">
        <v>261</v>
      </c>
      <c r="B15" t="s">
        <v>81</v>
      </c>
      <c r="C15" s="8" t="s">
        <v>141</v>
      </c>
      <c r="D15" s="9">
        <v>1</v>
      </c>
      <c r="E15" s="8" t="s">
        <v>128</v>
      </c>
      <c r="F15" t="s">
        <v>128</v>
      </c>
      <c r="G15" t="s">
        <v>7</v>
      </c>
      <c r="H15">
        <v>1</v>
      </c>
      <c r="I15" t="s">
        <v>8</v>
      </c>
      <c r="J15">
        <v>2</v>
      </c>
      <c r="K15" t="s">
        <v>142</v>
      </c>
      <c r="M15" t="s">
        <v>143</v>
      </c>
      <c r="N15" t="s">
        <v>144</v>
      </c>
    </row>
    <row r="16" spans="1:21" x14ac:dyDescent="0.25">
      <c r="A16" t="s">
        <v>132</v>
      </c>
      <c r="B16" t="s">
        <v>145</v>
      </c>
      <c r="C16" s="8" t="s">
        <v>146</v>
      </c>
      <c r="D16" s="9">
        <v>2</v>
      </c>
      <c r="E16" s="8" t="s">
        <v>118</v>
      </c>
      <c r="F16" t="s">
        <v>118</v>
      </c>
      <c r="G16" t="s">
        <v>8</v>
      </c>
      <c r="H16">
        <v>2</v>
      </c>
      <c r="I16" t="s">
        <v>11</v>
      </c>
      <c r="J16">
        <v>3</v>
      </c>
      <c r="K16" t="s">
        <v>147</v>
      </c>
      <c r="M16" t="s">
        <v>148</v>
      </c>
      <c r="Q16" t="s">
        <v>313</v>
      </c>
    </row>
    <row r="17" spans="1:18" x14ac:dyDescent="0.25">
      <c r="A17" t="s">
        <v>106</v>
      </c>
      <c r="B17" t="s">
        <v>149</v>
      </c>
      <c r="C17" s="8" t="s">
        <v>150</v>
      </c>
      <c r="D17" s="9">
        <v>3</v>
      </c>
      <c r="E17" s="8" t="s">
        <v>114</v>
      </c>
      <c r="F17" t="s">
        <v>114</v>
      </c>
      <c r="G17" t="s">
        <v>10</v>
      </c>
      <c r="H17">
        <v>3</v>
      </c>
      <c r="I17" t="s">
        <v>16</v>
      </c>
      <c r="J17">
        <v>4</v>
      </c>
      <c r="Q17" t="s">
        <v>290</v>
      </c>
    </row>
    <row r="18" spans="1:18" x14ac:dyDescent="0.25">
      <c r="A18" t="s">
        <v>262</v>
      </c>
      <c r="B18" t="s">
        <v>151</v>
      </c>
      <c r="D18" s="9">
        <v>4</v>
      </c>
      <c r="E18" s="8" t="s">
        <v>116</v>
      </c>
      <c r="F18" t="s">
        <v>152</v>
      </c>
      <c r="G18" t="s">
        <v>13</v>
      </c>
      <c r="H18">
        <v>4</v>
      </c>
      <c r="I18" t="s">
        <v>87</v>
      </c>
      <c r="J18">
        <v>5</v>
      </c>
    </row>
    <row r="19" spans="1:18" x14ac:dyDescent="0.25">
      <c r="G19" t="s">
        <v>319</v>
      </c>
      <c r="H19">
        <v>5</v>
      </c>
      <c r="Q19" t="s">
        <v>320</v>
      </c>
    </row>
    <row r="20" spans="1:18" x14ac:dyDescent="0.25">
      <c r="Q20" t="s">
        <v>321</v>
      </c>
      <c r="R20">
        <f>COUNTIF(Verdivurdering!D2:D1000,"Ubetydelig")+COUNTIF(Verdivurdering!D2:D1000,"Lav")+COUNTIF(Verdivurdering!D2:D1000,"Moderat")+COUNTIF(Verdivurdering!D2:D1000,"Alvorlig")+COUNTIF(Verdivurdering!D2:D1000,"Svært alvorlig")</f>
        <v>0</v>
      </c>
    </row>
    <row r="21" spans="1:18" x14ac:dyDescent="0.25">
      <c r="A21" t="s">
        <v>153</v>
      </c>
      <c r="D21" t="s">
        <v>154</v>
      </c>
      <c r="Q21" t="s">
        <v>322</v>
      </c>
      <c r="R21">
        <f>COUNTIF(Verdivurdering!E2:E1000,"Ubetydelig")+COUNTIF(Verdivurdering!E2:E1000,"Lav")+COUNTIF(Verdivurdering!E2:E1000,"Moderat")+COUNTIF(Verdivurdering!E2:E1000,"Alvorlig")+COUNTIF(Verdivurdering!E2:E1000,"Svært alvorlig")</f>
        <v>0</v>
      </c>
    </row>
    <row r="22" spans="1:18" x14ac:dyDescent="0.25">
      <c r="Q22" t="s">
        <v>323</v>
      </c>
      <c r="R22">
        <f>COUNTIF(Verdivurdering!F2:F1000,"Ubetydelig")+COUNTIF(Verdivurdering!F2:F1000,"Lav")+COUNTIF(Verdivurdering!F2:F1000,"Moderat")+COUNTIF(Verdivurdering!F2:F1000,"Alvorlig")+COUNTIF(Verdivurdering!F2:F1000,"Svært alvorlig")</f>
        <v>0</v>
      </c>
    </row>
    <row r="23" spans="1:18" x14ac:dyDescent="0.25">
      <c r="A23" t="s">
        <v>155</v>
      </c>
    </row>
    <row r="24" spans="1:18" x14ac:dyDescent="0.25">
      <c r="A24" t="s">
        <v>156</v>
      </c>
    </row>
    <row r="25" spans="1:18" x14ac:dyDescent="0.25">
      <c r="A25" t="s">
        <v>157</v>
      </c>
    </row>
    <row r="26" spans="1:18" x14ac:dyDescent="0.25">
      <c r="A26" t="s">
        <v>158</v>
      </c>
    </row>
  </sheetData>
  <mergeCells count="2">
    <mergeCell ref="C7:D7"/>
    <mergeCell ref="E7:F7"/>
  </mergeCells>
  <pageMargins left="0.7" right="0.7" top="0.75" bottom="0.75" header="0.3" footer="0.3"/>
  <pageSetup paperSize="9" orientation="portrait" r:id="rId1"/>
  <ignoredErrors>
    <ignoredError sqref="D13" numberStoredAsText="1"/>
  </ignoredErrors>
  <tableParts count="9">
    <tablePart r:id="rId2"/>
    <tablePart r:id="rId3"/>
    <tablePart r:id="rId4"/>
    <tablePart r:id="rId5"/>
    <tablePart r:id="rId6"/>
    <tablePart r:id="rId7"/>
    <tablePart r:id="rId8"/>
    <tablePart r:id="rId9"/>
    <tablePart r:id="rId10"/>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rk15"/>
  <dimension ref="A1:M493"/>
  <sheetViews>
    <sheetView workbookViewId="0">
      <selection activeCell="B3" sqref="B3"/>
    </sheetView>
  </sheetViews>
  <sheetFormatPr baseColWidth="10" defaultColWidth="11.42578125" defaultRowHeight="15" x14ac:dyDescent="0.25"/>
  <cols>
    <col min="1" max="1" width="5.42578125" style="1" customWidth="1"/>
    <col min="2" max="2" width="5" style="13" customWidth="1"/>
    <col min="3" max="4" width="3.85546875" style="13" customWidth="1"/>
    <col min="5" max="5" width="4.42578125" style="13" customWidth="1"/>
    <col min="6" max="7" width="3.85546875" style="13" customWidth="1"/>
    <col min="8" max="8" width="3.42578125" style="13" customWidth="1"/>
    <col min="9" max="10" width="3.42578125" style="17" customWidth="1"/>
  </cols>
  <sheetData>
    <row r="1" spans="1:13" ht="26.25" x14ac:dyDescent="0.4">
      <c r="A1" s="479" t="s">
        <v>240</v>
      </c>
      <c r="B1" s="11"/>
      <c r="C1" s="12"/>
      <c r="D1" s="12"/>
      <c r="E1" s="12"/>
      <c r="F1" s="12"/>
      <c r="G1" s="12"/>
      <c r="H1" s="12"/>
      <c r="I1" s="14"/>
      <c r="J1" s="14"/>
    </row>
    <row r="2" spans="1:13" ht="90.75" x14ac:dyDescent="0.25">
      <c r="A2" s="479"/>
      <c r="B2" s="28" t="s">
        <v>241</v>
      </c>
      <c r="C2" s="10" t="s">
        <v>242</v>
      </c>
      <c r="D2" s="10" t="s">
        <v>243</v>
      </c>
      <c r="E2" s="10" t="s">
        <v>244</v>
      </c>
      <c r="F2" s="10" t="s">
        <v>245</v>
      </c>
      <c r="G2" s="10" t="s">
        <v>246</v>
      </c>
      <c r="H2" s="10" t="s">
        <v>247</v>
      </c>
      <c r="I2" s="15"/>
      <c r="J2" s="15"/>
      <c r="M2" s="58" t="s">
        <v>308</v>
      </c>
    </row>
    <row r="3" spans="1:13" x14ac:dyDescent="0.25">
      <c r="A3" s="31" t="str">
        <f>"R"&amp;B3</f>
        <v>R1</v>
      </c>
      <c r="B3" s="4">
        <f>Risikovurdering!B5</f>
        <v>1</v>
      </c>
      <c r="C3" s="4">
        <f>IFERROR(VLOOKUP(Risikovurdering!T5,Akseptkriterier!$D$4:$E$8,2,FALSE),0)</f>
        <v>0</v>
      </c>
      <c r="D3" s="4">
        <f>IFERROR(VLOOKUP(Risikovurdering!R5,Akseptkriterier!$F$4:$G$8,2,FALSE),0)</f>
        <v>0</v>
      </c>
      <c r="E3" s="4">
        <f>IFERROR(VLOOKUP(Risikovurdering!U5,Akseptkriterier!$H$4:$I$8,2,FALSE),0)</f>
        <v>0</v>
      </c>
      <c r="F3" s="4">
        <f>IFERROR(VLOOKUP(Risikovurdering!AG5,Akseptkriterier!$D$4:$E$8,2,FALSE),0)</f>
        <v>0</v>
      </c>
      <c r="G3" s="4">
        <f>IFERROR(VLOOKUP(Risikovurdering!AF5,Akseptkriterier!$F$4:$G$8,2,FALSE),0)</f>
        <v>0</v>
      </c>
      <c r="H3" s="4">
        <f>IFERROR(VLOOKUP(Risikovurdering!AH5,Akseptkriterier!$H$4:$I$8,2,FALSE),0)</f>
        <v>0</v>
      </c>
      <c r="I3" s="16"/>
      <c r="J3" s="16"/>
      <c r="M3" t="e">
        <f>VLOOKUP(Risikovurdering!D5,Verdivurdering!$B$2:$J$96,9,FALSE)</f>
        <v>#N/A</v>
      </c>
    </row>
    <row r="4" spans="1:13" x14ac:dyDescent="0.25">
      <c r="A4" s="30">
        <v>0</v>
      </c>
      <c r="B4" s="30">
        <v>0</v>
      </c>
      <c r="C4" s="30">
        <v>0</v>
      </c>
      <c r="D4" s="30">
        <v>0</v>
      </c>
      <c r="E4" s="30">
        <v>0</v>
      </c>
      <c r="F4" s="30">
        <v>0</v>
      </c>
      <c r="G4" s="30">
        <v>0</v>
      </c>
      <c r="H4" s="30">
        <v>0</v>
      </c>
      <c r="I4" s="16"/>
      <c r="J4" s="16"/>
      <c r="M4" t="e">
        <f>VLOOKUP(Risikovurdering!D6,Verdivurdering!$B$2:$J$96,9,FALSE)</f>
        <v>#N/A</v>
      </c>
    </row>
    <row r="5" spans="1:13" x14ac:dyDescent="0.25">
      <c r="A5" s="30">
        <v>0</v>
      </c>
      <c r="B5" s="30">
        <v>0</v>
      </c>
      <c r="C5" s="30">
        <v>0</v>
      </c>
      <c r="D5" s="30">
        <v>0</v>
      </c>
      <c r="E5" s="30">
        <v>0</v>
      </c>
      <c r="F5" s="30">
        <v>0</v>
      </c>
      <c r="G5" s="30">
        <v>0</v>
      </c>
      <c r="H5" s="30">
        <v>0</v>
      </c>
      <c r="I5" s="16"/>
      <c r="J5" s="16"/>
      <c r="M5" t="e">
        <f>VLOOKUP(Risikovurdering!D7,Verdivurdering!$B$2:$J$96,9,FALSE)</f>
        <v>#N/A</v>
      </c>
    </row>
    <row r="6" spans="1:13" x14ac:dyDescent="0.25">
      <c r="A6" s="30">
        <v>0</v>
      </c>
      <c r="B6" s="30">
        <v>0</v>
      </c>
      <c r="C6" s="30">
        <v>0</v>
      </c>
      <c r="D6" s="30">
        <v>0</v>
      </c>
      <c r="E6" s="30">
        <v>0</v>
      </c>
      <c r="F6" s="30">
        <v>0</v>
      </c>
      <c r="G6" s="30">
        <v>0</v>
      </c>
      <c r="H6" s="30">
        <v>0</v>
      </c>
      <c r="I6" s="16"/>
      <c r="J6" s="16"/>
      <c r="M6" t="e">
        <f>VLOOKUP(Risikovurdering!D8,Verdivurdering!$B$2:$J$96,9,FALSE)</f>
        <v>#N/A</v>
      </c>
    </row>
    <row r="7" spans="1:13" x14ac:dyDescent="0.25">
      <c r="A7" s="30">
        <v>0</v>
      </c>
      <c r="B7" s="30">
        <v>0</v>
      </c>
      <c r="C7" s="30">
        <v>0</v>
      </c>
      <c r="D7" s="30">
        <v>0</v>
      </c>
      <c r="E7" s="30">
        <v>0</v>
      </c>
      <c r="F7" s="30">
        <v>0</v>
      </c>
      <c r="G7" s="30">
        <v>0</v>
      </c>
      <c r="H7" s="30">
        <v>0</v>
      </c>
      <c r="I7" s="16"/>
      <c r="J7" s="16"/>
      <c r="M7" t="e">
        <f>VLOOKUP(Risikovurdering!D9,Verdivurdering!$B$2:$J$96,9,FALSE)</f>
        <v>#N/A</v>
      </c>
    </row>
    <row r="8" spans="1:13" x14ac:dyDescent="0.25">
      <c r="A8" s="30">
        <v>0</v>
      </c>
      <c r="B8" s="30">
        <v>0</v>
      </c>
      <c r="C8" s="30">
        <v>0</v>
      </c>
      <c r="D8" s="30">
        <v>0</v>
      </c>
      <c r="E8" s="30">
        <v>0</v>
      </c>
      <c r="F8" s="30">
        <v>0</v>
      </c>
      <c r="G8" s="30">
        <v>0</v>
      </c>
      <c r="H8" s="30">
        <v>0</v>
      </c>
      <c r="I8" s="16"/>
      <c r="J8" s="16"/>
      <c r="M8" t="e">
        <f>VLOOKUP(Risikovurdering!D10,Verdivurdering!$B$2:$J$96,9,FALSE)</f>
        <v>#N/A</v>
      </c>
    </row>
    <row r="9" spans="1:13" x14ac:dyDescent="0.25">
      <c r="A9" s="30">
        <v>0</v>
      </c>
      <c r="B9" s="30">
        <v>0</v>
      </c>
      <c r="C9" s="30">
        <v>0</v>
      </c>
      <c r="D9" s="30">
        <v>0</v>
      </c>
      <c r="E9" s="30">
        <v>0</v>
      </c>
      <c r="F9" s="30">
        <v>0</v>
      </c>
      <c r="G9" s="30">
        <v>0</v>
      </c>
      <c r="H9" s="30">
        <v>0</v>
      </c>
      <c r="I9" s="16"/>
      <c r="J9" s="16"/>
      <c r="M9" t="e">
        <f>VLOOKUP(Risikovurdering!D11,Verdivurdering!$B$2:$J$96,9,FALSE)</f>
        <v>#N/A</v>
      </c>
    </row>
    <row r="10" spans="1:13" x14ac:dyDescent="0.25">
      <c r="A10" s="30">
        <v>0</v>
      </c>
      <c r="B10" s="30">
        <v>0</v>
      </c>
      <c r="C10" s="30">
        <v>0</v>
      </c>
      <c r="D10" s="30">
        <v>0</v>
      </c>
      <c r="E10" s="30">
        <v>0</v>
      </c>
      <c r="F10" s="30">
        <v>0</v>
      </c>
      <c r="G10" s="30">
        <v>0</v>
      </c>
      <c r="H10" s="30">
        <v>0</v>
      </c>
      <c r="I10" s="16"/>
      <c r="J10" s="16"/>
      <c r="M10" t="e">
        <f>VLOOKUP(Risikovurdering!D12,Verdivurdering!$B$2:$J$96,9,FALSE)</f>
        <v>#N/A</v>
      </c>
    </row>
    <row r="11" spans="1:13" x14ac:dyDescent="0.25">
      <c r="A11" s="30">
        <v>0</v>
      </c>
      <c r="B11" s="30">
        <v>0</v>
      </c>
      <c r="C11" s="30">
        <v>0</v>
      </c>
      <c r="D11" s="30">
        <v>0</v>
      </c>
      <c r="E11" s="30">
        <v>0</v>
      </c>
      <c r="F11" s="30">
        <v>0</v>
      </c>
      <c r="G11" s="30">
        <v>0</v>
      </c>
      <c r="H11" s="30">
        <v>0</v>
      </c>
      <c r="I11" s="16"/>
      <c r="J11" s="16"/>
      <c r="M11" t="e">
        <f>VLOOKUP(Risikovurdering!D13,Verdivurdering!$B$2:$J$96,9,FALSE)</f>
        <v>#N/A</v>
      </c>
    </row>
    <row r="12" spans="1:13" x14ac:dyDescent="0.25">
      <c r="A12" s="30">
        <v>0</v>
      </c>
      <c r="B12" s="30">
        <v>0</v>
      </c>
      <c r="C12" s="30">
        <v>0</v>
      </c>
      <c r="D12" s="30">
        <v>0</v>
      </c>
      <c r="E12" s="30">
        <v>0</v>
      </c>
      <c r="F12" s="30">
        <v>0</v>
      </c>
      <c r="G12" s="30">
        <v>0</v>
      </c>
      <c r="H12" s="30">
        <v>0</v>
      </c>
      <c r="I12" s="16"/>
      <c r="J12" s="16"/>
      <c r="M12" t="e">
        <f>VLOOKUP(Risikovurdering!D14,Verdivurdering!$B$2:$J$96,9,FALSE)</f>
        <v>#N/A</v>
      </c>
    </row>
    <row r="13" spans="1:13" x14ac:dyDescent="0.25">
      <c r="A13" s="31" t="str">
        <f>"R"&amp;B13</f>
        <v>R2</v>
      </c>
      <c r="B13" s="4">
        <f>Risikovurdering!B15</f>
        <v>2</v>
      </c>
      <c r="C13" s="4">
        <f>IFERROR(VLOOKUP(Risikovurdering!T15,Akseptkriterier!$D$4:$E$8,2,FALSE),0)</f>
        <v>0</v>
      </c>
      <c r="D13" s="4">
        <f>IFERROR(VLOOKUP(Risikovurdering!R15,Akseptkriterier!$F$4:$G$8,2,FALSE),0)</f>
        <v>0</v>
      </c>
      <c r="E13" s="4">
        <f>IFERROR(VLOOKUP(Risikovurdering!U15,Akseptkriterier!$H$4:$I$8,2,FALSE),0)</f>
        <v>0</v>
      </c>
      <c r="F13" s="4">
        <f>IFERROR(VLOOKUP(Risikovurdering!AG15,Akseptkriterier!$D$4:$E$8,2,FALSE),0)</f>
        <v>0</v>
      </c>
      <c r="G13" s="4">
        <f>IFERROR(VLOOKUP(Risikovurdering!AF15,Akseptkriterier!$F$4:$G$8,2,FALSE),0)</f>
        <v>0</v>
      </c>
      <c r="H13" s="4">
        <f>IFERROR(VLOOKUP(Risikovurdering!AH15,Akseptkriterier!$H$4:$I$8,2,FALSE),0)</f>
        <v>0</v>
      </c>
      <c r="I13" s="16"/>
      <c r="J13" s="16"/>
      <c r="M13" t="e">
        <f>VLOOKUP(Risikovurdering!D15,Verdivurdering!$B$2:$J$96,9,FALSE)</f>
        <v>#N/A</v>
      </c>
    </row>
    <row r="14" spans="1:13" x14ac:dyDescent="0.25">
      <c r="A14" s="30">
        <v>0</v>
      </c>
      <c r="B14" s="30">
        <v>0</v>
      </c>
      <c r="C14" s="30">
        <v>0</v>
      </c>
      <c r="D14" s="30">
        <v>0</v>
      </c>
      <c r="E14" s="30">
        <v>0</v>
      </c>
      <c r="F14" s="30">
        <v>0</v>
      </c>
      <c r="G14" s="30">
        <v>0</v>
      </c>
      <c r="H14" s="30">
        <v>0</v>
      </c>
      <c r="I14" s="16"/>
      <c r="J14" s="16"/>
      <c r="M14" t="e">
        <f>VLOOKUP(Risikovurdering!D16,Verdivurdering!$B$2:$J$96,9,FALSE)</f>
        <v>#N/A</v>
      </c>
    </row>
    <row r="15" spans="1:13" x14ac:dyDescent="0.25">
      <c r="A15" s="30">
        <v>0</v>
      </c>
      <c r="B15" s="30">
        <v>0</v>
      </c>
      <c r="C15" s="30">
        <v>0</v>
      </c>
      <c r="D15" s="30">
        <v>0</v>
      </c>
      <c r="E15" s="30">
        <v>0</v>
      </c>
      <c r="F15" s="30">
        <v>0</v>
      </c>
      <c r="G15" s="30">
        <v>0</v>
      </c>
      <c r="H15" s="30">
        <v>0</v>
      </c>
      <c r="I15" s="16"/>
      <c r="J15" s="16"/>
      <c r="M15" t="e">
        <f>VLOOKUP(Risikovurdering!D17,Verdivurdering!$B$2:$J$96,9,FALSE)</f>
        <v>#N/A</v>
      </c>
    </row>
    <row r="16" spans="1:13" x14ac:dyDescent="0.25">
      <c r="A16" s="30">
        <v>0</v>
      </c>
      <c r="B16" s="30">
        <v>0</v>
      </c>
      <c r="C16" s="30">
        <v>0</v>
      </c>
      <c r="D16" s="30">
        <v>0</v>
      </c>
      <c r="E16" s="30">
        <v>0</v>
      </c>
      <c r="F16" s="30">
        <v>0</v>
      </c>
      <c r="G16" s="30">
        <v>0</v>
      </c>
      <c r="H16" s="30">
        <v>0</v>
      </c>
      <c r="I16" s="16"/>
      <c r="J16" s="16"/>
      <c r="M16" t="e">
        <f>VLOOKUP(Risikovurdering!D18,Verdivurdering!$B$2:$J$96,9,FALSE)</f>
        <v>#N/A</v>
      </c>
    </row>
    <row r="17" spans="1:13" x14ac:dyDescent="0.25">
      <c r="A17" s="30">
        <v>0</v>
      </c>
      <c r="B17" s="30">
        <v>0</v>
      </c>
      <c r="C17" s="30">
        <v>0</v>
      </c>
      <c r="D17" s="30">
        <v>0</v>
      </c>
      <c r="E17" s="30">
        <v>0</v>
      </c>
      <c r="F17" s="30">
        <v>0</v>
      </c>
      <c r="G17" s="30">
        <v>0</v>
      </c>
      <c r="H17" s="30">
        <v>0</v>
      </c>
      <c r="I17" s="16"/>
      <c r="J17" s="16"/>
      <c r="M17" t="e">
        <f>VLOOKUP(Risikovurdering!D19,Verdivurdering!$B$2:$J$96,9,FALSE)</f>
        <v>#N/A</v>
      </c>
    </row>
    <row r="18" spans="1:13" x14ac:dyDescent="0.25">
      <c r="A18" s="30">
        <v>0</v>
      </c>
      <c r="B18" s="30">
        <v>0</v>
      </c>
      <c r="C18" s="30">
        <v>0</v>
      </c>
      <c r="D18" s="30">
        <v>0</v>
      </c>
      <c r="E18" s="30">
        <v>0</v>
      </c>
      <c r="F18" s="30">
        <v>0</v>
      </c>
      <c r="G18" s="30">
        <v>0</v>
      </c>
      <c r="H18" s="30">
        <v>0</v>
      </c>
      <c r="I18" s="16"/>
      <c r="J18" s="16"/>
      <c r="M18" t="e">
        <f>VLOOKUP(Risikovurdering!D20,Verdivurdering!$B$2:$J$96,9,FALSE)</f>
        <v>#N/A</v>
      </c>
    </row>
    <row r="19" spans="1:13" x14ac:dyDescent="0.25">
      <c r="A19" s="30">
        <v>0</v>
      </c>
      <c r="B19" s="30">
        <v>0</v>
      </c>
      <c r="C19" s="30">
        <v>0</v>
      </c>
      <c r="D19" s="30">
        <v>0</v>
      </c>
      <c r="E19" s="30">
        <v>0</v>
      </c>
      <c r="F19" s="30">
        <v>0</v>
      </c>
      <c r="G19" s="30">
        <v>0</v>
      </c>
      <c r="H19" s="30">
        <v>0</v>
      </c>
      <c r="I19" s="16"/>
      <c r="J19" s="16"/>
      <c r="M19" t="e">
        <f>VLOOKUP(Risikovurdering!D21,Verdivurdering!$B$2:$J$96,9,FALSE)</f>
        <v>#N/A</v>
      </c>
    </row>
    <row r="20" spans="1:13" x14ac:dyDescent="0.25">
      <c r="A20" s="30">
        <v>0</v>
      </c>
      <c r="B20" s="30">
        <v>0</v>
      </c>
      <c r="C20" s="30">
        <v>0</v>
      </c>
      <c r="D20" s="30">
        <v>0</v>
      </c>
      <c r="E20" s="30">
        <v>0</v>
      </c>
      <c r="F20" s="30">
        <v>0</v>
      </c>
      <c r="G20" s="30">
        <v>0</v>
      </c>
      <c r="H20" s="30">
        <v>0</v>
      </c>
      <c r="I20" s="16"/>
      <c r="J20" s="16"/>
      <c r="M20" t="e">
        <f>VLOOKUP(Risikovurdering!D22,Verdivurdering!$B$2:$J$96,9,FALSE)</f>
        <v>#N/A</v>
      </c>
    </row>
    <row r="21" spans="1:13" x14ac:dyDescent="0.25">
      <c r="A21" s="30">
        <v>0</v>
      </c>
      <c r="B21" s="30">
        <v>0</v>
      </c>
      <c r="C21" s="30">
        <v>0</v>
      </c>
      <c r="D21" s="30">
        <v>0</v>
      </c>
      <c r="E21" s="30">
        <v>0</v>
      </c>
      <c r="F21" s="30">
        <v>0</v>
      </c>
      <c r="G21" s="30">
        <v>0</v>
      </c>
      <c r="H21" s="30">
        <v>0</v>
      </c>
      <c r="I21" s="16"/>
      <c r="J21" s="16"/>
      <c r="M21" t="e">
        <f>VLOOKUP(Risikovurdering!D23,Verdivurdering!$B$2:$J$96,9,FALSE)</f>
        <v>#N/A</v>
      </c>
    </row>
    <row r="22" spans="1:13" x14ac:dyDescent="0.25">
      <c r="A22" s="30">
        <v>0</v>
      </c>
      <c r="B22" s="30">
        <v>0</v>
      </c>
      <c r="C22" s="30">
        <v>0</v>
      </c>
      <c r="D22" s="30">
        <v>0</v>
      </c>
      <c r="E22" s="30">
        <v>0</v>
      </c>
      <c r="F22" s="30">
        <v>0</v>
      </c>
      <c r="G22" s="30">
        <v>0</v>
      </c>
      <c r="H22" s="30">
        <v>0</v>
      </c>
      <c r="I22" s="16"/>
      <c r="J22" s="16"/>
      <c r="M22" t="e">
        <f>VLOOKUP(Risikovurdering!D24,Verdivurdering!$B$2:$J$96,9,FALSE)</f>
        <v>#N/A</v>
      </c>
    </row>
    <row r="23" spans="1:13" x14ac:dyDescent="0.25">
      <c r="A23" s="31" t="str">
        <f>"R"&amp;B23</f>
        <v>R3</v>
      </c>
      <c r="B23" s="4">
        <v>3</v>
      </c>
      <c r="C23" s="4">
        <f>IFERROR(VLOOKUP(Risikovurdering!T25,Akseptkriterier!$D$4:$E$8,2,FALSE),0)</f>
        <v>0</v>
      </c>
      <c r="D23" s="4">
        <f>IFERROR(VLOOKUP(Risikovurdering!R25,Akseptkriterier!$F$4:$G$8,2,FALSE),0)</f>
        <v>0</v>
      </c>
      <c r="E23" s="4">
        <f>IFERROR(VLOOKUP(Risikovurdering!U25,Akseptkriterier!$H$4:$I$8,2,FALSE),0)</f>
        <v>0</v>
      </c>
      <c r="F23" s="4">
        <f>IFERROR(VLOOKUP(Risikovurdering!AG25,Akseptkriterier!$D$4:$E$8,2,FALSE),0)</f>
        <v>0</v>
      </c>
      <c r="G23" s="4">
        <f>IFERROR(VLOOKUP(Risikovurdering!AF25,Akseptkriterier!$F$4:$G$8,2,FALSE),0)</f>
        <v>0</v>
      </c>
      <c r="H23" s="4">
        <f>IFERROR(VLOOKUP(Risikovurdering!AH25,Akseptkriterier!$H$4:$I$8,2,FALSE),0)</f>
        <v>0</v>
      </c>
      <c r="I23" s="16"/>
      <c r="J23" s="16"/>
      <c r="M23" t="e">
        <f>VLOOKUP(Risikovurdering!D25,Verdivurdering!$B$2:$J$96,9,FALSE)</f>
        <v>#N/A</v>
      </c>
    </row>
    <row r="24" spans="1:13" x14ac:dyDescent="0.25">
      <c r="A24" s="30">
        <v>0</v>
      </c>
      <c r="B24" s="30">
        <v>0</v>
      </c>
      <c r="C24" s="30">
        <v>0</v>
      </c>
      <c r="D24" s="30">
        <v>0</v>
      </c>
      <c r="E24" s="30">
        <v>0</v>
      </c>
      <c r="F24" s="30">
        <v>0</v>
      </c>
      <c r="G24" s="30">
        <v>0</v>
      </c>
      <c r="H24" s="30">
        <v>0</v>
      </c>
      <c r="I24" s="16"/>
      <c r="J24" s="16"/>
      <c r="M24" t="e">
        <f>VLOOKUP(Risikovurdering!D26,Verdivurdering!$B$2:$J$96,9,FALSE)</f>
        <v>#N/A</v>
      </c>
    </row>
    <row r="25" spans="1:13" x14ac:dyDescent="0.25">
      <c r="A25" s="30">
        <v>0</v>
      </c>
      <c r="B25" s="30">
        <v>0</v>
      </c>
      <c r="C25" s="30">
        <v>0</v>
      </c>
      <c r="D25" s="30">
        <v>0</v>
      </c>
      <c r="E25" s="30">
        <v>0</v>
      </c>
      <c r="F25" s="30">
        <v>0</v>
      </c>
      <c r="G25" s="30">
        <v>0</v>
      </c>
      <c r="H25" s="30">
        <v>0</v>
      </c>
      <c r="I25" s="16"/>
      <c r="J25" s="16"/>
      <c r="M25" t="e">
        <f>VLOOKUP(Risikovurdering!D27,Verdivurdering!$B$2:$J$96,9,FALSE)</f>
        <v>#N/A</v>
      </c>
    </row>
    <row r="26" spans="1:13" x14ac:dyDescent="0.25">
      <c r="A26" s="30">
        <v>0</v>
      </c>
      <c r="B26" s="30">
        <v>0</v>
      </c>
      <c r="C26" s="30">
        <v>0</v>
      </c>
      <c r="D26" s="30">
        <v>0</v>
      </c>
      <c r="E26" s="30">
        <v>0</v>
      </c>
      <c r="F26" s="30">
        <v>0</v>
      </c>
      <c r="G26" s="30">
        <v>0</v>
      </c>
      <c r="H26" s="30">
        <v>0</v>
      </c>
      <c r="I26" s="16"/>
      <c r="J26" s="16"/>
      <c r="M26" t="e">
        <f>VLOOKUP(Risikovurdering!D28,Verdivurdering!$B$2:$J$96,9,FALSE)</f>
        <v>#N/A</v>
      </c>
    </row>
    <row r="27" spans="1:13" x14ac:dyDescent="0.25">
      <c r="A27" s="30">
        <v>0</v>
      </c>
      <c r="B27" s="30">
        <v>0</v>
      </c>
      <c r="C27" s="30">
        <v>0</v>
      </c>
      <c r="D27" s="30">
        <v>0</v>
      </c>
      <c r="E27" s="30">
        <v>0</v>
      </c>
      <c r="F27" s="30">
        <v>0</v>
      </c>
      <c r="G27" s="30">
        <v>0</v>
      </c>
      <c r="H27" s="30">
        <v>0</v>
      </c>
      <c r="I27" s="16"/>
      <c r="J27" s="16"/>
      <c r="M27" t="e">
        <f>VLOOKUP(Risikovurdering!D29,Verdivurdering!$B$2:$J$96,9,FALSE)</f>
        <v>#N/A</v>
      </c>
    </row>
    <row r="28" spans="1:13" x14ac:dyDescent="0.25">
      <c r="A28" s="30">
        <v>0</v>
      </c>
      <c r="B28" s="30">
        <v>0</v>
      </c>
      <c r="C28" s="30">
        <v>0</v>
      </c>
      <c r="D28" s="30">
        <v>0</v>
      </c>
      <c r="E28" s="30">
        <v>0</v>
      </c>
      <c r="F28" s="30">
        <v>0</v>
      </c>
      <c r="G28" s="30">
        <v>0</v>
      </c>
      <c r="H28" s="30">
        <v>0</v>
      </c>
      <c r="I28" s="16"/>
      <c r="J28" s="16"/>
      <c r="M28" t="e">
        <f>VLOOKUP(Risikovurdering!D30,Verdivurdering!$B$2:$J$96,9,FALSE)</f>
        <v>#N/A</v>
      </c>
    </row>
    <row r="29" spans="1:13" x14ac:dyDescent="0.25">
      <c r="A29" s="30">
        <v>0</v>
      </c>
      <c r="B29" s="30">
        <v>0</v>
      </c>
      <c r="C29" s="30">
        <v>0</v>
      </c>
      <c r="D29" s="30">
        <v>0</v>
      </c>
      <c r="E29" s="30">
        <v>0</v>
      </c>
      <c r="F29" s="30">
        <v>0</v>
      </c>
      <c r="G29" s="30">
        <v>0</v>
      </c>
      <c r="H29" s="30">
        <v>0</v>
      </c>
      <c r="I29" s="16"/>
      <c r="J29" s="16"/>
      <c r="M29" t="e">
        <f>VLOOKUP(Risikovurdering!D31,Verdivurdering!$B$2:$J$96,9,FALSE)</f>
        <v>#N/A</v>
      </c>
    </row>
    <row r="30" spans="1:13" x14ac:dyDescent="0.25">
      <c r="A30" s="30">
        <v>0</v>
      </c>
      <c r="B30" s="30">
        <v>0</v>
      </c>
      <c r="C30" s="30">
        <v>0</v>
      </c>
      <c r="D30" s="30">
        <v>0</v>
      </c>
      <c r="E30" s="30">
        <v>0</v>
      </c>
      <c r="F30" s="30">
        <v>0</v>
      </c>
      <c r="G30" s="30">
        <v>0</v>
      </c>
      <c r="H30" s="30">
        <v>0</v>
      </c>
      <c r="I30" s="16"/>
      <c r="J30" s="16"/>
      <c r="M30" t="e">
        <f>VLOOKUP(Risikovurdering!D32,Verdivurdering!$B$2:$J$96,9,FALSE)</f>
        <v>#N/A</v>
      </c>
    </row>
    <row r="31" spans="1:13" x14ac:dyDescent="0.25">
      <c r="A31" s="30">
        <v>0</v>
      </c>
      <c r="B31" s="30">
        <v>0</v>
      </c>
      <c r="C31" s="30">
        <v>0</v>
      </c>
      <c r="D31" s="30">
        <v>0</v>
      </c>
      <c r="E31" s="30">
        <v>0</v>
      </c>
      <c r="F31" s="30">
        <v>0</v>
      </c>
      <c r="G31" s="30">
        <v>0</v>
      </c>
      <c r="H31" s="30">
        <v>0</v>
      </c>
      <c r="I31" s="16"/>
      <c r="J31" s="16"/>
      <c r="M31" t="e">
        <f>VLOOKUP(Risikovurdering!D33,Verdivurdering!$B$2:$J$96,9,FALSE)</f>
        <v>#N/A</v>
      </c>
    </row>
    <row r="32" spans="1:13" x14ac:dyDescent="0.25">
      <c r="A32" s="30">
        <v>0</v>
      </c>
      <c r="B32" s="30">
        <v>0</v>
      </c>
      <c r="C32" s="30">
        <v>0</v>
      </c>
      <c r="D32" s="30">
        <v>0</v>
      </c>
      <c r="E32" s="30">
        <v>0</v>
      </c>
      <c r="F32" s="30">
        <v>0</v>
      </c>
      <c r="G32" s="30">
        <v>0</v>
      </c>
      <c r="H32" s="30">
        <v>0</v>
      </c>
      <c r="I32" s="16"/>
      <c r="J32" s="16"/>
      <c r="M32" t="e">
        <f>VLOOKUP(Risikovurdering!D34,Verdivurdering!$B$2:$J$96,9,FALSE)</f>
        <v>#N/A</v>
      </c>
    </row>
    <row r="33" spans="1:13" x14ac:dyDescent="0.25">
      <c r="A33" s="31" t="str">
        <f>"R"&amp;B33</f>
        <v>R4</v>
      </c>
      <c r="B33" s="4">
        <v>4</v>
      </c>
      <c r="C33" s="4">
        <f>IFERROR(VLOOKUP(Risikovurdering!T35,Akseptkriterier!$D$4:$E$8,2,FALSE),0)</f>
        <v>0</v>
      </c>
      <c r="D33" s="4">
        <f>IFERROR(VLOOKUP(Risikovurdering!R35,Akseptkriterier!$F$4:$G$8,2,FALSE),0)</f>
        <v>0</v>
      </c>
      <c r="E33" s="4">
        <f>IFERROR(VLOOKUP(Risikovurdering!U35,Akseptkriterier!$H$4:$I$8,2,FALSE),0)</f>
        <v>0</v>
      </c>
      <c r="F33" s="4">
        <f>IFERROR(VLOOKUP(Risikovurdering!AG35,Akseptkriterier!$D$4:$E$8,2,FALSE),0)</f>
        <v>0</v>
      </c>
      <c r="G33" s="4">
        <f>IFERROR(VLOOKUP(Risikovurdering!AF35,Akseptkriterier!$F$4:$G$8,2,FALSE),0)</f>
        <v>0</v>
      </c>
      <c r="H33" s="4">
        <f>IFERROR(VLOOKUP(Risikovurdering!AH35,Akseptkriterier!$H$4:$I$8,2,FALSE),0)</f>
        <v>0</v>
      </c>
      <c r="I33" s="16"/>
      <c r="J33" s="16"/>
      <c r="M33" t="e">
        <f>VLOOKUP(Risikovurdering!D35,Verdivurdering!$B$2:$J$96,9,FALSE)</f>
        <v>#N/A</v>
      </c>
    </row>
    <row r="34" spans="1:13" x14ac:dyDescent="0.25">
      <c r="A34" s="30">
        <v>0</v>
      </c>
      <c r="B34" s="30">
        <v>0</v>
      </c>
      <c r="C34" s="30">
        <v>0</v>
      </c>
      <c r="D34" s="30">
        <v>0</v>
      </c>
      <c r="E34" s="30">
        <v>0</v>
      </c>
      <c r="F34" s="30">
        <v>0</v>
      </c>
      <c r="G34" s="30">
        <v>0</v>
      </c>
      <c r="H34" s="30">
        <v>0</v>
      </c>
      <c r="I34" s="16"/>
      <c r="J34" s="16"/>
      <c r="M34" t="e">
        <f>VLOOKUP(Risikovurdering!D36,Verdivurdering!$B$2:$J$96,9,FALSE)</f>
        <v>#N/A</v>
      </c>
    </row>
    <row r="35" spans="1:13" x14ac:dyDescent="0.25">
      <c r="A35" s="30">
        <v>0</v>
      </c>
      <c r="B35" s="30">
        <v>0</v>
      </c>
      <c r="C35" s="30">
        <v>0</v>
      </c>
      <c r="D35" s="30">
        <v>0</v>
      </c>
      <c r="E35" s="30">
        <v>0</v>
      </c>
      <c r="F35" s="30">
        <v>0</v>
      </c>
      <c r="G35" s="30">
        <v>0</v>
      </c>
      <c r="H35" s="30">
        <v>0</v>
      </c>
      <c r="I35" s="16"/>
      <c r="J35" s="16"/>
      <c r="M35" t="e">
        <f>VLOOKUP(Risikovurdering!D37,Verdivurdering!$B$2:$J$96,9,FALSE)</f>
        <v>#N/A</v>
      </c>
    </row>
    <row r="36" spans="1:13" x14ac:dyDescent="0.25">
      <c r="A36" s="30">
        <v>0</v>
      </c>
      <c r="B36" s="30">
        <v>0</v>
      </c>
      <c r="C36" s="30">
        <v>0</v>
      </c>
      <c r="D36" s="30">
        <v>0</v>
      </c>
      <c r="E36" s="30">
        <v>0</v>
      </c>
      <c r="F36" s="30">
        <v>0</v>
      </c>
      <c r="G36" s="30">
        <v>0</v>
      </c>
      <c r="H36" s="30">
        <v>0</v>
      </c>
      <c r="I36" s="16"/>
      <c r="J36" s="16"/>
      <c r="M36" t="e">
        <f>VLOOKUP(Risikovurdering!D38,Verdivurdering!$B$2:$J$96,9,FALSE)</f>
        <v>#N/A</v>
      </c>
    </row>
    <row r="37" spans="1:13" x14ac:dyDescent="0.25">
      <c r="A37" s="30">
        <v>0</v>
      </c>
      <c r="B37" s="30">
        <v>0</v>
      </c>
      <c r="C37" s="30">
        <v>0</v>
      </c>
      <c r="D37" s="30">
        <v>0</v>
      </c>
      <c r="E37" s="30">
        <v>0</v>
      </c>
      <c r="F37" s="30">
        <v>0</v>
      </c>
      <c r="G37" s="30">
        <v>0</v>
      </c>
      <c r="H37" s="30">
        <v>0</v>
      </c>
      <c r="I37" s="16"/>
      <c r="J37" s="16"/>
      <c r="M37" t="e">
        <f>VLOOKUP(Risikovurdering!D39,Verdivurdering!$B$2:$J$96,9,FALSE)</f>
        <v>#N/A</v>
      </c>
    </row>
    <row r="38" spans="1:13" x14ac:dyDescent="0.25">
      <c r="A38" s="30">
        <v>0</v>
      </c>
      <c r="B38" s="30">
        <v>0</v>
      </c>
      <c r="C38" s="30">
        <v>0</v>
      </c>
      <c r="D38" s="30">
        <v>0</v>
      </c>
      <c r="E38" s="30">
        <v>0</v>
      </c>
      <c r="F38" s="30">
        <v>0</v>
      </c>
      <c r="G38" s="30">
        <v>0</v>
      </c>
      <c r="H38" s="30">
        <v>0</v>
      </c>
      <c r="I38" s="16"/>
      <c r="J38" s="16"/>
      <c r="M38" t="e">
        <f>VLOOKUP(Risikovurdering!D40,Verdivurdering!$B$2:$J$96,9,FALSE)</f>
        <v>#N/A</v>
      </c>
    </row>
    <row r="39" spans="1:13" x14ac:dyDescent="0.25">
      <c r="A39" s="30">
        <v>0</v>
      </c>
      <c r="B39" s="30">
        <v>0</v>
      </c>
      <c r="C39" s="30">
        <v>0</v>
      </c>
      <c r="D39" s="30">
        <v>0</v>
      </c>
      <c r="E39" s="30">
        <v>0</v>
      </c>
      <c r="F39" s="30">
        <v>0</v>
      </c>
      <c r="G39" s="30">
        <v>0</v>
      </c>
      <c r="H39" s="30">
        <v>0</v>
      </c>
      <c r="I39" s="16"/>
      <c r="J39" s="16"/>
      <c r="M39" t="e">
        <f>VLOOKUP(Risikovurdering!D41,Verdivurdering!$B$2:$J$96,9,FALSE)</f>
        <v>#N/A</v>
      </c>
    </row>
    <row r="40" spans="1:13" x14ac:dyDescent="0.25">
      <c r="A40" s="30">
        <v>0</v>
      </c>
      <c r="B40" s="30">
        <v>0</v>
      </c>
      <c r="C40" s="30">
        <v>0</v>
      </c>
      <c r="D40" s="30">
        <v>0</v>
      </c>
      <c r="E40" s="30">
        <v>0</v>
      </c>
      <c r="F40" s="30">
        <v>0</v>
      </c>
      <c r="G40" s="30">
        <v>0</v>
      </c>
      <c r="H40" s="30">
        <v>0</v>
      </c>
      <c r="I40" s="16"/>
      <c r="J40" s="16"/>
      <c r="M40" t="e">
        <f>VLOOKUP(Risikovurdering!D42,Verdivurdering!$B$2:$J$96,9,FALSE)</f>
        <v>#N/A</v>
      </c>
    </row>
    <row r="41" spans="1:13" x14ac:dyDescent="0.25">
      <c r="A41" s="30">
        <v>0</v>
      </c>
      <c r="B41" s="30">
        <v>0</v>
      </c>
      <c r="C41" s="30">
        <v>0</v>
      </c>
      <c r="D41" s="30">
        <v>0</v>
      </c>
      <c r="E41" s="30">
        <v>0</v>
      </c>
      <c r="F41" s="30">
        <v>0</v>
      </c>
      <c r="G41" s="30">
        <v>0</v>
      </c>
      <c r="H41" s="30">
        <v>0</v>
      </c>
      <c r="I41" s="16"/>
      <c r="J41" s="16"/>
      <c r="M41" t="e">
        <f>VLOOKUP(Risikovurdering!D43,Verdivurdering!$B$2:$J$96,9,FALSE)</f>
        <v>#N/A</v>
      </c>
    </row>
    <row r="42" spans="1:13" x14ac:dyDescent="0.25">
      <c r="A42" s="30">
        <v>0</v>
      </c>
      <c r="B42" s="30">
        <v>0</v>
      </c>
      <c r="C42" s="30">
        <v>0</v>
      </c>
      <c r="D42" s="30">
        <v>0</v>
      </c>
      <c r="E42" s="30">
        <v>0</v>
      </c>
      <c r="F42" s="30">
        <v>0</v>
      </c>
      <c r="G42" s="30">
        <v>0</v>
      </c>
      <c r="H42" s="30">
        <v>0</v>
      </c>
      <c r="I42" s="16"/>
      <c r="J42" s="16"/>
      <c r="M42" t="e">
        <f>VLOOKUP(Risikovurdering!D44,Verdivurdering!$B$2:$J$96,9,FALSE)</f>
        <v>#N/A</v>
      </c>
    </row>
    <row r="43" spans="1:13" x14ac:dyDescent="0.25">
      <c r="A43" s="31" t="str">
        <f>"R"&amp;B43</f>
        <v>R5</v>
      </c>
      <c r="B43" s="4">
        <v>5</v>
      </c>
      <c r="C43" s="4">
        <f>IFERROR(VLOOKUP(Risikovurdering!T45,Akseptkriterier!$D$4:$E$8,2,FALSE),0)</f>
        <v>0</v>
      </c>
      <c r="D43" s="4">
        <f>IFERROR(VLOOKUP(Risikovurdering!R45,Akseptkriterier!$F$4:$G$8,2,FALSE),0)</f>
        <v>0</v>
      </c>
      <c r="E43" s="4">
        <f>IFERROR(VLOOKUP(Risikovurdering!U45,Akseptkriterier!$H$4:$I$8,2,FALSE),0)</f>
        <v>0</v>
      </c>
      <c r="F43" s="4">
        <f>IFERROR(VLOOKUP(Risikovurdering!AG45,Akseptkriterier!$D$4:$E$8,2,FALSE),0)</f>
        <v>0</v>
      </c>
      <c r="G43" s="4">
        <f>IFERROR(VLOOKUP(Risikovurdering!AF45,Akseptkriterier!$F$4:$G$8,2,FALSE),0)</f>
        <v>0</v>
      </c>
      <c r="H43" s="4">
        <f>IFERROR(VLOOKUP(Risikovurdering!AH45,Akseptkriterier!$H$4:$I$8,2,FALSE),0)</f>
        <v>0</v>
      </c>
      <c r="I43" s="16"/>
      <c r="J43" s="16"/>
      <c r="M43" t="e">
        <f>VLOOKUP(Risikovurdering!D45,Verdivurdering!$B$2:$J$96,9,FALSE)</f>
        <v>#N/A</v>
      </c>
    </row>
    <row r="44" spans="1:13" x14ac:dyDescent="0.25">
      <c r="A44" s="30">
        <v>0</v>
      </c>
      <c r="B44" s="30">
        <v>0</v>
      </c>
      <c r="C44" s="30">
        <v>0</v>
      </c>
      <c r="D44" s="30">
        <v>0</v>
      </c>
      <c r="E44" s="30">
        <v>0</v>
      </c>
      <c r="F44" s="30">
        <v>0</v>
      </c>
      <c r="G44" s="30">
        <v>0</v>
      </c>
      <c r="H44" s="30">
        <v>0</v>
      </c>
      <c r="I44" s="16"/>
      <c r="J44" s="16"/>
      <c r="M44" t="e">
        <f>VLOOKUP(Risikovurdering!D46,Verdivurdering!$B$2:$J$96,9,FALSE)</f>
        <v>#N/A</v>
      </c>
    </row>
    <row r="45" spans="1:13" x14ac:dyDescent="0.25">
      <c r="A45" s="30">
        <v>0</v>
      </c>
      <c r="B45" s="30">
        <v>0</v>
      </c>
      <c r="C45" s="30">
        <v>0</v>
      </c>
      <c r="D45" s="30">
        <v>0</v>
      </c>
      <c r="E45" s="30">
        <v>0</v>
      </c>
      <c r="F45" s="30">
        <v>0</v>
      </c>
      <c r="G45" s="30">
        <v>0</v>
      </c>
      <c r="H45" s="30">
        <v>0</v>
      </c>
      <c r="I45" s="16"/>
      <c r="J45" s="16"/>
      <c r="M45" t="e">
        <f>VLOOKUP(Risikovurdering!D47,Verdivurdering!$B$2:$J$96,9,FALSE)</f>
        <v>#N/A</v>
      </c>
    </row>
    <row r="46" spans="1:13" x14ac:dyDescent="0.25">
      <c r="A46" s="30">
        <v>0</v>
      </c>
      <c r="B46" s="30">
        <v>0</v>
      </c>
      <c r="C46" s="30">
        <v>0</v>
      </c>
      <c r="D46" s="30">
        <v>0</v>
      </c>
      <c r="E46" s="30">
        <v>0</v>
      </c>
      <c r="F46" s="30">
        <v>0</v>
      </c>
      <c r="G46" s="30">
        <v>0</v>
      </c>
      <c r="H46" s="30">
        <v>0</v>
      </c>
      <c r="I46" s="16"/>
      <c r="J46" s="16"/>
      <c r="M46" t="e">
        <f>VLOOKUP(Risikovurdering!D48,Verdivurdering!$B$2:$J$96,9,FALSE)</f>
        <v>#N/A</v>
      </c>
    </row>
    <row r="47" spans="1:13" x14ac:dyDescent="0.25">
      <c r="A47" s="30">
        <v>0</v>
      </c>
      <c r="B47" s="30">
        <v>0</v>
      </c>
      <c r="C47" s="30">
        <v>0</v>
      </c>
      <c r="D47" s="30">
        <v>0</v>
      </c>
      <c r="E47" s="30">
        <v>0</v>
      </c>
      <c r="F47" s="30">
        <v>0</v>
      </c>
      <c r="G47" s="30">
        <v>0</v>
      </c>
      <c r="H47" s="30">
        <v>0</v>
      </c>
      <c r="I47" s="16"/>
      <c r="J47" s="16"/>
      <c r="M47" t="e">
        <f>VLOOKUP(Risikovurdering!D49,Verdivurdering!$B$2:$J$96,9,FALSE)</f>
        <v>#N/A</v>
      </c>
    </row>
    <row r="48" spans="1:13" x14ac:dyDescent="0.25">
      <c r="A48" s="30">
        <v>0</v>
      </c>
      <c r="B48" s="30">
        <v>0</v>
      </c>
      <c r="C48" s="30">
        <v>0</v>
      </c>
      <c r="D48" s="30">
        <v>0</v>
      </c>
      <c r="E48" s="30">
        <v>0</v>
      </c>
      <c r="F48" s="30">
        <v>0</v>
      </c>
      <c r="G48" s="30">
        <v>0</v>
      </c>
      <c r="H48" s="30">
        <v>0</v>
      </c>
      <c r="I48" s="16"/>
      <c r="J48" s="16"/>
      <c r="M48" t="e">
        <f>VLOOKUP(Risikovurdering!D50,Verdivurdering!$B$2:$J$96,9,FALSE)</f>
        <v>#N/A</v>
      </c>
    </row>
    <row r="49" spans="1:13" x14ac:dyDescent="0.25">
      <c r="A49" s="30">
        <v>0</v>
      </c>
      <c r="B49" s="30">
        <v>0</v>
      </c>
      <c r="C49" s="30">
        <v>0</v>
      </c>
      <c r="D49" s="30">
        <v>0</v>
      </c>
      <c r="E49" s="30">
        <v>0</v>
      </c>
      <c r="F49" s="30">
        <v>0</v>
      </c>
      <c r="G49" s="30">
        <v>0</v>
      </c>
      <c r="H49" s="30">
        <v>0</v>
      </c>
      <c r="I49" s="16"/>
      <c r="J49" s="16"/>
      <c r="M49" t="e">
        <f>VLOOKUP(Risikovurdering!D51,Verdivurdering!$B$2:$J$96,9,FALSE)</f>
        <v>#N/A</v>
      </c>
    </row>
    <row r="50" spans="1:13" x14ac:dyDescent="0.25">
      <c r="A50" s="30">
        <v>0</v>
      </c>
      <c r="B50" s="30">
        <v>0</v>
      </c>
      <c r="C50" s="30">
        <v>0</v>
      </c>
      <c r="D50" s="30">
        <v>0</v>
      </c>
      <c r="E50" s="30">
        <v>0</v>
      </c>
      <c r="F50" s="30">
        <v>0</v>
      </c>
      <c r="G50" s="30">
        <v>0</v>
      </c>
      <c r="H50" s="30">
        <v>0</v>
      </c>
      <c r="I50" s="16"/>
      <c r="J50" s="16"/>
      <c r="M50" t="e">
        <f>VLOOKUP(Risikovurdering!D52,Verdivurdering!$B$2:$J$96,9,FALSE)</f>
        <v>#N/A</v>
      </c>
    </row>
    <row r="51" spans="1:13" x14ac:dyDescent="0.25">
      <c r="A51" s="30">
        <v>0</v>
      </c>
      <c r="B51" s="30">
        <v>0</v>
      </c>
      <c r="C51" s="30">
        <v>0</v>
      </c>
      <c r="D51" s="30">
        <v>0</v>
      </c>
      <c r="E51" s="30">
        <v>0</v>
      </c>
      <c r="F51" s="30">
        <v>0</v>
      </c>
      <c r="G51" s="30">
        <v>0</v>
      </c>
      <c r="H51" s="30">
        <v>0</v>
      </c>
      <c r="I51" s="16"/>
      <c r="J51" s="16"/>
      <c r="M51" t="e">
        <f>VLOOKUP(Risikovurdering!D53,Verdivurdering!$B$2:$J$96,9,FALSE)</f>
        <v>#N/A</v>
      </c>
    </row>
    <row r="52" spans="1:13" x14ac:dyDescent="0.25">
      <c r="A52" s="30">
        <v>0</v>
      </c>
      <c r="B52" s="30">
        <v>0</v>
      </c>
      <c r="C52" s="30">
        <v>0</v>
      </c>
      <c r="D52" s="30">
        <v>0</v>
      </c>
      <c r="E52" s="30">
        <v>0</v>
      </c>
      <c r="F52" s="30">
        <v>0</v>
      </c>
      <c r="G52" s="30">
        <v>0</v>
      </c>
      <c r="H52" s="30">
        <v>0</v>
      </c>
      <c r="I52" s="16"/>
      <c r="J52" s="16"/>
      <c r="M52" t="e">
        <f>VLOOKUP(Risikovurdering!D54,Verdivurdering!$B$2:$J$96,9,FALSE)</f>
        <v>#N/A</v>
      </c>
    </row>
    <row r="53" spans="1:13" x14ac:dyDescent="0.25">
      <c r="A53" s="31" t="str">
        <f>"R"&amp;B53</f>
        <v>R6</v>
      </c>
      <c r="B53" s="4">
        <v>6</v>
      </c>
      <c r="C53" s="4">
        <f>IFERROR(VLOOKUP(Risikovurdering!T55,Akseptkriterier!$D$4:$E$8,2,FALSE),0)</f>
        <v>0</v>
      </c>
      <c r="D53" s="4">
        <f>IFERROR(VLOOKUP(Risikovurdering!R55,Akseptkriterier!$F$4:$G$8,2,FALSE),0)</f>
        <v>0</v>
      </c>
      <c r="E53" s="4">
        <f>IFERROR(VLOOKUP(Risikovurdering!U55,Akseptkriterier!$H$4:$I$8,2,FALSE),0)</f>
        <v>0</v>
      </c>
      <c r="F53" s="4">
        <f>IFERROR(VLOOKUP(Risikovurdering!AG55,Akseptkriterier!$D$4:$E$8,2,FALSE),0)</f>
        <v>0</v>
      </c>
      <c r="G53" s="4">
        <f>IFERROR(VLOOKUP(Risikovurdering!AF55,Akseptkriterier!$F$4:$G$8,2,FALSE),0)</f>
        <v>0</v>
      </c>
      <c r="H53" s="4">
        <f>IFERROR(VLOOKUP(Risikovurdering!AH55,Akseptkriterier!$H$4:$I$8,2,FALSE),0)</f>
        <v>0</v>
      </c>
      <c r="I53" s="16"/>
      <c r="J53" s="16"/>
      <c r="M53" t="e">
        <f>VLOOKUP(Risikovurdering!D55,Verdivurdering!$B$2:$J$96,9,FALSE)</f>
        <v>#N/A</v>
      </c>
    </row>
    <row r="54" spans="1:13" x14ac:dyDescent="0.25">
      <c r="A54" s="30">
        <v>0</v>
      </c>
      <c r="B54" s="30">
        <v>0</v>
      </c>
      <c r="C54" s="30">
        <v>0</v>
      </c>
      <c r="D54" s="30">
        <v>0</v>
      </c>
      <c r="E54" s="30">
        <v>0</v>
      </c>
      <c r="F54" s="30">
        <v>0</v>
      </c>
      <c r="G54" s="30">
        <v>0</v>
      </c>
      <c r="H54" s="30">
        <v>0</v>
      </c>
      <c r="I54" s="16"/>
      <c r="J54" s="16"/>
      <c r="M54" t="e">
        <f>VLOOKUP(Risikovurdering!D56,Verdivurdering!$B$2:$J$96,9,FALSE)</f>
        <v>#N/A</v>
      </c>
    </row>
    <row r="55" spans="1:13" x14ac:dyDescent="0.25">
      <c r="A55" s="30">
        <v>0</v>
      </c>
      <c r="B55" s="30">
        <v>0</v>
      </c>
      <c r="C55" s="30">
        <v>0</v>
      </c>
      <c r="D55" s="30">
        <v>0</v>
      </c>
      <c r="E55" s="30">
        <v>0</v>
      </c>
      <c r="F55" s="30">
        <v>0</v>
      </c>
      <c r="G55" s="30">
        <v>0</v>
      </c>
      <c r="H55" s="30">
        <v>0</v>
      </c>
      <c r="I55" s="16"/>
      <c r="J55" s="16"/>
      <c r="M55" t="e">
        <f>VLOOKUP(Risikovurdering!D57,Verdivurdering!$B$2:$J$96,9,FALSE)</f>
        <v>#N/A</v>
      </c>
    </row>
    <row r="56" spans="1:13" x14ac:dyDescent="0.25">
      <c r="A56" s="30">
        <v>0</v>
      </c>
      <c r="B56" s="30">
        <v>0</v>
      </c>
      <c r="C56" s="30">
        <v>0</v>
      </c>
      <c r="D56" s="30">
        <v>0</v>
      </c>
      <c r="E56" s="30">
        <v>0</v>
      </c>
      <c r="F56" s="30">
        <v>0</v>
      </c>
      <c r="G56" s="30">
        <v>0</v>
      </c>
      <c r="H56" s="30">
        <v>0</v>
      </c>
      <c r="I56" s="16"/>
      <c r="J56" s="16"/>
      <c r="M56" t="e">
        <f>VLOOKUP(Risikovurdering!D58,Verdivurdering!$B$2:$J$96,9,FALSE)</f>
        <v>#N/A</v>
      </c>
    </row>
    <row r="57" spans="1:13" x14ac:dyDescent="0.25">
      <c r="A57" s="30">
        <v>0</v>
      </c>
      <c r="B57" s="30">
        <v>0</v>
      </c>
      <c r="C57" s="30">
        <v>0</v>
      </c>
      <c r="D57" s="30">
        <v>0</v>
      </c>
      <c r="E57" s="30">
        <v>0</v>
      </c>
      <c r="F57" s="30">
        <v>0</v>
      </c>
      <c r="G57" s="30">
        <v>0</v>
      </c>
      <c r="H57" s="30">
        <v>0</v>
      </c>
      <c r="I57" s="16"/>
      <c r="J57" s="16"/>
      <c r="M57" t="e">
        <f>VLOOKUP(Risikovurdering!D59,Verdivurdering!$B$2:$J$96,9,FALSE)</f>
        <v>#N/A</v>
      </c>
    </row>
    <row r="58" spans="1:13" x14ac:dyDescent="0.25">
      <c r="A58" s="30">
        <v>0</v>
      </c>
      <c r="B58" s="30">
        <v>0</v>
      </c>
      <c r="C58" s="30">
        <v>0</v>
      </c>
      <c r="D58" s="30">
        <v>0</v>
      </c>
      <c r="E58" s="30">
        <v>0</v>
      </c>
      <c r="F58" s="30">
        <v>0</v>
      </c>
      <c r="G58" s="30">
        <v>0</v>
      </c>
      <c r="H58" s="30">
        <v>0</v>
      </c>
      <c r="I58" s="16"/>
      <c r="J58" s="16"/>
      <c r="M58" t="e">
        <f>VLOOKUP(Risikovurdering!D60,Verdivurdering!$B$2:$J$96,9,FALSE)</f>
        <v>#N/A</v>
      </c>
    </row>
    <row r="59" spans="1:13" x14ac:dyDescent="0.25">
      <c r="A59" s="30">
        <v>0</v>
      </c>
      <c r="B59" s="30">
        <v>0</v>
      </c>
      <c r="C59" s="30">
        <v>0</v>
      </c>
      <c r="D59" s="30">
        <v>0</v>
      </c>
      <c r="E59" s="30">
        <v>0</v>
      </c>
      <c r="F59" s="30">
        <v>0</v>
      </c>
      <c r="G59" s="30">
        <v>0</v>
      </c>
      <c r="H59" s="30">
        <v>0</v>
      </c>
      <c r="I59" s="16"/>
      <c r="J59" s="16"/>
      <c r="M59" t="e">
        <f>VLOOKUP(Risikovurdering!D61,Verdivurdering!$B$2:$J$96,9,FALSE)</f>
        <v>#N/A</v>
      </c>
    </row>
    <row r="60" spans="1:13" x14ac:dyDescent="0.25">
      <c r="A60" s="30">
        <v>0</v>
      </c>
      <c r="B60" s="30">
        <v>0</v>
      </c>
      <c r="C60" s="30">
        <v>0</v>
      </c>
      <c r="D60" s="30">
        <v>0</v>
      </c>
      <c r="E60" s="30">
        <v>0</v>
      </c>
      <c r="F60" s="30">
        <v>0</v>
      </c>
      <c r="G60" s="30">
        <v>0</v>
      </c>
      <c r="H60" s="30">
        <v>0</v>
      </c>
      <c r="I60" s="16"/>
      <c r="J60" s="16"/>
      <c r="M60" t="e">
        <f>VLOOKUP(Risikovurdering!D62,Verdivurdering!$B$2:$J$96,9,FALSE)</f>
        <v>#N/A</v>
      </c>
    </row>
    <row r="61" spans="1:13" x14ac:dyDescent="0.25">
      <c r="A61" s="30">
        <v>0</v>
      </c>
      <c r="B61" s="30">
        <v>0</v>
      </c>
      <c r="C61" s="30">
        <v>0</v>
      </c>
      <c r="D61" s="30">
        <v>0</v>
      </c>
      <c r="E61" s="30">
        <v>0</v>
      </c>
      <c r="F61" s="30">
        <v>0</v>
      </c>
      <c r="G61" s="30">
        <v>0</v>
      </c>
      <c r="H61" s="30">
        <v>0</v>
      </c>
      <c r="I61" s="16"/>
      <c r="J61" s="16"/>
      <c r="M61" t="e">
        <f>VLOOKUP(Risikovurdering!D63,Verdivurdering!$B$2:$J$96,9,FALSE)</f>
        <v>#N/A</v>
      </c>
    </row>
    <row r="62" spans="1:13" x14ac:dyDescent="0.25">
      <c r="A62" s="30">
        <v>0</v>
      </c>
      <c r="B62" s="30">
        <v>0</v>
      </c>
      <c r="C62" s="30">
        <v>0</v>
      </c>
      <c r="D62" s="30">
        <v>0</v>
      </c>
      <c r="E62" s="30">
        <v>0</v>
      </c>
      <c r="F62" s="30">
        <v>0</v>
      </c>
      <c r="G62" s="30">
        <v>0</v>
      </c>
      <c r="H62" s="30">
        <v>0</v>
      </c>
      <c r="I62" s="16"/>
      <c r="J62" s="16"/>
      <c r="M62" t="e">
        <f>VLOOKUP(Risikovurdering!D64,Verdivurdering!$B$2:$J$96,9,FALSE)</f>
        <v>#N/A</v>
      </c>
    </row>
    <row r="63" spans="1:13" x14ac:dyDescent="0.25">
      <c r="A63" s="31" t="str">
        <f>"R"&amp;B63</f>
        <v>R7</v>
      </c>
      <c r="B63" s="4">
        <v>7</v>
      </c>
      <c r="C63" s="4">
        <f>IFERROR(VLOOKUP(Risikovurdering!T65,Akseptkriterier!$D$4:$E$8,2,FALSE),0)</f>
        <v>0</v>
      </c>
      <c r="D63" s="4">
        <f>IFERROR(VLOOKUP(Risikovurdering!R65,Akseptkriterier!$F$4:$G$8,2,FALSE),0)</f>
        <v>0</v>
      </c>
      <c r="E63" s="4">
        <f>IFERROR(VLOOKUP(Risikovurdering!U65,Akseptkriterier!$H$4:$I$8,2,FALSE),0)</f>
        <v>0</v>
      </c>
      <c r="F63" s="4">
        <f>IFERROR(VLOOKUP(Risikovurdering!AG65,Akseptkriterier!$D$4:$E$8,2,FALSE),0)</f>
        <v>0</v>
      </c>
      <c r="G63" s="4">
        <f>IFERROR(VLOOKUP(Risikovurdering!AF65,Akseptkriterier!$F$4:$G$8,2,FALSE),0)</f>
        <v>0</v>
      </c>
      <c r="H63" s="4">
        <f>IFERROR(VLOOKUP(Risikovurdering!AH65,Akseptkriterier!$H$4:$I$8,2,FALSE),0)</f>
        <v>0</v>
      </c>
      <c r="I63" s="16"/>
      <c r="J63" s="16"/>
      <c r="M63" t="e">
        <f>VLOOKUP(Risikovurdering!D65,Verdivurdering!$B$2:$J$96,9,FALSE)</f>
        <v>#N/A</v>
      </c>
    </row>
    <row r="64" spans="1:13" x14ac:dyDescent="0.25">
      <c r="A64" s="30">
        <v>0</v>
      </c>
      <c r="B64" s="30">
        <v>0</v>
      </c>
      <c r="C64" s="30">
        <v>0</v>
      </c>
      <c r="D64" s="30">
        <v>0</v>
      </c>
      <c r="E64" s="30">
        <v>0</v>
      </c>
      <c r="F64" s="30">
        <v>0</v>
      </c>
      <c r="G64" s="30">
        <v>0</v>
      </c>
      <c r="H64" s="30">
        <v>0</v>
      </c>
      <c r="I64" s="16"/>
      <c r="J64" s="16"/>
      <c r="M64" t="e">
        <f>VLOOKUP(Risikovurdering!D66,Verdivurdering!$B$2:$J$96,9,FALSE)</f>
        <v>#N/A</v>
      </c>
    </row>
    <row r="65" spans="1:13" x14ac:dyDescent="0.25">
      <c r="A65" s="30">
        <v>0</v>
      </c>
      <c r="B65" s="30">
        <v>0</v>
      </c>
      <c r="C65" s="30">
        <v>0</v>
      </c>
      <c r="D65" s="30">
        <v>0</v>
      </c>
      <c r="E65" s="30">
        <v>0</v>
      </c>
      <c r="F65" s="30">
        <v>0</v>
      </c>
      <c r="G65" s="30">
        <v>0</v>
      </c>
      <c r="H65" s="30">
        <v>0</v>
      </c>
      <c r="I65" s="16"/>
      <c r="J65" s="16"/>
      <c r="M65" t="e">
        <f>VLOOKUP(Risikovurdering!D67,Verdivurdering!$B$2:$J$96,9,FALSE)</f>
        <v>#N/A</v>
      </c>
    </row>
    <row r="66" spans="1:13" x14ac:dyDescent="0.25">
      <c r="A66" s="30">
        <v>0</v>
      </c>
      <c r="B66" s="30">
        <v>0</v>
      </c>
      <c r="C66" s="30">
        <v>0</v>
      </c>
      <c r="D66" s="30">
        <v>0</v>
      </c>
      <c r="E66" s="30">
        <v>0</v>
      </c>
      <c r="F66" s="30">
        <v>0</v>
      </c>
      <c r="G66" s="30">
        <v>0</v>
      </c>
      <c r="H66" s="30">
        <v>0</v>
      </c>
      <c r="I66" s="16"/>
      <c r="J66" s="16"/>
      <c r="M66" t="e">
        <f>VLOOKUP(Risikovurdering!D68,Verdivurdering!$B$2:$J$96,9,FALSE)</f>
        <v>#N/A</v>
      </c>
    </row>
    <row r="67" spans="1:13" x14ac:dyDescent="0.25">
      <c r="A67" s="30">
        <v>0</v>
      </c>
      <c r="B67" s="30">
        <v>0</v>
      </c>
      <c r="C67" s="30">
        <v>0</v>
      </c>
      <c r="D67" s="30">
        <v>0</v>
      </c>
      <c r="E67" s="30">
        <v>0</v>
      </c>
      <c r="F67" s="30">
        <v>0</v>
      </c>
      <c r="G67" s="30">
        <v>0</v>
      </c>
      <c r="H67" s="30">
        <v>0</v>
      </c>
      <c r="I67" s="16"/>
      <c r="J67" s="16"/>
      <c r="M67" t="e">
        <f>VLOOKUP(Risikovurdering!D69,Verdivurdering!$B$2:$J$96,9,FALSE)</f>
        <v>#N/A</v>
      </c>
    </row>
    <row r="68" spans="1:13" x14ac:dyDescent="0.25">
      <c r="A68" s="30">
        <v>0</v>
      </c>
      <c r="B68" s="30">
        <v>0</v>
      </c>
      <c r="C68" s="30">
        <v>0</v>
      </c>
      <c r="D68" s="30">
        <v>0</v>
      </c>
      <c r="E68" s="30">
        <v>0</v>
      </c>
      <c r="F68" s="30">
        <v>0</v>
      </c>
      <c r="G68" s="30">
        <v>0</v>
      </c>
      <c r="H68" s="30">
        <v>0</v>
      </c>
      <c r="I68" s="16"/>
      <c r="J68" s="16"/>
      <c r="M68" t="e">
        <f>VLOOKUP(Risikovurdering!D70,Verdivurdering!$B$2:$J$96,9,FALSE)</f>
        <v>#N/A</v>
      </c>
    </row>
    <row r="69" spans="1:13" x14ac:dyDescent="0.25">
      <c r="A69" s="30">
        <v>0</v>
      </c>
      <c r="B69" s="30">
        <v>0</v>
      </c>
      <c r="C69" s="30">
        <v>0</v>
      </c>
      <c r="D69" s="30">
        <v>0</v>
      </c>
      <c r="E69" s="30">
        <v>0</v>
      </c>
      <c r="F69" s="30">
        <v>0</v>
      </c>
      <c r="G69" s="30">
        <v>0</v>
      </c>
      <c r="H69" s="30">
        <v>0</v>
      </c>
      <c r="I69" s="16"/>
      <c r="J69" s="16"/>
      <c r="M69" t="e">
        <f>VLOOKUP(Risikovurdering!D71,Verdivurdering!$B$2:$J$96,9,FALSE)</f>
        <v>#N/A</v>
      </c>
    </row>
    <row r="70" spans="1:13" x14ac:dyDescent="0.25">
      <c r="A70" s="30">
        <v>0</v>
      </c>
      <c r="B70" s="30">
        <v>0</v>
      </c>
      <c r="C70" s="30">
        <v>0</v>
      </c>
      <c r="D70" s="30">
        <v>0</v>
      </c>
      <c r="E70" s="30">
        <v>0</v>
      </c>
      <c r="F70" s="30">
        <v>0</v>
      </c>
      <c r="G70" s="30">
        <v>0</v>
      </c>
      <c r="H70" s="30">
        <v>0</v>
      </c>
      <c r="I70" s="16"/>
      <c r="J70" s="16"/>
      <c r="M70" t="e">
        <f>VLOOKUP(Risikovurdering!D72,Verdivurdering!$B$2:$J$96,9,FALSE)</f>
        <v>#N/A</v>
      </c>
    </row>
    <row r="71" spans="1:13" x14ac:dyDescent="0.25">
      <c r="A71" s="30">
        <v>0</v>
      </c>
      <c r="B71" s="30">
        <v>0</v>
      </c>
      <c r="C71" s="30">
        <v>0</v>
      </c>
      <c r="D71" s="30">
        <v>0</v>
      </c>
      <c r="E71" s="30">
        <v>0</v>
      </c>
      <c r="F71" s="30">
        <v>0</v>
      </c>
      <c r="G71" s="30">
        <v>0</v>
      </c>
      <c r="H71" s="30">
        <v>0</v>
      </c>
      <c r="I71" s="16"/>
      <c r="J71" s="16"/>
      <c r="M71" t="e">
        <f>VLOOKUP(Risikovurdering!D73,Verdivurdering!$B$2:$J$96,9,FALSE)</f>
        <v>#N/A</v>
      </c>
    </row>
    <row r="72" spans="1:13" x14ac:dyDescent="0.25">
      <c r="A72" s="30">
        <v>0</v>
      </c>
      <c r="B72" s="30">
        <v>0</v>
      </c>
      <c r="C72" s="30">
        <v>0</v>
      </c>
      <c r="D72" s="30">
        <v>0</v>
      </c>
      <c r="E72" s="30">
        <v>0</v>
      </c>
      <c r="F72" s="30">
        <v>0</v>
      </c>
      <c r="G72" s="30">
        <v>0</v>
      </c>
      <c r="H72" s="30">
        <v>0</v>
      </c>
      <c r="I72" s="16"/>
      <c r="J72" s="16"/>
      <c r="M72" t="e">
        <f>VLOOKUP(Risikovurdering!D74,Verdivurdering!$B$2:$J$96,9,FALSE)</f>
        <v>#N/A</v>
      </c>
    </row>
    <row r="73" spans="1:13" x14ac:dyDescent="0.25">
      <c r="A73" s="31" t="str">
        <f>"R"&amp;B73</f>
        <v>R8</v>
      </c>
      <c r="B73" s="4">
        <v>8</v>
      </c>
      <c r="C73" s="4">
        <f>IFERROR(VLOOKUP(Risikovurdering!T75,Akseptkriterier!$D$4:$E$8,2,FALSE),0)</f>
        <v>0</v>
      </c>
      <c r="D73" s="4">
        <f>IFERROR(VLOOKUP(Risikovurdering!R75,Akseptkriterier!$F$4:$G$8,2,FALSE),0)</f>
        <v>0</v>
      </c>
      <c r="E73" s="4">
        <f>IFERROR(VLOOKUP(Risikovurdering!U75,Akseptkriterier!$H$4:$I$8,2,FALSE),0)</f>
        <v>0</v>
      </c>
      <c r="F73" s="4">
        <f>IFERROR(VLOOKUP(Risikovurdering!AG75,Akseptkriterier!$D$4:$E$8,2,FALSE),0)</f>
        <v>0</v>
      </c>
      <c r="G73" s="4">
        <f>IFERROR(VLOOKUP(Risikovurdering!AF75,Akseptkriterier!$F$4:$G$8,2,FALSE),0)</f>
        <v>0</v>
      </c>
      <c r="H73" s="4">
        <f>IFERROR(VLOOKUP(Risikovurdering!AH75,Akseptkriterier!$H$4:$I$8,2,FALSE),0)</f>
        <v>0</v>
      </c>
      <c r="I73" s="16"/>
      <c r="J73" s="16"/>
      <c r="M73" t="e">
        <f>VLOOKUP(Risikovurdering!D75,Verdivurdering!$B$2:$J$96,9,FALSE)</f>
        <v>#N/A</v>
      </c>
    </row>
    <row r="74" spans="1:13" x14ac:dyDescent="0.25">
      <c r="A74" s="30">
        <v>0</v>
      </c>
      <c r="B74" s="30">
        <v>0</v>
      </c>
      <c r="C74" s="30">
        <v>0</v>
      </c>
      <c r="D74" s="30">
        <v>0</v>
      </c>
      <c r="E74" s="30">
        <v>0</v>
      </c>
      <c r="F74" s="30">
        <v>0</v>
      </c>
      <c r="G74" s="30">
        <v>0</v>
      </c>
      <c r="H74" s="30">
        <v>0</v>
      </c>
      <c r="I74" s="16"/>
      <c r="J74" s="16"/>
      <c r="M74" t="e">
        <f>VLOOKUP(Risikovurdering!D76,Verdivurdering!$B$2:$J$96,9,FALSE)</f>
        <v>#N/A</v>
      </c>
    </row>
    <row r="75" spans="1:13" x14ac:dyDescent="0.25">
      <c r="A75" s="30">
        <v>0</v>
      </c>
      <c r="B75" s="30">
        <v>0</v>
      </c>
      <c r="C75" s="30">
        <v>0</v>
      </c>
      <c r="D75" s="30">
        <v>0</v>
      </c>
      <c r="E75" s="30">
        <v>0</v>
      </c>
      <c r="F75" s="30">
        <v>0</v>
      </c>
      <c r="G75" s="30">
        <v>0</v>
      </c>
      <c r="H75" s="30">
        <v>0</v>
      </c>
      <c r="I75" s="16"/>
      <c r="J75" s="16"/>
      <c r="M75" t="e">
        <f>VLOOKUP(Risikovurdering!D77,Verdivurdering!$B$2:$J$96,9,FALSE)</f>
        <v>#N/A</v>
      </c>
    </row>
    <row r="76" spans="1:13" x14ac:dyDescent="0.25">
      <c r="A76" s="30">
        <v>0</v>
      </c>
      <c r="B76" s="30">
        <v>0</v>
      </c>
      <c r="C76" s="30">
        <v>0</v>
      </c>
      <c r="D76" s="30">
        <v>0</v>
      </c>
      <c r="E76" s="30">
        <v>0</v>
      </c>
      <c r="F76" s="30">
        <v>0</v>
      </c>
      <c r="G76" s="30">
        <v>0</v>
      </c>
      <c r="H76" s="30">
        <v>0</v>
      </c>
      <c r="I76" s="16"/>
      <c r="J76" s="16"/>
      <c r="M76" t="e">
        <f>VLOOKUP(Risikovurdering!D78,Verdivurdering!$B$2:$J$96,9,FALSE)</f>
        <v>#N/A</v>
      </c>
    </row>
    <row r="77" spans="1:13" x14ac:dyDescent="0.25">
      <c r="A77" s="30">
        <v>0</v>
      </c>
      <c r="B77" s="30">
        <v>0</v>
      </c>
      <c r="C77" s="30">
        <v>0</v>
      </c>
      <c r="D77" s="30">
        <v>0</v>
      </c>
      <c r="E77" s="30">
        <v>0</v>
      </c>
      <c r="F77" s="30">
        <v>0</v>
      </c>
      <c r="G77" s="30">
        <v>0</v>
      </c>
      <c r="H77" s="30">
        <v>0</v>
      </c>
      <c r="I77" s="16"/>
      <c r="J77" s="16"/>
      <c r="M77" t="e">
        <f>VLOOKUP(Risikovurdering!D79,Verdivurdering!$B$2:$J$96,9,FALSE)</f>
        <v>#N/A</v>
      </c>
    </row>
    <row r="78" spans="1:13" x14ac:dyDescent="0.25">
      <c r="A78" s="30">
        <v>0</v>
      </c>
      <c r="B78" s="30">
        <v>0</v>
      </c>
      <c r="C78" s="30">
        <v>0</v>
      </c>
      <c r="D78" s="30">
        <v>0</v>
      </c>
      <c r="E78" s="30">
        <v>0</v>
      </c>
      <c r="F78" s="30">
        <v>0</v>
      </c>
      <c r="G78" s="30">
        <v>0</v>
      </c>
      <c r="H78" s="30">
        <v>0</v>
      </c>
      <c r="I78" s="16"/>
      <c r="J78" s="16"/>
      <c r="M78" t="e">
        <f>VLOOKUP(Risikovurdering!D80,Verdivurdering!$B$2:$J$96,9,FALSE)</f>
        <v>#N/A</v>
      </c>
    </row>
    <row r="79" spans="1:13" x14ac:dyDescent="0.25">
      <c r="A79" s="30">
        <v>0</v>
      </c>
      <c r="B79" s="30">
        <v>0</v>
      </c>
      <c r="C79" s="30">
        <v>0</v>
      </c>
      <c r="D79" s="30">
        <v>0</v>
      </c>
      <c r="E79" s="30">
        <v>0</v>
      </c>
      <c r="F79" s="30">
        <v>0</v>
      </c>
      <c r="G79" s="30">
        <v>0</v>
      </c>
      <c r="H79" s="30">
        <v>0</v>
      </c>
      <c r="I79" s="16"/>
      <c r="J79" s="16"/>
      <c r="M79" t="e">
        <f>VLOOKUP(Risikovurdering!D81,Verdivurdering!$B$2:$J$96,9,FALSE)</f>
        <v>#N/A</v>
      </c>
    </row>
    <row r="80" spans="1:13" x14ac:dyDescent="0.25">
      <c r="A80" s="30">
        <v>0</v>
      </c>
      <c r="B80" s="30">
        <v>0</v>
      </c>
      <c r="C80" s="30">
        <v>0</v>
      </c>
      <c r="D80" s="30">
        <v>0</v>
      </c>
      <c r="E80" s="30">
        <v>0</v>
      </c>
      <c r="F80" s="30">
        <v>0</v>
      </c>
      <c r="G80" s="30">
        <v>0</v>
      </c>
      <c r="H80" s="30">
        <v>0</v>
      </c>
      <c r="I80" s="16"/>
      <c r="J80" s="16"/>
      <c r="M80" t="e">
        <f>VLOOKUP(Risikovurdering!D82,Verdivurdering!$B$2:$J$96,9,FALSE)</f>
        <v>#N/A</v>
      </c>
    </row>
    <row r="81" spans="1:13" x14ac:dyDescent="0.25">
      <c r="A81" s="30">
        <v>0</v>
      </c>
      <c r="B81" s="30">
        <v>0</v>
      </c>
      <c r="C81" s="30">
        <v>0</v>
      </c>
      <c r="D81" s="30">
        <v>0</v>
      </c>
      <c r="E81" s="30">
        <v>0</v>
      </c>
      <c r="F81" s="30">
        <v>0</v>
      </c>
      <c r="G81" s="30">
        <v>0</v>
      </c>
      <c r="H81" s="30">
        <v>0</v>
      </c>
      <c r="I81" s="16"/>
      <c r="J81" s="16"/>
      <c r="M81" t="e">
        <f>VLOOKUP(Risikovurdering!D83,Verdivurdering!$B$2:$J$96,9,FALSE)</f>
        <v>#N/A</v>
      </c>
    </row>
    <row r="82" spans="1:13" x14ac:dyDescent="0.25">
      <c r="A82" s="30">
        <v>0</v>
      </c>
      <c r="B82" s="30">
        <v>0</v>
      </c>
      <c r="C82" s="30">
        <v>0</v>
      </c>
      <c r="D82" s="30">
        <v>0</v>
      </c>
      <c r="E82" s="30">
        <v>0</v>
      </c>
      <c r="F82" s="30">
        <v>0</v>
      </c>
      <c r="G82" s="30">
        <v>0</v>
      </c>
      <c r="H82" s="30">
        <v>0</v>
      </c>
      <c r="I82" s="16"/>
      <c r="J82" s="16"/>
      <c r="M82" t="e">
        <f>VLOOKUP(Risikovurdering!D84,Verdivurdering!$B$2:$J$96,9,FALSE)</f>
        <v>#N/A</v>
      </c>
    </row>
    <row r="83" spans="1:13" x14ac:dyDescent="0.25">
      <c r="A83" s="31" t="str">
        <f>"R"&amp;B83</f>
        <v>R9</v>
      </c>
      <c r="B83" s="4">
        <v>9</v>
      </c>
      <c r="C83" s="4">
        <f>IFERROR(VLOOKUP(Risikovurdering!T85,Akseptkriterier!$D$4:$E$8,2,FALSE),0)</f>
        <v>0</v>
      </c>
      <c r="D83" s="4">
        <f>IFERROR(VLOOKUP(Risikovurdering!R85,Akseptkriterier!$F$4:$G$8,2,FALSE),0)</f>
        <v>0</v>
      </c>
      <c r="E83" s="4">
        <f>IFERROR(VLOOKUP(Risikovurdering!U85,Akseptkriterier!$H$4:$I$8,2,FALSE),0)</f>
        <v>0</v>
      </c>
      <c r="F83" s="4">
        <f>IFERROR(VLOOKUP(Risikovurdering!AG85,Akseptkriterier!$D$4:$E$8,2,FALSE),0)</f>
        <v>0</v>
      </c>
      <c r="G83" s="4">
        <f>IFERROR(VLOOKUP(Risikovurdering!AF85,Akseptkriterier!$F$4:$G$8,2,FALSE),0)</f>
        <v>0</v>
      </c>
      <c r="H83" s="4">
        <f>IFERROR(VLOOKUP(Risikovurdering!AH85,Akseptkriterier!$H$4:$I$8,2,FALSE),0)</f>
        <v>0</v>
      </c>
      <c r="I83" s="16"/>
      <c r="J83" s="16"/>
      <c r="M83" t="e">
        <f>VLOOKUP(Risikovurdering!D85,Verdivurdering!$B$2:$J$96,9,FALSE)</f>
        <v>#N/A</v>
      </c>
    </row>
    <row r="84" spans="1:13" x14ac:dyDescent="0.25">
      <c r="A84" s="30">
        <v>0</v>
      </c>
      <c r="B84" s="30">
        <v>0</v>
      </c>
      <c r="C84" s="30">
        <v>0</v>
      </c>
      <c r="D84" s="30">
        <v>0</v>
      </c>
      <c r="E84" s="30">
        <v>0</v>
      </c>
      <c r="F84" s="30">
        <v>0</v>
      </c>
      <c r="G84" s="30">
        <v>0</v>
      </c>
      <c r="H84" s="30">
        <v>0</v>
      </c>
      <c r="I84" s="16"/>
      <c r="J84" s="16"/>
      <c r="M84" t="e">
        <f>VLOOKUP(Risikovurdering!D86,Verdivurdering!$B$2:$J$96,9,FALSE)</f>
        <v>#N/A</v>
      </c>
    </row>
    <row r="85" spans="1:13" x14ac:dyDescent="0.25">
      <c r="A85" s="30">
        <v>0</v>
      </c>
      <c r="B85" s="30">
        <v>0</v>
      </c>
      <c r="C85" s="30">
        <v>0</v>
      </c>
      <c r="D85" s="30">
        <v>0</v>
      </c>
      <c r="E85" s="30">
        <v>0</v>
      </c>
      <c r="F85" s="30">
        <v>0</v>
      </c>
      <c r="G85" s="30">
        <v>0</v>
      </c>
      <c r="H85" s="30">
        <v>0</v>
      </c>
      <c r="I85" s="16"/>
      <c r="J85" s="16"/>
      <c r="M85" t="e">
        <f>VLOOKUP(Risikovurdering!D87,Verdivurdering!$B$2:$J$96,9,FALSE)</f>
        <v>#N/A</v>
      </c>
    </row>
    <row r="86" spans="1:13" x14ac:dyDescent="0.25">
      <c r="A86" s="30">
        <v>0</v>
      </c>
      <c r="B86" s="30">
        <v>0</v>
      </c>
      <c r="C86" s="30">
        <v>0</v>
      </c>
      <c r="D86" s="30">
        <v>0</v>
      </c>
      <c r="E86" s="30">
        <v>0</v>
      </c>
      <c r="F86" s="30">
        <v>0</v>
      </c>
      <c r="G86" s="30">
        <v>0</v>
      </c>
      <c r="H86" s="30">
        <v>0</v>
      </c>
      <c r="I86" s="16"/>
      <c r="J86" s="16"/>
      <c r="M86" t="e">
        <f>VLOOKUP(Risikovurdering!D88,Verdivurdering!$B$2:$J$96,9,FALSE)</f>
        <v>#N/A</v>
      </c>
    </row>
    <row r="87" spans="1:13" x14ac:dyDescent="0.25">
      <c r="A87" s="30">
        <v>0</v>
      </c>
      <c r="B87" s="30">
        <v>0</v>
      </c>
      <c r="C87" s="30">
        <v>0</v>
      </c>
      <c r="D87" s="30">
        <v>0</v>
      </c>
      <c r="E87" s="30">
        <v>0</v>
      </c>
      <c r="F87" s="30">
        <v>0</v>
      </c>
      <c r="G87" s="30">
        <v>0</v>
      </c>
      <c r="H87" s="30">
        <v>0</v>
      </c>
      <c r="I87" s="16"/>
      <c r="J87" s="16"/>
      <c r="M87" t="e">
        <f>VLOOKUP(Risikovurdering!D89,Verdivurdering!$B$2:$J$96,9,FALSE)</f>
        <v>#N/A</v>
      </c>
    </row>
    <row r="88" spans="1:13" x14ac:dyDescent="0.25">
      <c r="A88" s="30">
        <v>0</v>
      </c>
      <c r="B88" s="30">
        <v>0</v>
      </c>
      <c r="C88" s="30">
        <v>0</v>
      </c>
      <c r="D88" s="30">
        <v>0</v>
      </c>
      <c r="E88" s="30">
        <v>0</v>
      </c>
      <c r="F88" s="30">
        <v>0</v>
      </c>
      <c r="G88" s="30">
        <v>0</v>
      </c>
      <c r="H88" s="30">
        <v>0</v>
      </c>
      <c r="I88" s="16"/>
      <c r="J88" s="16"/>
      <c r="M88" t="e">
        <f>VLOOKUP(Risikovurdering!D90,Verdivurdering!$B$2:$J$96,9,FALSE)</f>
        <v>#N/A</v>
      </c>
    </row>
    <row r="89" spans="1:13" x14ac:dyDescent="0.25">
      <c r="A89" s="30">
        <v>0</v>
      </c>
      <c r="B89" s="30">
        <v>0</v>
      </c>
      <c r="C89" s="30">
        <v>0</v>
      </c>
      <c r="D89" s="30">
        <v>0</v>
      </c>
      <c r="E89" s="30">
        <v>0</v>
      </c>
      <c r="F89" s="30">
        <v>0</v>
      </c>
      <c r="G89" s="30">
        <v>0</v>
      </c>
      <c r="H89" s="30">
        <v>0</v>
      </c>
      <c r="I89" s="16"/>
      <c r="J89" s="16"/>
      <c r="M89" t="e">
        <f>VLOOKUP(Risikovurdering!D91,Verdivurdering!$B$2:$J$96,9,FALSE)</f>
        <v>#N/A</v>
      </c>
    </row>
    <row r="90" spans="1:13" x14ac:dyDescent="0.25">
      <c r="A90" s="30">
        <v>0</v>
      </c>
      <c r="B90" s="30">
        <v>0</v>
      </c>
      <c r="C90" s="30">
        <v>0</v>
      </c>
      <c r="D90" s="30">
        <v>0</v>
      </c>
      <c r="E90" s="30">
        <v>0</v>
      </c>
      <c r="F90" s="30">
        <v>0</v>
      </c>
      <c r="G90" s="30">
        <v>0</v>
      </c>
      <c r="H90" s="30">
        <v>0</v>
      </c>
      <c r="I90" s="16"/>
      <c r="J90" s="16"/>
      <c r="M90" t="e">
        <f>VLOOKUP(Risikovurdering!D92,Verdivurdering!$B$2:$J$96,9,FALSE)</f>
        <v>#N/A</v>
      </c>
    </row>
    <row r="91" spans="1:13" x14ac:dyDescent="0.25">
      <c r="A91" s="30">
        <v>0</v>
      </c>
      <c r="B91" s="30">
        <v>0</v>
      </c>
      <c r="C91" s="30">
        <v>0</v>
      </c>
      <c r="D91" s="30">
        <v>0</v>
      </c>
      <c r="E91" s="30">
        <v>0</v>
      </c>
      <c r="F91" s="30">
        <v>0</v>
      </c>
      <c r="G91" s="30">
        <v>0</v>
      </c>
      <c r="H91" s="30">
        <v>0</v>
      </c>
      <c r="I91" s="16"/>
      <c r="J91" s="16"/>
      <c r="M91" t="e">
        <f>VLOOKUP(Risikovurdering!D93,Verdivurdering!$B$2:$J$96,9,FALSE)</f>
        <v>#N/A</v>
      </c>
    </row>
    <row r="92" spans="1:13" x14ac:dyDescent="0.25">
      <c r="A92" s="30">
        <v>0</v>
      </c>
      <c r="B92" s="30">
        <v>0</v>
      </c>
      <c r="C92" s="30">
        <v>0</v>
      </c>
      <c r="D92" s="30">
        <v>0</v>
      </c>
      <c r="E92" s="30">
        <v>0</v>
      </c>
      <c r="F92" s="30">
        <v>0</v>
      </c>
      <c r="G92" s="30">
        <v>0</v>
      </c>
      <c r="H92" s="30">
        <v>0</v>
      </c>
      <c r="I92" s="16"/>
      <c r="J92" s="16"/>
      <c r="M92" t="e">
        <f>VLOOKUP(Risikovurdering!D94,Verdivurdering!$B$2:$J$96,9,FALSE)</f>
        <v>#N/A</v>
      </c>
    </row>
    <row r="93" spans="1:13" x14ac:dyDescent="0.25">
      <c r="A93" s="31" t="str">
        <f>"R"&amp;B93</f>
        <v>R10</v>
      </c>
      <c r="B93" s="4">
        <v>10</v>
      </c>
      <c r="C93" s="4">
        <f>IFERROR(VLOOKUP(Risikovurdering!T95,Akseptkriterier!$D$4:$E$8,2,FALSE),0)</f>
        <v>0</v>
      </c>
      <c r="D93" s="4">
        <f>IFERROR(VLOOKUP(Risikovurdering!R95,Akseptkriterier!$F$4:$G$8,2,FALSE),0)</f>
        <v>0</v>
      </c>
      <c r="E93" s="4">
        <f>IFERROR(VLOOKUP(Risikovurdering!U95,Akseptkriterier!$H$4:$I$8,2,FALSE),0)</f>
        <v>0</v>
      </c>
      <c r="F93" s="4">
        <f>IFERROR(VLOOKUP(Risikovurdering!AG95,Akseptkriterier!$D$4:$E$8,2,FALSE),0)</f>
        <v>0</v>
      </c>
      <c r="G93" s="4">
        <f>IFERROR(VLOOKUP(Risikovurdering!AF95,Akseptkriterier!$F$4:$G$8,2,FALSE),0)</f>
        <v>0</v>
      </c>
      <c r="H93" s="4">
        <f>IFERROR(VLOOKUP(Risikovurdering!AH95,Akseptkriterier!$H$4:$I$8,2,FALSE),0)</f>
        <v>0</v>
      </c>
      <c r="I93" s="16"/>
      <c r="J93" s="16"/>
      <c r="M93" t="e">
        <f>VLOOKUP(Risikovurdering!D95,Verdivurdering!$B$2:$J$96,9,FALSE)</f>
        <v>#N/A</v>
      </c>
    </row>
    <row r="94" spans="1:13" x14ac:dyDescent="0.25">
      <c r="A94" s="30">
        <v>0</v>
      </c>
      <c r="B94" s="30">
        <v>0</v>
      </c>
      <c r="C94" s="30">
        <v>0</v>
      </c>
      <c r="D94" s="30">
        <v>0</v>
      </c>
      <c r="E94" s="30">
        <v>0</v>
      </c>
      <c r="F94" s="30">
        <v>0</v>
      </c>
      <c r="G94" s="30">
        <v>0</v>
      </c>
      <c r="H94" s="30">
        <v>0</v>
      </c>
      <c r="I94" s="16"/>
      <c r="J94" s="16"/>
      <c r="M94" t="e">
        <f>VLOOKUP(Risikovurdering!D96,Verdivurdering!$B$2:$J$96,9,FALSE)</f>
        <v>#N/A</v>
      </c>
    </row>
    <row r="95" spans="1:13" x14ac:dyDescent="0.25">
      <c r="A95" s="30">
        <v>0</v>
      </c>
      <c r="B95" s="30">
        <v>0</v>
      </c>
      <c r="C95" s="30">
        <v>0</v>
      </c>
      <c r="D95" s="30">
        <v>0</v>
      </c>
      <c r="E95" s="30">
        <v>0</v>
      </c>
      <c r="F95" s="30">
        <v>0</v>
      </c>
      <c r="G95" s="30">
        <v>0</v>
      </c>
      <c r="H95" s="30">
        <v>0</v>
      </c>
      <c r="I95" s="16"/>
      <c r="J95" s="16"/>
      <c r="M95" t="e">
        <f>VLOOKUP(Risikovurdering!D97,Verdivurdering!$B$2:$J$96,9,FALSE)</f>
        <v>#N/A</v>
      </c>
    </row>
    <row r="96" spans="1:13" x14ac:dyDescent="0.25">
      <c r="A96" s="30">
        <v>0</v>
      </c>
      <c r="B96" s="30">
        <v>0</v>
      </c>
      <c r="C96" s="30">
        <v>0</v>
      </c>
      <c r="D96" s="30">
        <v>0</v>
      </c>
      <c r="E96" s="30">
        <v>0</v>
      </c>
      <c r="F96" s="30">
        <v>0</v>
      </c>
      <c r="G96" s="30">
        <v>0</v>
      </c>
      <c r="H96" s="30">
        <v>0</v>
      </c>
      <c r="I96" s="16"/>
      <c r="J96" s="16"/>
      <c r="M96" t="e">
        <f>VLOOKUP(Risikovurdering!D98,Verdivurdering!$B$2:$J$96,9,FALSE)</f>
        <v>#N/A</v>
      </c>
    </row>
    <row r="97" spans="1:13" x14ac:dyDescent="0.25">
      <c r="A97" s="30">
        <v>0</v>
      </c>
      <c r="B97" s="30">
        <v>0</v>
      </c>
      <c r="C97" s="30">
        <v>0</v>
      </c>
      <c r="D97" s="30">
        <v>0</v>
      </c>
      <c r="E97" s="30">
        <v>0</v>
      </c>
      <c r="F97" s="30">
        <v>0</v>
      </c>
      <c r="G97" s="30">
        <v>0</v>
      </c>
      <c r="H97" s="30">
        <v>0</v>
      </c>
      <c r="I97" s="16"/>
      <c r="J97" s="16"/>
      <c r="M97" t="e">
        <f>VLOOKUP(Risikovurdering!D99,Verdivurdering!$B$2:$J$96,9,FALSE)</f>
        <v>#N/A</v>
      </c>
    </row>
    <row r="98" spans="1:13" x14ac:dyDescent="0.25">
      <c r="A98" s="30">
        <v>0</v>
      </c>
      <c r="B98" s="30">
        <v>0</v>
      </c>
      <c r="C98" s="30">
        <v>0</v>
      </c>
      <c r="D98" s="30">
        <v>0</v>
      </c>
      <c r="E98" s="30">
        <v>0</v>
      </c>
      <c r="F98" s="30">
        <v>0</v>
      </c>
      <c r="G98" s="30">
        <v>0</v>
      </c>
      <c r="H98" s="30">
        <v>0</v>
      </c>
      <c r="I98" s="16"/>
      <c r="J98" s="16"/>
      <c r="M98" t="e">
        <f>VLOOKUP(Risikovurdering!D100,Verdivurdering!$B$2:$J$96,9,FALSE)</f>
        <v>#N/A</v>
      </c>
    </row>
    <row r="99" spans="1:13" x14ac:dyDescent="0.25">
      <c r="A99" s="30">
        <v>0</v>
      </c>
      <c r="B99" s="30">
        <v>0</v>
      </c>
      <c r="C99" s="30">
        <v>0</v>
      </c>
      <c r="D99" s="30">
        <v>0</v>
      </c>
      <c r="E99" s="30">
        <v>0</v>
      </c>
      <c r="F99" s="30">
        <v>0</v>
      </c>
      <c r="G99" s="30">
        <v>0</v>
      </c>
      <c r="H99" s="30">
        <v>0</v>
      </c>
      <c r="I99" s="16"/>
      <c r="J99" s="16"/>
      <c r="M99" t="e">
        <f>VLOOKUP(Risikovurdering!D101,Verdivurdering!$B$2:$J$96,9,FALSE)</f>
        <v>#N/A</v>
      </c>
    </row>
    <row r="100" spans="1:13" x14ac:dyDescent="0.25">
      <c r="A100" s="30">
        <v>0</v>
      </c>
      <c r="B100" s="30">
        <v>0</v>
      </c>
      <c r="C100" s="30">
        <v>0</v>
      </c>
      <c r="D100" s="30">
        <v>0</v>
      </c>
      <c r="E100" s="30">
        <v>0</v>
      </c>
      <c r="F100" s="30">
        <v>0</v>
      </c>
      <c r="G100" s="30">
        <v>0</v>
      </c>
      <c r="H100" s="30">
        <v>0</v>
      </c>
      <c r="I100" s="16"/>
      <c r="J100" s="16"/>
      <c r="M100" t="e">
        <f>VLOOKUP(Risikovurdering!D102,Verdivurdering!$B$2:$J$96,9,FALSE)</f>
        <v>#N/A</v>
      </c>
    </row>
    <row r="101" spans="1:13" x14ac:dyDescent="0.25">
      <c r="A101" s="30">
        <v>0</v>
      </c>
      <c r="B101" s="30">
        <v>0</v>
      </c>
      <c r="C101" s="30">
        <v>0</v>
      </c>
      <c r="D101" s="30">
        <v>0</v>
      </c>
      <c r="E101" s="30">
        <v>0</v>
      </c>
      <c r="F101" s="30">
        <v>0</v>
      </c>
      <c r="G101" s="30">
        <v>0</v>
      </c>
      <c r="H101" s="30">
        <v>0</v>
      </c>
      <c r="I101" s="16"/>
      <c r="J101" s="16"/>
      <c r="M101" t="e">
        <f>VLOOKUP(Risikovurdering!D103,Verdivurdering!$B$2:$J$96,9,FALSE)</f>
        <v>#N/A</v>
      </c>
    </row>
    <row r="102" spans="1:13" x14ac:dyDescent="0.25">
      <c r="A102" s="30">
        <v>0</v>
      </c>
      <c r="B102" s="30">
        <v>0</v>
      </c>
      <c r="C102" s="30">
        <v>0</v>
      </c>
      <c r="D102" s="30">
        <v>0</v>
      </c>
      <c r="E102" s="30">
        <v>0</v>
      </c>
      <c r="F102" s="30">
        <v>0</v>
      </c>
      <c r="G102" s="30">
        <v>0</v>
      </c>
      <c r="H102" s="30">
        <v>0</v>
      </c>
      <c r="I102" s="16"/>
      <c r="J102" s="16"/>
      <c r="M102" t="e">
        <f>VLOOKUP(Risikovurdering!D104,Verdivurdering!$B$2:$J$96,9,FALSE)</f>
        <v>#N/A</v>
      </c>
    </row>
    <row r="103" spans="1:13" x14ac:dyDescent="0.25">
      <c r="A103" s="31" t="str">
        <f>"R"&amp;B103</f>
        <v>R11</v>
      </c>
      <c r="B103" s="4">
        <v>11</v>
      </c>
      <c r="C103" s="4">
        <f>IFERROR(VLOOKUP(Risikovurdering!T105,Akseptkriterier!$D$4:$E$8,2,FALSE),0)</f>
        <v>0</v>
      </c>
      <c r="D103" s="4">
        <f>IFERROR(VLOOKUP(Risikovurdering!R105,Akseptkriterier!$F$4:$G$8,2,FALSE),0)</f>
        <v>0</v>
      </c>
      <c r="E103" s="4">
        <f>IFERROR(VLOOKUP(Risikovurdering!U105,Akseptkriterier!$H$4:$I$8,2,FALSE),0)</f>
        <v>0</v>
      </c>
      <c r="F103" s="4">
        <f>IFERROR(VLOOKUP(Risikovurdering!AG105,Akseptkriterier!$D$4:$E$8,2,FALSE),0)</f>
        <v>0</v>
      </c>
      <c r="G103" s="4">
        <f>IFERROR(VLOOKUP(Risikovurdering!AF105,Akseptkriterier!$F$4:$G$8,2,FALSE),0)</f>
        <v>0</v>
      </c>
      <c r="H103" s="4">
        <f>IFERROR(VLOOKUP(Risikovurdering!AH105,Akseptkriterier!$H$4:$I$8,2,FALSE),0)</f>
        <v>0</v>
      </c>
      <c r="M103" t="e">
        <f>VLOOKUP(Risikovurdering!D105,Verdivurdering!$B$2:$J$96,9,FALSE)</f>
        <v>#N/A</v>
      </c>
    </row>
    <row r="104" spans="1:13" x14ac:dyDescent="0.25">
      <c r="A104" s="30">
        <v>0</v>
      </c>
      <c r="B104" s="30">
        <v>0</v>
      </c>
      <c r="C104" s="30">
        <v>0</v>
      </c>
      <c r="D104" s="30">
        <v>0</v>
      </c>
      <c r="E104" s="30">
        <v>0</v>
      </c>
      <c r="F104" s="30">
        <v>0</v>
      </c>
      <c r="G104" s="30">
        <v>0</v>
      </c>
      <c r="H104" s="30">
        <v>0</v>
      </c>
      <c r="M104" t="e">
        <f>VLOOKUP(Risikovurdering!D106,Verdivurdering!$B$2:$J$96,9,FALSE)</f>
        <v>#N/A</v>
      </c>
    </row>
    <row r="105" spans="1:13" x14ac:dyDescent="0.25">
      <c r="A105" s="30">
        <v>0</v>
      </c>
      <c r="B105" s="30">
        <v>0</v>
      </c>
      <c r="C105" s="30">
        <v>0</v>
      </c>
      <c r="D105" s="30">
        <v>0</v>
      </c>
      <c r="E105" s="30">
        <v>0</v>
      </c>
      <c r="F105" s="30">
        <v>0</v>
      </c>
      <c r="G105" s="30">
        <v>0</v>
      </c>
      <c r="H105" s="30">
        <v>0</v>
      </c>
      <c r="M105" t="e">
        <f>VLOOKUP(Risikovurdering!D107,Verdivurdering!$B$2:$J$96,9,FALSE)</f>
        <v>#N/A</v>
      </c>
    </row>
    <row r="106" spans="1:13" x14ac:dyDescent="0.25">
      <c r="A106" s="30">
        <v>0</v>
      </c>
      <c r="B106" s="30">
        <v>0</v>
      </c>
      <c r="C106" s="30">
        <v>0</v>
      </c>
      <c r="D106" s="30">
        <v>0</v>
      </c>
      <c r="E106" s="30">
        <v>0</v>
      </c>
      <c r="F106" s="30">
        <v>0</v>
      </c>
      <c r="G106" s="30">
        <v>0</v>
      </c>
      <c r="H106" s="30">
        <v>0</v>
      </c>
      <c r="M106" t="e">
        <f>VLOOKUP(Risikovurdering!D108,Verdivurdering!$B$2:$J$96,9,FALSE)</f>
        <v>#N/A</v>
      </c>
    </row>
    <row r="107" spans="1:13" x14ac:dyDescent="0.25">
      <c r="A107" s="30">
        <v>0</v>
      </c>
      <c r="B107" s="30">
        <v>0</v>
      </c>
      <c r="C107" s="30">
        <v>0</v>
      </c>
      <c r="D107" s="30">
        <v>0</v>
      </c>
      <c r="E107" s="30">
        <v>0</v>
      </c>
      <c r="F107" s="30">
        <v>0</v>
      </c>
      <c r="G107" s="30">
        <v>0</v>
      </c>
      <c r="H107" s="30">
        <v>0</v>
      </c>
      <c r="M107" t="e">
        <f>VLOOKUP(Risikovurdering!D109,Verdivurdering!$B$2:$J$96,9,FALSE)</f>
        <v>#N/A</v>
      </c>
    </row>
    <row r="108" spans="1:13" x14ac:dyDescent="0.25">
      <c r="A108" s="30">
        <v>0</v>
      </c>
      <c r="B108" s="30">
        <v>0</v>
      </c>
      <c r="C108" s="30">
        <v>0</v>
      </c>
      <c r="D108" s="30">
        <v>0</v>
      </c>
      <c r="E108" s="30">
        <v>0</v>
      </c>
      <c r="F108" s="30">
        <v>0</v>
      </c>
      <c r="G108" s="30">
        <v>0</v>
      </c>
      <c r="H108" s="30">
        <v>0</v>
      </c>
      <c r="M108" t="e">
        <f>VLOOKUP(Risikovurdering!D110,Verdivurdering!$B$2:$J$96,9,FALSE)</f>
        <v>#N/A</v>
      </c>
    </row>
    <row r="109" spans="1:13" x14ac:dyDescent="0.25">
      <c r="A109" s="30">
        <v>0</v>
      </c>
      <c r="B109" s="30">
        <v>0</v>
      </c>
      <c r="C109" s="30">
        <v>0</v>
      </c>
      <c r="D109" s="30">
        <v>0</v>
      </c>
      <c r="E109" s="30">
        <v>0</v>
      </c>
      <c r="F109" s="30">
        <v>0</v>
      </c>
      <c r="G109" s="30">
        <v>0</v>
      </c>
      <c r="H109" s="30">
        <v>0</v>
      </c>
      <c r="M109" t="e">
        <f>VLOOKUP(Risikovurdering!D111,Verdivurdering!$B$2:$J$96,9,FALSE)</f>
        <v>#N/A</v>
      </c>
    </row>
    <row r="110" spans="1:13" x14ac:dyDescent="0.25">
      <c r="A110" s="30">
        <v>0</v>
      </c>
      <c r="B110" s="30">
        <v>0</v>
      </c>
      <c r="C110" s="30">
        <v>0</v>
      </c>
      <c r="D110" s="30">
        <v>0</v>
      </c>
      <c r="E110" s="30">
        <v>0</v>
      </c>
      <c r="F110" s="30">
        <v>0</v>
      </c>
      <c r="G110" s="30">
        <v>0</v>
      </c>
      <c r="H110" s="30">
        <v>0</v>
      </c>
      <c r="M110" t="e">
        <f>VLOOKUP(Risikovurdering!D112,Verdivurdering!$B$2:$J$96,9,FALSE)</f>
        <v>#N/A</v>
      </c>
    </row>
    <row r="111" spans="1:13" x14ac:dyDescent="0.25">
      <c r="A111" s="30">
        <v>0</v>
      </c>
      <c r="B111" s="30">
        <v>0</v>
      </c>
      <c r="C111" s="30">
        <v>0</v>
      </c>
      <c r="D111" s="30">
        <v>0</v>
      </c>
      <c r="E111" s="30">
        <v>0</v>
      </c>
      <c r="F111" s="30">
        <v>0</v>
      </c>
      <c r="G111" s="30">
        <v>0</v>
      </c>
      <c r="H111" s="30">
        <v>0</v>
      </c>
      <c r="M111" t="e">
        <f>VLOOKUP(Risikovurdering!D113,Verdivurdering!$B$2:$J$96,9,FALSE)</f>
        <v>#N/A</v>
      </c>
    </row>
    <row r="112" spans="1:13" x14ac:dyDescent="0.25">
      <c r="A112" s="30">
        <v>0</v>
      </c>
      <c r="B112" s="30">
        <v>0</v>
      </c>
      <c r="C112" s="30">
        <v>0</v>
      </c>
      <c r="D112" s="30">
        <v>0</v>
      </c>
      <c r="E112" s="30">
        <v>0</v>
      </c>
      <c r="F112" s="30">
        <v>0</v>
      </c>
      <c r="G112" s="30">
        <v>0</v>
      </c>
      <c r="H112" s="30">
        <v>0</v>
      </c>
      <c r="M112" t="e">
        <f>VLOOKUP(Risikovurdering!D114,Verdivurdering!$B$2:$J$96,9,FALSE)</f>
        <v>#N/A</v>
      </c>
    </row>
    <row r="113" spans="1:13" x14ac:dyDescent="0.25">
      <c r="A113" s="31" t="str">
        <f>"R"&amp;B113</f>
        <v>R12</v>
      </c>
      <c r="B113" s="4">
        <v>12</v>
      </c>
      <c r="C113" s="4">
        <f>IFERROR(VLOOKUP(Risikovurdering!T115,Akseptkriterier!$D$4:$E$8,2,FALSE),0)</f>
        <v>0</v>
      </c>
      <c r="D113" s="4">
        <f>IFERROR(VLOOKUP(Risikovurdering!R115,Akseptkriterier!$F$4:$G$8,2,FALSE),0)</f>
        <v>0</v>
      </c>
      <c r="E113" s="4">
        <f>IFERROR(VLOOKUP(Risikovurdering!U115,Akseptkriterier!$H$4:$I$8,2,FALSE),0)</f>
        <v>0</v>
      </c>
      <c r="F113" s="4">
        <f>IFERROR(VLOOKUP(Risikovurdering!AG115,Akseptkriterier!$D$4:$E$8,2,FALSE),0)</f>
        <v>0</v>
      </c>
      <c r="G113" s="4">
        <f>IFERROR(VLOOKUP(Risikovurdering!AF115,Akseptkriterier!$F$4:$G$8,2,FALSE),0)</f>
        <v>0</v>
      </c>
      <c r="H113" s="4">
        <f>IFERROR(VLOOKUP(Risikovurdering!AH115,Akseptkriterier!$H$4:$I$8,2,FALSE),0)</f>
        <v>0</v>
      </c>
      <c r="M113" t="e">
        <f>VLOOKUP(Risikovurdering!D115,Verdivurdering!$B$2:$J$96,9,FALSE)</f>
        <v>#N/A</v>
      </c>
    </row>
    <row r="114" spans="1:13" x14ac:dyDescent="0.25">
      <c r="A114" s="30">
        <v>0</v>
      </c>
      <c r="B114" s="30">
        <v>0</v>
      </c>
      <c r="C114" s="30">
        <v>0</v>
      </c>
      <c r="D114" s="30">
        <v>0</v>
      </c>
      <c r="E114" s="30">
        <v>0</v>
      </c>
      <c r="F114" s="30">
        <v>0</v>
      </c>
      <c r="G114" s="30">
        <v>0</v>
      </c>
      <c r="H114" s="30">
        <v>0</v>
      </c>
      <c r="M114" t="e">
        <f>VLOOKUP(Risikovurdering!D116,Verdivurdering!$B$2:$J$96,9,FALSE)</f>
        <v>#N/A</v>
      </c>
    </row>
    <row r="115" spans="1:13" x14ac:dyDescent="0.25">
      <c r="A115" s="30">
        <v>0</v>
      </c>
      <c r="B115" s="30">
        <v>0</v>
      </c>
      <c r="C115" s="30">
        <v>0</v>
      </c>
      <c r="D115" s="30">
        <v>0</v>
      </c>
      <c r="E115" s="30">
        <v>0</v>
      </c>
      <c r="F115" s="30">
        <v>0</v>
      </c>
      <c r="G115" s="30">
        <v>0</v>
      </c>
      <c r="H115" s="30">
        <v>0</v>
      </c>
      <c r="M115" t="e">
        <f>VLOOKUP(Risikovurdering!D117,Verdivurdering!$B$2:$J$96,9,FALSE)</f>
        <v>#N/A</v>
      </c>
    </row>
    <row r="116" spans="1:13" x14ac:dyDescent="0.25">
      <c r="A116" s="30">
        <v>0</v>
      </c>
      <c r="B116" s="30">
        <v>0</v>
      </c>
      <c r="C116" s="30">
        <v>0</v>
      </c>
      <c r="D116" s="30">
        <v>0</v>
      </c>
      <c r="E116" s="30">
        <v>0</v>
      </c>
      <c r="F116" s="30">
        <v>0</v>
      </c>
      <c r="G116" s="30">
        <v>0</v>
      </c>
      <c r="H116" s="30">
        <v>0</v>
      </c>
      <c r="M116" t="e">
        <f>VLOOKUP(Risikovurdering!D118,Verdivurdering!$B$2:$J$96,9,FALSE)</f>
        <v>#N/A</v>
      </c>
    </row>
    <row r="117" spans="1:13" x14ac:dyDescent="0.25">
      <c r="A117" s="30">
        <v>0</v>
      </c>
      <c r="B117" s="30">
        <v>0</v>
      </c>
      <c r="C117" s="30">
        <v>0</v>
      </c>
      <c r="D117" s="30">
        <v>0</v>
      </c>
      <c r="E117" s="30">
        <v>0</v>
      </c>
      <c r="F117" s="30">
        <v>0</v>
      </c>
      <c r="G117" s="30">
        <v>0</v>
      </c>
      <c r="H117" s="30">
        <v>0</v>
      </c>
      <c r="M117" t="e">
        <f>VLOOKUP(Risikovurdering!D119,Verdivurdering!$B$2:$J$96,9,FALSE)</f>
        <v>#N/A</v>
      </c>
    </row>
    <row r="118" spans="1:13" x14ac:dyDescent="0.25">
      <c r="A118" s="30">
        <v>0</v>
      </c>
      <c r="B118" s="30">
        <v>0</v>
      </c>
      <c r="C118" s="30">
        <v>0</v>
      </c>
      <c r="D118" s="30">
        <v>0</v>
      </c>
      <c r="E118" s="30">
        <v>0</v>
      </c>
      <c r="F118" s="30">
        <v>0</v>
      </c>
      <c r="G118" s="30">
        <v>0</v>
      </c>
      <c r="H118" s="30">
        <v>0</v>
      </c>
      <c r="M118" t="e">
        <f>VLOOKUP(Risikovurdering!D120,Verdivurdering!$B$2:$J$96,9,FALSE)</f>
        <v>#N/A</v>
      </c>
    </row>
    <row r="119" spans="1:13" x14ac:dyDescent="0.25">
      <c r="A119" s="30">
        <v>0</v>
      </c>
      <c r="B119" s="30">
        <v>0</v>
      </c>
      <c r="C119" s="30">
        <v>0</v>
      </c>
      <c r="D119" s="30">
        <v>0</v>
      </c>
      <c r="E119" s="30">
        <v>0</v>
      </c>
      <c r="F119" s="30">
        <v>0</v>
      </c>
      <c r="G119" s="30">
        <v>0</v>
      </c>
      <c r="H119" s="30">
        <v>0</v>
      </c>
      <c r="M119" t="e">
        <f>VLOOKUP(Risikovurdering!D121,Verdivurdering!$B$2:$J$96,9,FALSE)</f>
        <v>#N/A</v>
      </c>
    </row>
    <row r="120" spans="1:13" x14ac:dyDescent="0.25">
      <c r="A120" s="30">
        <v>0</v>
      </c>
      <c r="B120" s="30">
        <v>0</v>
      </c>
      <c r="C120" s="30">
        <v>0</v>
      </c>
      <c r="D120" s="30">
        <v>0</v>
      </c>
      <c r="E120" s="30">
        <v>0</v>
      </c>
      <c r="F120" s="30">
        <v>0</v>
      </c>
      <c r="G120" s="30">
        <v>0</v>
      </c>
      <c r="H120" s="30">
        <v>0</v>
      </c>
      <c r="M120" t="e">
        <f>VLOOKUP(Risikovurdering!D122,Verdivurdering!$B$2:$J$96,9,FALSE)</f>
        <v>#N/A</v>
      </c>
    </row>
    <row r="121" spans="1:13" x14ac:dyDescent="0.25">
      <c r="A121" s="30">
        <v>0</v>
      </c>
      <c r="B121" s="30">
        <v>0</v>
      </c>
      <c r="C121" s="30">
        <v>0</v>
      </c>
      <c r="D121" s="30">
        <v>0</v>
      </c>
      <c r="E121" s="30">
        <v>0</v>
      </c>
      <c r="F121" s="30">
        <v>0</v>
      </c>
      <c r="G121" s="30">
        <v>0</v>
      </c>
      <c r="H121" s="30">
        <v>0</v>
      </c>
      <c r="M121" t="e">
        <f>VLOOKUP(Risikovurdering!D123,Verdivurdering!$B$2:$J$96,9,FALSE)</f>
        <v>#N/A</v>
      </c>
    </row>
    <row r="122" spans="1:13" x14ac:dyDescent="0.25">
      <c r="A122" s="30">
        <v>0</v>
      </c>
      <c r="B122" s="30">
        <v>0</v>
      </c>
      <c r="C122" s="30">
        <v>0</v>
      </c>
      <c r="D122" s="30">
        <v>0</v>
      </c>
      <c r="E122" s="30">
        <v>0</v>
      </c>
      <c r="F122" s="30">
        <v>0</v>
      </c>
      <c r="G122" s="30">
        <v>0</v>
      </c>
      <c r="H122" s="30">
        <v>0</v>
      </c>
      <c r="M122" t="e">
        <f>VLOOKUP(Risikovurdering!D124,Verdivurdering!$B$2:$J$96,9,FALSE)</f>
        <v>#N/A</v>
      </c>
    </row>
    <row r="123" spans="1:13" x14ac:dyDescent="0.25">
      <c r="A123" s="31" t="str">
        <f>"R"&amp;B123</f>
        <v>R13</v>
      </c>
      <c r="B123" s="4">
        <v>13</v>
      </c>
      <c r="C123" s="4">
        <f>IFERROR(VLOOKUP(Risikovurdering!T125,Akseptkriterier!$D$4:$E$8,2,FALSE),0)</f>
        <v>0</v>
      </c>
      <c r="D123" s="4">
        <f>IFERROR(VLOOKUP(Risikovurdering!R125,Akseptkriterier!$F$4:$G$8,2,FALSE),0)</f>
        <v>0</v>
      </c>
      <c r="E123" s="4">
        <f>IFERROR(VLOOKUP(Risikovurdering!U125,Akseptkriterier!$H$4:$I$8,2,FALSE),0)</f>
        <v>0</v>
      </c>
      <c r="F123" s="4">
        <f>IFERROR(VLOOKUP(Risikovurdering!AG125,Akseptkriterier!$D$4:$E$8,2,FALSE),0)</f>
        <v>0</v>
      </c>
      <c r="G123" s="4">
        <f>IFERROR(VLOOKUP(Risikovurdering!AF125,Akseptkriterier!$F$4:$G$8,2,FALSE),0)</f>
        <v>0</v>
      </c>
      <c r="H123" s="4">
        <f>IFERROR(VLOOKUP(Risikovurdering!AH125,Akseptkriterier!$H$4:$I$8,2,FALSE),0)</f>
        <v>0</v>
      </c>
      <c r="M123" t="e">
        <f>VLOOKUP(Risikovurdering!D125,Verdivurdering!$B$2:$J$96,9,FALSE)</f>
        <v>#N/A</v>
      </c>
    </row>
    <row r="124" spans="1:13" x14ac:dyDescent="0.25">
      <c r="A124" s="30">
        <v>0</v>
      </c>
      <c r="B124" s="30">
        <v>0</v>
      </c>
      <c r="C124" s="30">
        <v>0</v>
      </c>
      <c r="D124" s="30">
        <v>0</v>
      </c>
      <c r="E124" s="30">
        <v>0</v>
      </c>
      <c r="F124" s="30">
        <v>0</v>
      </c>
      <c r="G124" s="30">
        <v>0</v>
      </c>
      <c r="H124" s="30">
        <v>0</v>
      </c>
      <c r="M124" t="e">
        <f>VLOOKUP(Risikovurdering!D126,Verdivurdering!$B$2:$J$96,9,FALSE)</f>
        <v>#N/A</v>
      </c>
    </row>
    <row r="125" spans="1:13" x14ac:dyDescent="0.25">
      <c r="A125" s="30">
        <v>0</v>
      </c>
      <c r="B125" s="30">
        <v>0</v>
      </c>
      <c r="C125" s="30">
        <v>0</v>
      </c>
      <c r="D125" s="30">
        <v>0</v>
      </c>
      <c r="E125" s="30">
        <v>0</v>
      </c>
      <c r="F125" s="30">
        <v>0</v>
      </c>
      <c r="G125" s="30">
        <v>0</v>
      </c>
      <c r="H125" s="30">
        <v>0</v>
      </c>
      <c r="M125" t="e">
        <f>VLOOKUP(Risikovurdering!D127,Verdivurdering!$B$2:$J$96,9,FALSE)</f>
        <v>#N/A</v>
      </c>
    </row>
    <row r="126" spans="1:13" x14ac:dyDescent="0.25">
      <c r="A126" s="30">
        <v>0</v>
      </c>
      <c r="B126" s="30">
        <v>0</v>
      </c>
      <c r="C126" s="30">
        <v>0</v>
      </c>
      <c r="D126" s="30">
        <v>0</v>
      </c>
      <c r="E126" s="30">
        <v>0</v>
      </c>
      <c r="F126" s="30">
        <v>0</v>
      </c>
      <c r="G126" s="30">
        <v>0</v>
      </c>
      <c r="H126" s="30">
        <v>0</v>
      </c>
      <c r="M126" t="e">
        <f>VLOOKUP(Risikovurdering!D128,Verdivurdering!$B$2:$J$96,9,FALSE)</f>
        <v>#N/A</v>
      </c>
    </row>
    <row r="127" spans="1:13" x14ac:dyDescent="0.25">
      <c r="A127" s="30">
        <v>0</v>
      </c>
      <c r="B127" s="30">
        <v>0</v>
      </c>
      <c r="C127" s="30">
        <v>0</v>
      </c>
      <c r="D127" s="30">
        <v>0</v>
      </c>
      <c r="E127" s="30">
        <v>0</v>
      </c>
      <c r="F127" s="30">
        <v>0</v>
      </c>
      <c r="G127" s="30">
        <v>0</v>
      </c>
      <c r="H127" s="30">
        <v>0</v>
      </c>
      <c r="M127" t="e">
        <f>VLOOKUP(Risikovurdering!D129,Verdivurdering!$B$2:$J$96,9,FALSE)</f>
        <v>#N/A</v>
      </c>
    </row>
    <row r="128" spans="1:13" x14ac:dyDescent="0.25">
      <c r="A128" s="30">
        <v>0</v>
      </c>
      <c r="B128" s="30">
        <v>0</v>
      </c>
      <c r="C128" s="30">
        <v>0</v>
      </c>
      <c r="D128" s="30">
        <v>0</v>
      </c>
      <c r="E128" s="30">
        <v>0</v>
      </c>
      <c r="F128" s="30">
        <v>0</v>
      </c>
      <c r="G128" s="30">
        <v>0</v>
      </c>
      <c r="H128" s="30">
        <v>0</v>
      </c>
      <c r="M128" t="e">
        <f>VLOOKUP(Risikovurdering!D130,Verdivurdering!$B$2:$J$96,9,FALSE)</f>
        <v>#N/A</v>
      </c>
    </row>
    <row r="129" spans="1:13" x14ac:dyDescent="0.25">
      <c r="A129" s="30">
        <v>0</v>
      </c>
      <c r="B129" s="30">
        <v>0</v>
      </c>
      <c r="C129" s="30">
        <v>0</v>
      </c>
      <c r="D129" s="30">
        <v>0</v>
      </c>
      <c r="E129" s="30">
        <v>0</v>
      </c>
      <c r="F129" s="30">
        <v>0</v>
      </c>
      <c r="G129" s="30">
        <v>0</v>
      </c>
      <c r="H129" s="30">
        <v>0</v>
      </c>
      <c r="M129" t="e">
        <f>VLOOKUP(Risikovurdering!D131,Verdivurdering!$B$2:$J$96,9,FALSE)</f>
        <v>#N/A</v>
      </c>
    </row>
    <row r="130" spans="1:13" x14ac:dyDescent="0.25">
      <c r="A130" s="30">
        <v>0</v>
      </c>
      <c r="B130" s="30">
        <v>0</v>
      </c>
      <c r="C130" s="30">
        <v>0</v>
      </c>
      <c r="D130" s="30">
        <v>0</v>
      </c>
      <c r="E130" s="30">
        <v>0</v>
      </c>
      <c r="F130" s="30">
        <v>0</v>
      </c>
      <c r="G130" s="30">
        <v>0</v>
      </c>
      <c r="H130" s="30">
        <v>0</v>
      </c>
      <c r="M130" t="e">
        <f>VLOOKUP(Risikovurdering!D132,Verdivurdering!$B$2:$J$96,9,FALSE)</f>
        <v>#N/A</v>
      </c>
    </row>
    <row r="131" spans="1:13" x14ac:dyDescent="0.25">
      <c r="A131" s="30">
        <v>0</v>
      </c>
      <c r="B131" s="30">
        <v>0</v>
      </c>
      <c r="C131" s="30">
        <v>0</v>
      </c>
      <c r="D131" s="30">
        <v>0</v>
      </c>
      <c r="E131" s="30">
        <v>0</v>
      </c>
      <c r="F131" s="30">
        <v>0</v>
      </c>
      <c r="G131" s="30">
        <v>0</v>
      </c>
      <c r="H131" s="30">
        <v>0</v>
      </c>
      <c r="M131" t="e">
        <f>VLOOKUP(Risikovurdering!D133,Verdivurdering!$B$2:$J$96,9,FALSE)</f>
        <v>#N/A</v>
      </c>
    </row>
    <row r="132" spans="1:13" x14ac:dyDescent="0.25">
      <c r="A132" s="30">
        <v>0</v>
      </c>
      <c r="B132" s="30">
        <v>0</v>
      </c>
      <c r="C132" s="30">
        <v>0</v>
      </c>
      <c r="D132" s="30">
        <v>0</v>
      </c>
      <c r="E132" s="30">
        <v>0</v>
      </c>
      <c r="F132" s="30">
        <v>0</v>
      </c>
      <c r="G132" s="30">
        <v>0</v>
      </c>
      <c r="H132" s="30">
        <v>0</v>
      </c>
      <c r="M132" t="e">
        <f>VLOOKUP(Risikovurdering!D134,Verdivurdering!$B$2:$J$96,9,FALSE)</f>
        <v>#N/A</v>
      </c>
    </row>
    <row r="133" spans="1:13" x14ac:dyDescent="0.25">
      <c r="A133" s="31" t="str">
        <f>"R"&amp;B133</f>
        <v>R14</v>
      </c>
      <c r="B133" s="4">
        <v>14</v>
      </c>
      <c r="C133" s="4">
        <f>IFERROR(VLOOKUP(Risikovurdering!T135,Akseptkriterier!$D$4:$E$8,2,FALSE),0)</f>
        <v>0</v>
      </c>
      <c r="D133" s="4">
        <f>IFERROR(VLOOKUP(Risikovurdering!R135,Akseptkriterier!$F$4:$G$8,2,FALSE),0)</f>
        <v>0</v>
      </c>
      <c r="E133" s="4">
        <f>IFERROR(VLOOKUP(Risikovurdering!U135,Akseptkriterier!$H$4:$I$8,2,FALSE),0)</f>
        <v>0</v>
      </c>
      <c r="F133" s="4">
        <f>IFERROR(VLOOKUP(Risikovurdering!AG135,Akseptkriterier!$D$4:$E$8,2,FALSE),0)</f>
        <v>0</v>
      </c>
      <c r="G133" s="4">
        <f>IFERROR(VLOOKUP(Risikovurdering!AF135,Akseptkriterier!$F$4:$G$8,2,FALSE),0)</f>
        <v>0</v>
      </c>
      <c r="H133" s="4">
        <f>IFERROR(VLOOKUP(Risikovurdering!AH135,Akseptkriterier!$H$4:$I$8,2,FALSE),0)</f>
        <v>0</v>
      </c>
      <c r="M133" t="e">
        <f>VLOOKUP(Risikovurdering!D135,Verdivurdering!$B$2:$J$96,9,FALSE)</f>
        <v>#N/A</v>
      </c>
    </row>
    <row r="134" spans="1:13" x14ac:dyDescent="0.25">
      <c r="A134" s="30">
        <v>0</v>
      </c>
      <c r="B134" s="30">
        <v>0</v>
      </c>
      <c r="C134" s="30">
        <v>0</v>
      </c>
      <c r="D134" s="30">
        <v>0</v>
      </c>
      <c r="E134" s="30">
        <v>0</v>
      </c>
      <c r="F134" s="30">
        <v>0</v>
      </c>
      <c r="G134" s="30">
        <v>0</v>
      </c>
      <c r="H134" s="30">
        <v>0</v>
      </c>
      <c r="M134" t="e">
        <f>VLOOKUP(Risikovurdering!D136,Verdivurdering!$B$2:$J$96,9,FALSE)</f>
        <v>#N/A</v>
      </c>
    </row>
    <row r="135" spans="1:13" x14ac:dyDescent="0.25">
      <c r="A135" s="30">
        <v>0</v>
      </c>
      <c r="B135" s="30">
        <v>0</v>
      </c>
      <c r="C135" s="30">
        <v>0</v>
      </c>
      <c r="D135" s="30">
        <v>0</v>
      </c>
      <c r="E135" s="30">
        <v>0</v>
      </c>
      <c r="F135" s="30">
        <v>0</v>
      </c>
      <c r="G135" s="30">
        <v>0</v>
      </c>
      <c r="H135" s="30">
        <v>0</v>
      </c>
      <c r="M135" t="e">
        <f>VLOOKUP(Risikovurdering!D137,Verdivurdering!$B$2:$J$96,9,FALSE)</f>
        <v>#N/A</v>
      </c>
    </row>
    <row r="136" spans="1:13" x14ac:dyDescent="0.25">
      <c r="A136" s="30">
        <v>0</v>
      </c>
      <c r="B136" s="30">
        <v>0</v>
      </c>
      <c r="C136" s="30">
        <v>0</v>
      </c>
      <c r="D136" s="30">
        <v>0</v>
      </c>
      <c r="E136" s="30">
        <v>0</v>
      </c>
      <c r="F136" s="30">
        <v>0</v>
      </c>
      <c r="G136" s="30">
        <v>0</v>
      </c>
      <c r="H136" s="30">
        <v>0</v>
      </c>
      <c r="M136" t="e">
        <f>VLOOKUP(Risikovurdering!D138,Verdivurdering!$B$2:$J$96,9,FALSE)</f>
        <v>#N/A</v>
      </c>
    </row>
    <row r="137" spans="1:13" x14ac:dyDescent="0.25">
      <c r="A137" s="30">
        <v>0</v>
      </c>
      <c r="B137" s="30">
        <v>0</v>
      </c>
      <c r="C137" s="30">
        <v>0</v>
      </c>
      <c r="D137" s="30">
        <v>0</v>
      </c>
      <c r="E137" s="30">
        <v>0</v>
      </c>
      <c r="F137" s="30">
        <v>0</v>
      </c>
      <c r="G137" s="30">
        <v>0</v>
      </c>
      <c r="H137" s="30">
        <v>0</v>
      </c>
      <c r="M137" t="e">
        <f>VLOOKUP(Risikovurdering!D139,Verdivurdering!$B$2:$J$96,9,FALSE)</f>
        <v>#N/A</v>
      </c>
    </row>
    <row r="138" spans="1:13" x14ac:dyDescent="0.25">
      <c r="A138" s="30">
        <v>0</v>
      </c>
      <c r="B138" s="30">
        <v>0</v>
      </c>
      <c r="C138" s="30">
        <v>0</v>
      </c>
      <c r="D138" s="30">
        <v>0</v>
      </c>
      <c r="E138" s="30">
        <v>0</v>
      </c>
      <c r="F138" s="30">
        <v>0</v>
      </c>
      <c r="G138" s="30">
        <v>0</v>
      </c>
      <c r="H138" s="30">
        <v>0</v>
      </c>
      <c r="M138" t="e">
        <f>VLOOKUP(Risikovurdering!D140,Verdivurdering!$B$2:$J$96,9,FALSE)</f>
        <v>#N/A</v>
      </c>
    </row>
    <row r="139" spans="1:13" x14ac:dyDescent="0.25">
      <c r="A139" s="30">
        <v>0</v>
      </c>
      <c r="B139" s="30">
        <v>0</v>
      </c>
      <c r="C139" s="30">
        <v>0</v>
      </c>
      <c r="D139" s="30">
        <v>0</v>
      </c>
      <c r="E139" s="30">
        <v>0</v>
      </c>
      <c r="F139" s="30">
        <v>0</v>
      </c>
      <c r="G139" s="30">
        <v>0</v>
      </c>
      <c r="H139" s="30">
        <v>0</v>
      </c>
      <c r="M139" t="e">
        <f>VLOOKUP(Risikovurdering!D141,Verdivurdering!$B$2:$J$96,9,FALSE)</f>
        <v>#N/A</v>
      </c>
    </row>
    <row r="140" spans="1:13" x14ac:dyDescent="0.25">
      <c r="A140" s="30">
        <v>0</v>
      </c>
      <c r="B140" s="30">
        <v>0</v>
      </c>
      <c r="C140" s="30">
        <v>0</v>
      </c>
      <c r="D140" s="30">
        <v>0</v>
      </c>
      <c r="E140" s="30">
        <v>0</v>
      </c>
      <c r="F140" s="30">
        <v>0</v>
      </c>
      <c r="G140" s="30">
        <v>0</v>
      </c>
      <c r="H140" s="30">
        <v>0</v>
      </c>
      <c r="M140" t="e">
        <f>VLOOKUP(Risikovurdering!D142,Verdivurdering!$B$2:$J$96,9,FALSE)</f>
        <v>#N/A</v>
      </c>
    </row>
    <row r="141" spans="1:13" x14ac:dyDescent="0.25">
      <c r="A141" s="30">
        <v>0</v>
      </c>
      <c r="B141" s="30">
        <v>0</v>
      </c>
      <c r="C141" s="30">
        <v>0</v>
      </c>
      <c r="D141" s="30">
        <v>0</v>
      </c>
      <c r="E141" s="30">
        <v>0</v>
      </c>
      <c r="F141" s="30">
        <v>0</v>
      </c>
      <c r="G141" s="30">
        <v>0</v>
      </c>
      <c r="H141" s="30">
        <v>0</v>
      </c>
      <c r="M141" t="e">
        <f>VLOOKUP(Risikovurdering!D143,Verdivurdering!$B$2:$J$96,9,FALSE)</f>
        <v>#N/A</v>
      </c>
    </row>
    <row r="142" spans="1:13" x14ac:dyDescent="0.25">
      <c r="A142" s="30">
        <v>0</v>
      </c>
      <c r="B142" s="30">
        <v>0</v>
      </c>
      <c r="C142" s="30">
        <v>0</v>
      </c>
      <c r="D142" s="30">
        <v>0</v>
      </c>
      <c r="E142" s="30">
        <v>0</v>
      </c>
      <c r="F142" s="30">
        <v>0</v>
      </c>
      <c r="G142" s="30">
        <v>0</v>
      </c>
      <c r="H142" s="30">
        <v>0</v>
      </c>
      <c r="M142" t="e">
        <f>VLOOKUP(Risikovurdering!D144,Verdivurdering!$B$2:$J$96,9,FALSE)</f>
        <v>#N/A</v>
      </c>
    </row>
    <row r="143" spans="1:13" x14ac:dyDescent="0.25">
      <c r="A143" s="31" t="str">
        <f>"R"&amp;B143</f>
        <v>R15</v>
      </c>
      <c r="B143" s="4">
        <v>15</v>
      </c>
      <c r="C143" s="4">
        <f>IFERROR(VLOOKUP(Risikovurdering!T145,Akseptkriterier!$D$4:$E$8,2,FALSE),0)</f>
        <v>0</v>
      </c>
      <c r="D143" s="4">
        <f>IFERROR(VLOOKUP(Risikovurdering!R145,Akseptkriterier!$F$4:$G$8,2,FALSE),0)</f>
        <v>0</v>
      </c>
      <c r="E143" s="4">
        <f>IFERROR(VLOOKUP(Risikovurdering!U145,Akseptkriterier!$H$4:$I$8,2,FALSE),0)</f>
        <v>0</v>
      </c>
      <c r="F143" s="4">
        <f>IFERROR(VLOOKUP(Risikovurdering!AG145,Akseptkriterier!$D$4:$E$8,2,FALSE),0)</f>
        <v>0</v>
      </c>
      <c r="G143" s="4">
        <f>IFERROR(VLOOKUP(Risikovurdering!AF145,Akseptkriterier!$F$4:$G$8,2,FALSE),0)</f>
        <v>0</v>
      </c>
      <c r="H143" s="4">
        <f>IFERROR(VLOOKUP(Risikovurdering!AH145,Akseptkriterier!$H$4:$I$8,2,FALSE),0)</f>
        <v>0</v>
      </c>
      <c r="M143" t="e">
        <f>VLOOKUP(Risikovurdering!D145,Verdivurdering!$B$2:$J$96,9,FALSE)</f>
        <v>#N/A</v>
      </c>
    </row>
    <row r="144" spans="1:13" x14ac:dyDescent="0.25">
      <c r="A144" s="30">
        <v>0</v>
      </c>
      <c r="B144" s="30">
        <v>0</v>
      </c>
      <c r="C144" s="30">
        <v>0</v>
      </c>
      <c r="D144" s="30">
        <v>0</v>
      </c>
      <c r="E144" s="30">
        <v>0</v>
      </c>
      <c r="F144" s="30">
        <v>0</v>
      </c>
      <c r="G144" s="30">
        <v>0</v>
      </c>
      <c r="H144" s="30">
        <v>0</v>
      </c>
      <c r="M144" t="e">
        <f>VLOOKUP(Risikovurdering!D146,Verdivurdering!$B$2:$J$96,9,FALSE)</f>
        <v>#N/A</v>
      </c>
    </row>
    <row r="145" spans="1:13" x14ac:dyDescent="0.25">
      <c r="A145" s="30">
        <v>0</v>
      </c>
      <c r="B145" s="30">
        <v>0</v>
      </c>
      <c r="C145" s="30">
        <v>0</v>
      </c>
      <c r="D145" s="30">
        <v>0</v>
      </c>
      <c r="E145" s="30">
        <v>0</v>
      </c>
      <c r="F145" s="30">
        <v>0</v>
      </c>
      <c r="G145" s="30">
        <v>0</v>
      </c>
      <c r="H145" s="30">
        <v>0</v>
      </c>
      <c r="M145" t="e">
        <f>VLOOKUP(Risikovurdering!D147,Verdivurdering!$B$2:$J$96,9,FALSE)</f>
        <v>#N/A</v>
      </c>
    </row>
    <row r="146" spans="1:13" x14ac:dyDescent="0.25">
      <c r="A146" s="30">
        <v>0</v>
      </c>
      <c r="B146" s="30">
        <v>0</v>
      </c>
      <c r="C146" s="30">
        <v>0</v>
      </c>
      <c r="D146" s="30">
        <v>0</v>
      </c>
      <c r="E146" s="30">
        <v>0</v>
      </c>
      <c r="F146" s="30">
        <v>0</v>
      </c>
      <c r="G146" s="30">
        <v>0</v>
      </c>
      <c r="H146" s="30">
        <v>0</v>
      </c>
      <c r="M146" t="e">
        <f>VLOOKUP(Risikovurdering!D148,Verdivurdering!$B$2:$J$96,9,FALSE)</f>
        <v>#N/A</v>
      </c>
    </row>
    <row r="147" spans="1:13" x14ac:dyDescent="0.25">
      <c r="A147" s="30">
        <v>0</v>
      </c>
      <c r="B147" s="30">
        <v>0</v>
      </c>
      <c r="C147" s="30">
        <v>0</v>
      </c>
      <c r="D147" s="30">
        <v>0</v>
      </c>
      <c r="E147" s="30">
        <v>0</v>
      </c>
      <c r="F147" s="30">
        <v>0</v>
      </c>
      <c r="G147" s="30">
        <v>0</v>
      </c>
      <c r="H147" s="30">
        <v>0</v>
      </c>
      <c r="M147" t="e">
        <f>VLOOKUP(Risikovurdering!D149,Verdivurdering!$B$2:$J$96,9,FALSE)</f>
        <v>#N/A</v>
      </c>
    </row>
    <row r="148" spans="1:13" x14ac:dyDescent="0.25">
      <c r="A148" s="30">
        <v>0</v>
      </c>
      <c r="B148" s="30">
        <v>0</v>
      </c>
      <c r="C148" s="30">
        <v>0</v>
      </c>
      <c r="D148" s="30">
        <v>0</v>
      </c>
      <c r="E148" s="30">
        <v>0</v>
      </c>
      <c r="F148" s="30">
        <v>0</v>
      </c>
      <c r="G148" s="30">
        <v>0</v>
      </c>
      <c r="H148" s="30">
        <v>0</v>
      </c>
      <c r="M148" t="e">
        <f>VLOOKUP(Risikovurdering!D150,Verdivurdering!$B$2:$J$96,9,FALSE)</f>
        <v>#N/A</v>
      </c>
    </row>
    <row r="149" spans="1:13" x14ac:dyDescent="0.25">
      <c r="A149" s="30">
        <v>0</v>
      </c>
      <c r="B149" s="30">
        <v>0</v>
      </c>
      <c r="C149" s="30">
        <v>0</v>
      </c>
      <c r="D149" s="30">
        <v>0</v>
      </c>
      <c r="E149" s="30">
        <v>0</v>
      </c>
      <c r="F149" s="30">
        <v>0</v>
      </c>
      <c r="G149" s="30">
        <v>0</v>
      </c>
      <c r="H149" s="30">
        <v>0</v>
      </c>
      <c r="M149" t="e">
        <f>VLOOKUP(Risikovurdering!D151,Verdivurdering!$B$2:$J$96,9,FALSE)</f>
        <v>#N/A</v>
      </c>
    </row>
    <row r="150" spans="1:13" x14ac:dyDescent="0.25">
      <c r="A150" s="30">
        <v>0</v>
      </c>
      <c r="B150" s="30">
        <v>0</v>
      </c>
      <c r="C150" s="30">
        <v>0</v>
      </c>
      <c r="D150" s="30">
        <v>0</v>
      </c>
      <c r="E150" s="30">
        <v>0</v>
      </c>
      <c r="F150" s="30">
        <v>0</v>
      </c>
      <c r="G150" s="30">
        <v>0</v>
      </c>
      <c r="H150" s="30">
        <v>0</v>
      </c>
      <c r="M150" t="e">
        <f>VLOOKUP(Risikovurdering!D152,Verdivurdering!$B$2:$J$96,9,FALSE)</f>
        <v>#N/A</v>
      </c>
    </row>
    <row r="151" spans="1:13" x14ac:dyDescent="0.25">
      <c r="A151" s="30">
        <v>0</v>
      </c>
      <c r="B151" s="30">
        <v>0</v>
      </c>
      <c r="C151" s="30">
        <v>0</v>
      </c>
      <c r="D151" s="30">
        <v>0</v>
      </c>
      <c r="E151" s="30">
        <v>0</v>
      </c>
      <c r="F151" s="30">
        <v>0</v>
      </c>
      <c r="G151" s="30">
        <v>0</v>
      </c>
      <c r="H151" s="30">
        <v>0</v>
      </c>
      <c r="M151" t="e">
        <f>VLOOKUP(Risikovurdering!D153,Verdivurdering!$B$2:$J$96,9,FALSE)</f>
        <v>#N/A</v>
      </c>
    </row>
    <row r="152" spans="1:13" x14ac:dyDescent="0.25">
      <c r="A152" s="30">
        <v>0</v>
      </c>
      <c r="B152" s="30">
        <v>0</v>
      </c>
      <c r="C152" s="30">
        <v>0</v>
      </c>
      <c r="D152" s="30">
        <v>0</v>
      </c>
      <c r="E152" s="30">
        <v>0</v>
      </c>
      <c r="F152" s="30">
        <v>0</v>
      </c>
      <c r="G152" s="30">
        <v>0</v>
      </c>
      <c r="H152" s="30">
        <v>0</v>
      </c>
      <c r="M152" t="e">
        <f>VLOOKUP(Risikovurdering!D154,Verdivurdering!$B$2:$J$96,9,FALSE)</f>
        <v>#N/A</v>
      </c>
    </row>
    <row r="153" spans="1:13" x14ac:dyDescent="0.25">
      <c r="A153" s="31" t="str">
        <f>"R"&amp;B153</f>
        <v>R16</v>
      </c>
      <c r="B153" s="4">
        <v>16</v>
      </c>
      <c r="C153" s="4">
        <f>IFERROR(VLOOKUP(Risikovurdering!T155,Akseptkriterier!$D$4:$E$8,2,FALSE),0)</f>
        <v>0</v>
      </c>
      <c r="D153" s="4">
        <f>IFERROR(VLOOKUP(Risikovurdering!R155,Akseptkriterier!$F$4:$G$8,2,FALSE),0)</f>
        <v>0</v>
      </c>
      <c r="E153" s="4">
        <f>IFERROR(VLOOKUP(Risikovurdering!U155,Akseptkriterier!$H$4:$I$8,2,FALSE),0)</f>
        <v>0</v>
      </c>
      <c r="F153" s="4">
        <f>IFERROR(VLOOKUP(Risikovurdering!AG155,Akseptkriterier!$D$4:$E$8,2,FALSE),0)</f>
        <v>0</v>
      </c>
      <c r="G153" s="4">
        <f>IFERROR(VLOOKUP(Risikovurdering!AF155,Akseptkriterier!$F$4:$G$8,2,FALSE),0)</f>
        <v>0</v>
      </c>
      <c r="H153" s="4">
        <f>IFERROR(VLOOKUP(Risikovurdering!AH155,Akseptkriterier!$H$4:$I$8,2,FALSE),0)</f>
        <v>0</v>
      </c>
      <c r="M153" t="e">
        <f>VLOOKUP(Risikovurdering!D155,Verdivurdering!$B$2:$J$96,9,FALSE)</f>
        <v>#N/A</v>
      </c>
    </row>
    <row r="154" spans="1:13" x14ac:dyDescent="0.25">
      <c r="A154" s="30">
        <v>0</v>
      </c>
      <c r="B154" s="30">
        <v>0</v>
      </c>
      <c r="C154" s="30">
        <v>0</v>
      </c>
      <c r="D154" s="30">
        <v>0</v>
      </c>
      <c r="E154" s="30">
        <v>0</v>
      </c>
      <c r="F154" s="30">
        <v>0</v>
      </c>
      <c r="G154" s="30">
        <v>0</v>
      </c>
      <c r="H154" s="30">
        <v>0</v>
      </c>
      <c r="M154" t="e">
        <f>VLOOKUP(Risikovurdering!D156,Verdivurdering!$B$2:$J$96,9,FALSE)</f>
        <v>#N/A</v>
      </c>
    </row>
    <row r="155" spans="1:13" x14ac:dyDescent="0.25">
      <c r="A155" s="30">
        <v>0</v>
      </c>
      <c r="B155" s="30">
        <v>0</v>
      </c>
      <c r="C155" s="30">
        <v>0</v>
      </c>
      <c r="D155" s="30">
        <v>0</v>
      </c>
      <c r="E155" s="30">
        <v>0</v>
      </c>
      <c r="F155" s="30">
        <v>0</v>
      </c>
      <c r="G155" s="30">
        <v>0</v>
      </c>
      <c r="H155" s="30">
        <v>0</v>
      </c>
      <c r="M155" t="e">
        <f>VLOOKUP(Risikovurdering!D157,Verdivurdering!$B$2:$J$96,9,FALSE)</f>
        <v>#N/A</v>
      </c>
    </row>
    <row r="156" spans="1:13" x14ac:dyDescent="0.25">
      <c r="A156" s="30">
        <v>0</v>
      </c>
      <c r="B156" s="30">
        <v>0</v>
      </c>
      <c r="C156" s="30">
        <v>0</v>
      </c>
      <c r="D156" s="30">
        <v>0</v>
      </c>
      <c r="E156" s="30">
        <v>0</v>
      </c>
      <c r="F156" s="30">
        <v>0</v>
      </c>
      <c r="G156" s="30">
        <v>0</v>
      </c>
      <c r="H156" s="30">
        <v>0</v>
      </c>
      <c r="M156" t="e">
        <f>VLOOKUP(Risikovurdering!D158,Verdivurdering!$B$2:$J$96,9,FALSE)</f>
        <v>#N/A</v>
      </c>
    </row>
    <row r="157" spans="1:13" x14ac:dyDescent="0.25">
      <c r="A157" s="30">
        <v>0</v>
      </c>
      <c r="B157" s="30">
        <v>0</v>
      </c>
      <c r="C157" s="30">
        <v>0</v>
      </c>
      <c r="D157" s="30">
        <v>0</v>
      </c>
      <c r="E157" s="30">
        <v>0</v>
      </c>
      <c r="F157" s="30">
        <v>0</v>
      </c>
      <c r="G157" s="30">
        <v>0</v>
      </c>
      <c r="H157" s="30">
        <v>0</v>
      </c>
      <c r="M157" t="e">
        <f>VLOOKUP(Risikovurdering!D159,Verdivurdering!$B$2:$J$96,9,FALSE)</f>
        <v>#N/A</v>
      </c>
    </row>
    <row r="158" spans="1:13" x14ac:dyDescent="0.25">
      <c r="A158" s="30">
        <v>0</v>
      </c>
      <c r="B158" s="30">
        <v>0</v>
      </c>
      <c r="C158" s="30">
        <v>0</v>
      </c>
      <c r="D158" s="30">
        <v>0</v>
      </c>
      <c r="E158" s="30">
        <v>0</v>
      </c>
      <c r="F158" s="30">
        <v>0</v>
      </c>
      <c r="G158" s="30">
        <v>0</v>
      </c>
      <c r="H158" s="30">
        <v>0</v>
      </c>
      <c r="M158" t="e">
        <f>VLOOKUP(Risikovurdering!D160,Verdivurdering!$B$2:$J$96,9,FALSE)</f>
        <v>#N/A</v>
      </c>
    </row>
    <row r="159" spans="1:13" x14ac:dyDescent="0.25">
      <c r="A159" s="30">
        <v>0</v>
      </c>
      <c r="B159" s="30">
        <v>0</v>
      </c>
      <c r="C159" s="30">
        <v>0</v>
      </c>
      <c r="D159" s="30">
        <v>0</v>
      </c>
      <c r="E159" s="30">
        <v>0</v>
      </c>
      <c r="F159" s="30">
        <v>0</v>
      </c>
      <c r="G159" s="30">
        <v>0</v>
      </c>
      <c r="H159" s="30">
        <v>0</v>
      </c>
      <c r="M159" t="e">
        <f>VLOOKUP(Risikovurdering!D161,Verdivurdering!$B$2:$J$96,9,FALSE)</f>
        <v>#N/A</v>
      </c>
    </row>
    <row r="160" spans="1:13" x14ac:dyDescent="0.25">
      <c r="A160" s="30">
        <v>0</v>
      </c>
      <c r="B160" s="30">
        <v>0</v>
      </c>
      <c r="C160" s="30">
        <v>0</v>
      </c>
      <c r="D160" s="30">
        <v>0</v>
      </c>
      <c r="E160" s="30">
        <v>0</v>
      </c>
      <c r="F160" s="30">
        <v>0</v>
      </c>
      <c r="G160" s="30">
        <v>0</v>
      </c>
      <c r="H160" s="30">
        <v>0</v>
      </c>
      <c r="M160" t="e">
        <f>VLOOKUP(Risikovurdering!D162,Verdivurdering!$B$2:$J$96,9,FALSE)</f>
        <v>#N/A</v>
      </c>
    </row>
    <row r="161" spans="1:13" x14ac:dyDescent="0.25">
      <c r="A161" s="30">
        <v>0</v>
      </c>
      <c r="B161" s="30">
        <v>0</v>
      </c>
      <c r="C161" s="30">
        <v>0</v>
      </c>
      <c r="D161" s="30">
        <v>0</v>
      </c>
      <c r="E161" s="30">
        <v>0</v>
      </c>
      <c r="F161" s="30">
        <v>0</v>
      </c>
      <c r="G161" s="30">
        <v>0</v>
      </c>
      <c r="H161" s="30">
        <v>0</v>
      </c>
      <c r="M161" t="e">
        <f>VLOOKUP(Risikovurdering!D163,Verdivurdering!$B$2:$J$96,9,FALSE)</f>
        <v>#N/A</v>
      </c>
    </row>
    <row r="162" spans="1:13" x14ac:dyDescent="0.25">
      <c r="A162" s="30">
        <v>0</v>
      </c>
      <c r="B162" s="30">
        <v>0</v>
      </c>
      <c r="C162" s="30">
        <v>0</v>
      </c>
      <c r="D162" s="30">
        <v>0</v>
      </c>
      <c r="E162" s="30">
        <v>0</v>
      </c>
      <c r="F162" s="30">
        <v>0</v>
      </c>
      <c r="G162" s="30">
        <v>0</v>
      </c>
      <c r="H162" s="30">
        <v>0</v>
      </c>
      <c r="M162" t="e">
        <f>VLOOKUP(Risikovurdering!D164,Verdivurdering!$B$2:$J$96,9,FALSE)</f>
        <v>#N/A</v>
      </c>
    </row>
    <row r="163" spans="1:13" x14ac:dyDescent="0.25">
      <c r="A163" s="31" t="str">
        <f>"R"&amp;B163</f>
        <v>R17</v>
      </c>
      <c r="B163" s="4">
        <v>17</v>
      </c>
      <c r="C163" s="4">
        <f>IFERROR(VLOOKUP(Risikovurdering!T165,Akseptkriterier!$D$4:$E$8,2,FALSE),0)</f>
        <v>0</v>
      </c>
      <c r="D163" s="4">
        <f>IFERROR(VLOOKUP(Risikovurdering!R165,Akseptkriterier!$F$4:$G$8,2,FALSE),0)</f>
        <v>0</v>
      </c>
      <c r="E163" s="4">
        <f>IFERROR(VLOOKUP(Risikovurdering!U165,Akseptkriterier!$H$4:$I$8,2,FALSE),0)</f>
        <v>0</v>
      </c>
      <c r="F163" s="4">
        <f>IFERROR(VLOOKUP(Risikovurdering!AG165,Akseptkriterier!$D$4:$E$8,2,FALSE),0)</f>
        <v>0</v>
      </c>
      <c r="G163" s="4">
        <f>IFERROR(VLOOKUP(Risikovurdering!AF165,Akseptkriterier!$F$4:$G$8,2,FALSE),0)</f>
        <v>0</v>
      </c>
      <c r="H163" s="4">
        <f>IFERROR(VLOOKUP(Risikovurdering!AH165,Akseptkriterier!$H$4:$I$8,2,FALSE),0)</f>
        <v>0</v>
      </c>
      <c r="M163" t="e">
        <f>VLOOKUP(Risikovurdering!D165,Verdivurdering!$B$2:$J$96,9,FALSE)</f>
        <v>#N/A</v>
      </c>
    </row>
    <row r="164" spans="1:13" x14ac:dyDescent="0.25">
      <c r="A164" s="30">
        <v>0</v>
      </c>
      <c r="B164" s="30">
        <v>0</v>
      </c>
      <c r="C164" s="30">
        <v>0</v>
      </c>
      <c r="D164" s="30">
        <v>0</v>
      </c>
      <c r="E164" s="30">
        <v>0</v>
      </c>
      <c r="F164" s="30">
        <v>0</v>
      </c>
      <c r="G164" s="30">
        <v>0</v>
      </c>
      <c r="H164" s="30">
        <v>0</v>
      </c>
      <c r="M164" t="e">
        <f>VLOOKUP(Risikovurdering!D166,Verdivurdering!$B$2:$J$96,9,FALSE)</f>
        <v>#N/A</v>
      </c>
    </row>
    <row r="165" spans="1:13" x14ac:dyDescent="0.25">
      <c r="A165" s="30">
        <v>0</v>
      </c>
      <c r="B165" s="30">
        <v>0</v>
      </c>
      <c r="C165" s="30">
        <v>0</v>
      </c>
      <c r="D165" s="30">
        <v>0</v>
      </c>
      <c r="E165" s="30">
        <v>0</v>
      </c>
      <c r="F165" s="30">
        <v>0</v>
      </c>
      <c r="G165" s="30">
        <v>0</v>
      </c>
      <c r="H165" s="30">
        <v>0</v>
      </c>
      <c r="M165" t="e">
        <f>VLOOKUP(Risikovurdering!D167,Verdivurdering!$B$2:$J$96,9,FALSE)</f>
        <v>#N/A</v>
      </c>
    </row>
    <row r="166" spans="1:13" x14ac:dyDescent="0.25">
      <c r="A166" s="30">
        <v>0</v>
      </c>
      <c r="B166" s="30">
        <v>0</v>
      </c>
      <c r="C166" s="30">
        <v>0</v>
      </c>
      <c r="D166" s="30">
        <v>0</v>
      </c>
      <c r="E166" s="30">
        <v>0</v>
      </c>
      <c r="F166" s="30">
        <v>0</v>
      </c>
      <c r="G166" s="30">
        <v>0</v>
      </c>
      <c r="H166" s="30">
        <v>0</v>
      </c>
      <c r="M166" t="e">
        <f>VLOOKUP(Risikovurdering!D168,Verdivurdering!$B$2:$J$96,9,FALSE)</f>
        <v>#N/A</v>
      </c>
    </row>
    <row r="167" spans="1:13" x14ac:dyDescent="0.25">
      <c r="A167" s="30">
        <v>0</v>
      </c>
      <c r="B167" s="30">
        <v>0</v>
      </c>
      <c r="C167" s="30">
        <v>0</v>
      </c>
      <c r="D167" s="30">
        <v>0</v>
      </c>
      <c r="E167" s="30">
        <v>0</v>
      </c>
      <c r="F167" s="30">
        <v>0</v>
      </c>
      <c r="G167" s="30">
        <v>0</v>
      </c>
      <c r="H167" s="30">
        <v>0</v>
      </c>
      <c r="M167" t="e">
        <f>VLOOKUP(Risikovurdering!D169,Verdivurdering!$B$2:$J$96,9,FALSE)</f>
        <v>#N/A</v>
      </c>
    </row>
    <row r="168" spans="1:13" x14ac:dyDescent="0.25">
      <c r="A168" s="30">
        <v>0</v>
      </c>
      <c r="B168" s="30">
        <v>0</v>
      </c>
      <c r="C168" s="30">
        <v>0</v>
      </c>
      <c r="D168" s="30">
        <v>0</v>
      </c>
      <c r="E168" s="30">
        <v>0</v>
      </c>
      <c r="F168" s="30">
        <v>0</v>
      </c>
      <c r="G168" s="30">
        <v>0</v>
      </c>
      <c r="H168" s="30">
        <v>0</v>
      </c>
      <c r="M168" t="e">
        <f>VLOOKUP(Risikovurdering!D170,Verdivurdering!$B$2:$J$96,9,FALSE)</f>
        <v>#N/A</v>
      </c>
    </row>
    <row r="169" spans="1:13" x14ac:dyDescent="0.25">
      <c r="A169" s="30">
        <v>0</v>
      </c>
      <c r="B169" s="30">
        <v>0</v>
      </c>
      <c r="C169" s="30">
        <v>0</v>
      </c>
      <c r="D169" s="30">
        <v>0</v>
      </c>
      <c r="E169" s="30">
        <v>0</v>
      </c>
      <c r="F169" s="30">
        <v>0</v>
      </c>
      <c r="G169" s="30">
        <v>0</v>
      </c>
      <c r="H169" s="30">
        <v>0</v>
      </c>
      <c r="M169" t="e">
        <f>VLOOKUP(Risikovurdering!D171,Verdivurdering!$B$2:$J$96,9,FALSE)</f>
        <v>#N/A</v>
      </c>
    </row>
    <row r="170" spans="1:13" x14ac:dyDescent="0.25">
      <c r="A170" s="30">
        <v>0</v>
      </c>
      <c r="B170" s="30">
        <v>0</v>
      </c>
      <c r="C170" s="30">
        <v>0</v>
      </c>
      <c r="D170" s="30">
        <v>0</v>
      </c>
      <c r="E170" s="30">
        <v>0</v>
      </c>
      <c r="F170" s="30">
        <v>0</v>
      </c>
      <c r="G170" s="30">
        <v>0</v>
      </c>
      <c r="H170" s="30">
        <v>0</v>
      </c>
      <c r="M170" t="e">
        <f>VLOOKUP(Risikovurdering!D172,Verdivurdering!$B$2:$J$96,9,FALSE)</f>
        <v>#N/A</v>
      </c>
    </row>
    <row r="171" spans="1:13" x14ac:dyDescent="0.25">
      <c r="A171" s="30">
        <v>0</v>
      </c>
      <c r="B171" s="30">
        <v>0</v>
      </c>
      <c r="C171" s="30">
        <v>0</v>
      </c>
      <c r="D171" s="30">
        <v>0</v>
      </c>
      <c r="E171" s="30">
        <v>0</v>
      </c>
      <c r="F171" s="30">
        <v>0</v>
      </c>
      <c r="G171" s="30">
        <v>0</v>
      </c>
      <c r="H171" s="30">
        <v>0</v>
      </c>
      <c r="M171" t="e">
        <f>VLOOKUP(Risikovurdering!D173,Verdivurdering!$B$2:$J$96,9,FALSE)</f>
        <v>#N/A</v>
      </c>
    </row>
    <row r="172" spans="1:13" x14ac:dyDescent="0.25">
      <c r="A172" s="30">
        <v>0</v>
      </c>
      <c r="B172" s="30">
        <v>0</v>
      </c>
      <c r="C172" s="30">
        <v>0</v>
      </c>
      <c r="D172" s="30">
        <v>0</v>
      </c>
      <c r="E172" s="30">
        <v>0</v>
      </c>
      <c r="F172" s="30">
        <v>0</v>
      </c>
      <c r="G172" s="30">
        <v>0</v>
      </c>
      <c r="H172" s="30">
        <v>0</v>
      </c>
      <c r="M172" t="e">
        <f>VLOOKUP(Risikovurdering!D174,Verdivurdering!$B$2:$J$96,9,FALSE)</f>
        <v>#N/A</v>
      </c>
    </row>
    <row r="173" spans="1:13" x14ac:dyDescent="0.25">
      <c r="A173" s="31" t="str">
        <f>"R"&amp;B173</f>
        <v>R18</v>
      </c>
      <c r="B173" s="4">
        <v>18</v>
      </c>
      <c r="C173" s="4">
        <f>IFERROR(VLOOKUP(Risikovurdering!T175,Akseptkriterier!$D$4:$E$8,2,FALSE),0)</f>
        <v>0</v>
      </c>
      <c r="D173" s="4">
        <f>IFERROR(VLOOKUP(Risikovurdering!R175,Akseptkriterier!$F$4:$G$8,2,FALSE),0)</f>
        <v>0</v>
      </c>
      <c r="E173" s="4">
        <f>IFERROR(VLOOKUP(Risikovurdering!U175,Akseptkriterier!$H$4:$I$8,2,FALSE),0)</f>
        <v>0</v>
      </c>
      <c r="F173" s="4">
        <f>IFERROR(VLOOKUP(Risikovurdering!AG175,Akseptkriterier!$D$4:$E$8,2,FALSE),0)</f>
        <v>0</v>
      </c>
      <c r="G173" s="4">
        <f>IFERROR(VLOOKUP(Risikovurdering!AF175,Akseptkriterier!$F$4:$G$8,2,FALSE),0)</f>
        <v>0</v>
      </c>
      <c r="H173" s="4">
        <f>IFERROR(VLOOKUP(Risikovurdering!AH175,Akseptkriterier!$H$4:$I$8,2,FALSE),0)</f>
        <v>0</v>
      </c>
      <c r="M173" t="e">
        <f>VLOOKUP(Risikovurdering!D175,Verdivurdering!$B$2:$J$96,9,FALSE)</f>
        <v>#N/A</v>
      </c>
    </row>
    <row r="174" spans="1:13" x14ac:dyDescent="0.25">
      <c r="A174" s="30">
        <v>0</v>
      </c>
      <c r="B174" s="30">
        <v>0</v>
      </c>
      <c r="C174" s="30">
        <v>0</v>
      </c>
      <c r="D174" s="30">
        <v>0</v>
      </c>
      <c r="E174" s="30">
        <v>0</v>
      </c>
      <c r="F174" s="30">
        <v>0</v>
      </c>
      <c r="G174" s="30">
        <v>0</v>
      </c>
      <c r="H174" s="30">
        <v>0</v>
      </c>
      <c r="M174" t="e">
        <f>VLOOKUP(Risikovurdering!D176,Verdivurdering!$B$2:$J$96,9,FALSE)</f>
        <v>#N/A</v>
      </c>
    </row>
    <row r="175" spans="1:13" x14ac:dyDescent="0.25">
      <c r="A175" s="30">
        <v>0</v>
      </c>
      <c r="B175" s="30">
        <v>0</v>
      </c>
      <c r="C175" s="30">
        <v>0</v>
      </c>
      <c r="D175" s="30">
        <v>0</v>
      </c>
      <c r="E175" s="30">
        <v>0</v>
      </c>
      <c r="F175" s="30">
        <v>0</v>
      </c>
      <c r="G175" s="30">
        <v>0</v>
      </c>
      <c r="H175" s="30">
        <v>0</v>
      </c>
      <c r="M175" t="e">
        <f>VLOOKUP(Risikovurdering!D177,Verdivurdering!$B$2:$J$96,9,FALSE)</f>
        <v>#N/A</v>
      </c>
    </row>
    <row r="176" spans="1:13" x14ac:dyDescent="0.25">
      <c r="A176" s="30">
        <v>0</v>
      </c>
      <c r="B176" s="30">
        <v>0</v>
      </c>
      <c r="C176" s="30">
        <v>0</v>
      </c>
      <c r="D176" s="30">
        <v>0</v>
      </c>
      <c r="E176" s="30">
        <v>0</v>
      </c>
      <c r="F176" s="30">
        <v>0</v>
      </c>
      <c r="G176" s="30">
        <v>0</v>
      </c>
      <c r="H176" s="30">
        <v>0</v>
      </c>
      <c r="M176" t="e">
        <f>VLOOKUP(Risikovurdering!D178,Verdivurdering!$B$2:$J$96,9,FALSE)</f>
        <v>#N/A</v>
      </c>
    </row>
    <row r="177" spans="1:13" x14ac:dyDescent="0.25">
      <c r="A177" s="30">
        <v>0</v>
      </c>
      <c r="B177" s="30">
        <v>0</v>
      </c>
      <c r="C177" s="30">
        <v>0</v>
      </c>
      <c r="D177" s="30">
        <v>0</v>
      </c>
      <c r="E177" s="30">
        <v>0</v>
      </c>
      <c r="F177" s="30">
        <v>0</v>
      </c>
      <c r="G177" s="30">
        <v>0</v>
      </c>
      <c r="H177" s="30">
        <v>0</v>
      </c>
      <c r="M177" t="e">
        <f>VLOOKUP(Risikovurdering!D179,Verdivurdering!$B$2:$J$96,9,FALSE)</f>
        <v>#N/A</v>
      </c>
    </row>
    <row r="178" spans="1:13" x14ac:dyDescent="0.25">
      <c r="A178" s="30">
        <v>0</v>
      </c>
      <c r="B178" s="30">
        <v>0</v>
      </c>
      <c r="C178" s="30">
        <v>0</v>
      </c>
      <c r="D178" s="30">
        <v>0</v>
      </c>
      <c r="E178" s="30">
        <v>0</v>
      </c>
      <c r="F178" s="30">
        <v>0</v>
      </c>
      <c r="G178" s="30">
        <v>0</v>
      </c>
      <c r="H178" s="30">
        <v>0</v>
      </c>
      <c r="M178" t="e">
        <f>VLOOKUP(Risikovurdering!D180,Verdivurdering!$B$2:$J$96,9,FALSE)</f>
        <v>#N/A</v>
      </c>
    </row>
    <row r="179" spans="1:13" x14ac:dyDescent="0.25">
      <c r="A179" s="30">
        <v>0</v>
      </c>
      <c r="B179" s="30">
        <v>0</v>
      </c>
      <c r="C179" s="30">
        <v>0</v>
      </c>
      <c r="D179" s="30">
        <v>0</v>
      </c>
      <c r="E179" s="30">
        <v>0</v>
      </c>
      <c r="F179" s="30">
        <v>0</v>
      </c>
      <c r="G179" s="30">
        <v>0</v>
      </c>
      <c r="H179" s="30">
        <v>0</v>
      </c>
      <c r="M179" t="e">
        <f>VLOOKUP(Risikovurdering!D181,Verdivurdering!$B$2:$J$96,9,FALSE)</f>
        <v>#N/A</v>
      </c>
    </row>
    <row r="180" spans="1:13" x14ac:dyDescent="0.25">
      <c r="A180" s="30">
        <v>0</v>
      </c>
      <c r="B180" s="30">
        <v>0</v>
      </c>
      <c r="C180" s="30">
        <v>0</v>
      </c>
      <c r="D180" s="30">
        <v>0</v>
      </c>
      <c r="E180" s="30">
        <v>0</v>
      </c>
      <c r="F180" s="30">
        <v>0</v>
      </c>
      <c r="G180" s="30">
        <v>0</v>
      </c>
      <c r="H180" s="30">
        <v>0</v>
      </c>
      <c r="M180" t="e">
        <f>VLOOKUP(Risikovurdering!D182,Verdivurdering!$B$2:$J$96,9,FALSE)</f>
        <v>#N/A</v>
      </c>
    </row>
    <row r="181" spans="1:13" x14ac:dyDescent="0.25">
      <c r="A181" s="30">
        <v>0</v>
      </c>
      <c r="B181" s="30">
        <v>0</v>
      </c>
      <c r="C181" s="30">
        <v>0</v>
      </c>
      <c r="D181" s="30">
        <v>0</v>
      </c>
      <c r="E181" s="30">
        <v>0</v>
      </c>
      <c r="F181" s="30">
        <v>0</v>
      </c>
      <c r="G181" s="30">
        <v>0</v>
      </c>
      <c r="H181" s="30">
        <v>0</v>
      </c>
      <c r="M181" t="e">
        <f>VLOOKUP(Risikovurdering!D183,Verdivurdering!$B$2:$J$96,9,FALSE)</f>
        <v>#N/A</v>
      </c>
    </row>
    <row r="182" spans="1:13" x14ac:dyDescent="0.25">
      <c r="A182" s="30">
        <v>0</v>
      </c>
      <c r="B182" s="30">
        <v>0</v>
      </c>
      <c r="C182" s="30">
        <v>0</v>
      </c>
      <c r="D182" s="30">
        <v>0</v>
      </c>
      <c r="E182" s="30">
        <v>0</v>
      </c>
      <c r="F182" s="30">
        <v>0</v>
      </c>
      <c r="G182" s="30">
        <v>0</v>
      </c>
      <c r="H182" s="30">
        <v>0</v>
      </c>
      <c r="M182" t="e">
        <f>VLOOKUP(Risikovurdering!D184,Verdivurdering!$B$2:$J$96,9,FALSE)</f>
        <v>#N/A</v>
      </c>
    </row>
    <row r="183" spans="1:13" x14ac:dyDescent="0.25">
      <c r="A183" s="31" t="str">
        <f>"R"&amp;B183</f>
        <v>R19</v>
      </c>
      <c r="B183" s="4">
        <v>19</v>
      </c>
      <c r="C183" s="4">
        <f>IFERROR(VLOOKUP(Risikovurdering!T185,Akseptkriterier!$D$4:$E$8,2,FALSE),0)</f>
        <v>0</v>
      </c>
      <c r="D183" s="4">
        <f>IFERROR(VLOOKUP(Risikovurdering!R185,Akseptkriterier!$F$4:$G$8,2,FALSE),0)</f>
        <v>0</v>
      </c>
      <c r="E183" s="4">
        <f>IFERROR(VLOOKUP(Risikovurdering!U185,Akseptkriterier!$H$4:$I$8,2,FALSE),0)</f>
        <v>0</v>
      </c>
      <c r="F183" s="4">
        <f>IFERROR(VLOOKUP(Risikovurdering!AG185,Akseptkriterier!$D$4:$E$8,2,FALSE),0)</f>
        <v>0</v>
      </c>
      <c r="G183" s="4">
        <f>IFERROR(VLOOKUP(Risikovurdering!AF185,Akseptkriterier!$F$4:$G$8,2,FALSE),0)</f>
        <v>0</v>
      </c>
      <c r="H183" s="4">
        <f>IFERROR(VLOOKUP(Risikovurdering!AH185,Akseptkriterier!$H$4:$I$8,2,FALSE),0)</f>
        <v>0</v>
      </c>
      <c r="M183" t="e">
        <f>VLOOKUP(Risikovurdering!D185,Verdivurdering!$B$2:$J$96,9,FALSE)</f>
        <v>#N/A</v>
      </c>
    </row>
    <row r="184" spans="1:13" x14ac:dyDescent="0.25">
      <c r="A184" s="30">
        <v>0</v>
      </c>
      <c r="B184" s="30">
        <v>0</v>
      </c>
      <c r="C184" s="30">
        <v>0</v>
      </c>
      <c r="D184" s="30">
        <v>0</v>
      </c>
      <c r="E184" s="30">
        <v>0</v>
      </c>
      <c r="F184" s="30">
        <v>0</v>
      </c>
      <c r="G184" s="30">
        <v>0</v>
      </c>
      <c r="H184" s="30">
        <v>0</v>
      </c>
      <c r="M184" t="e">
        <f>VLOOKUP(Risikovurdering!D186,Verdivurdering!$B$2:$J$96,9,FALSE)</f>
        <v>#N/A</v>
      </c>
    </row>
    <row r="185" spans="1:13" x14ac:dyDescent="0.25">
      <c r="A185" s="30">
        <v>0</v>
      </c>
      <c r="B185" s="30">
        <v>0</v>
      </c>
      <c r="C185" s="30">
        <v>0</v>
      </c>
      <c r="D185" s="30">
        <v>0</v>
      </c>
      <c r="E185" s="30">
        <v>0</v>
      </c>
      <c r="F185" s="30">
        <v>0</v>
      </c>
      <c r="G185" s="30">
        <v>0</v>
      </c>
      <c r="H185" s="30">
        <v>0</v>
      </c>
      <c r="M185" t="e">
        <f>VLOOKUP(Risikovurdering!D187,Verdivurdering!$B$2:$J$96,9,FALSE)</f>
        <v>#N/A</v>
      </c>
    </row>
    <row r="186" spans="1:13" x14ac:dyDescent="0.25">
      <c r="A186" s="30">
        <v>0</v>
      </c>
      <c r="B186" s="30">
        <v>0</v>
      </c>
      <c r="C186" s="30">
        <v>0</v>
      </c>
      <c r="D186" s="30">
        <v>0</v>
      </c>
      <c r="E186" s="30">
        <v>0</v>
      </c>
      <c r="F186" s="30">
        <v>0</v>
      </c>
      <c r="G186" s="30">
        <v>0</v>
      </c>
      <c r="H186" s="30">
        <v>0</v>
      </c>
      <c r="M186" t="e">
        <f>VLOOKUP(Risikovurdering!D188,Verdivurdering!$B$2:$J$96,9,FALSE)</f>
        <v>#N/A</v>
      </c>
    </row>
    <row r="187" spans="1:13" x14ac:dyDescent="0.25">
      <c r="A187" s="30">
        <v>0</v>
      </c>
      <c r="B187" s="30">
        <v>0</v>
      </c>
      <c r="C187" s="30">
        <v>0</v>
      </c>
      <c r="D187" s="30">
        <v>0</v>
      </c>
      <c r="E187" s="30">
        <v>0</v>
      </c>
      <c r="F187" s="30">
        <v>0</v>
      </c>
      <c r="G187" s="30">
        <v>0</v>
      </c>
      <c r="H187" s="30">
        <v>0</v>
      </c>
      <c r="M187" t="e">
        <f>VLOOKUP(Risikovurdering!D189,Verdivurdering!$B$2:$J$96,9,FALSE)</f>
        <v>#N/A</v>
      </c>
    </row>
    <row r="188" spans="1:13" x14ac:dyDescent="0.25">
      <c r="A188" s="30">
        <v>0</v>
      </c>
      <c r="B188" s="30">
        <v>0</v>
      </c>
      <c r="C188" s="30">
        <v>0</v>
      </c>
      <c r="D188" s="30">
        <v>0</v>
      </c>
      <c r="E188" s="30">
        <v>0</v>
      </c>
      <c r="F188" s="30">
        <v>0</v>
      </c>
      <c r="G188" s="30">
        <v>0</v>
      </c>
      <c r="H188" s="30">
        <v>0</v>
      </c>
      <c r="M188" t="e">
        <f>VLOOKUP(Risikovurdering!D190,Verdivurdering!$B$2:$J$96,9,FALSE)</f>
        <v>#N/A</v>
      </c>
    </row>
    <row r="189" spans="1:13" x14ac:dyDescent="0.25">
      <c r="A189" s="30">
        <v>0</v>
      </c>
      <c r="B189" s="30">
        <v>0</v>
      </c>
      <c r="C189" s="30">
        <v>0</v>
      </c>
      <c r="D189" s="30">
        <v>0</v>
      </c>
      <c r="E189" s="30">
        <v>0</v>
      </c>
      <c r="F189" s="30">
        <v>0</v>
      </c>
      <c r="G189" s="30">
        <v>0</v>
      </c>
      <c r="H189" s="30">
        <v>0</v>
      </c>
      <c r="M189" t="e">
        <f>VLOOKUP(Risikovurdering!D191,Verdivurdering!$B$2:$J$96,9,FALSE)</f>
        <v>#N/A</v>
      </c>
    </row>
    <row r="190" spans="1:13" x14ac:dyDescent="0.25">
      <c r="A190" s="30">
        <v>0</v>
      </c>
      <c r="B190" s="30">
        <v>0</v>
      </c>
      <c r="C190" s="30">
        <v>0</v>
      </c>
      <c r="D190" s="30">
        <v>0</v>
      </c>
      <c r="E190" s="30">
        <v>0</v>
      </c>
      <c r="F190" s="30">
        <v>0</v>
      </c>
      <c r="G190" s="30">
        <v>0</v>
      </c>
      <c r="H190" s="30">
        <v>0</v>
      </c>
      <c r="M190" t="e">
        <f>VLOOKUP(Risikovurdering!D192,Verdivurdering!$B$2:$J$96,9,FALSE)</f>
        <v>#N/A</v>
      </c>
    </row>
    <row r="191" spans="1:13" x14ac:dyDescent="0.25">
      <c r="A191" s="30">
        <v>0</v>
      </c>
      <c r="B191" s="30">
        <v>0</v>
      </c>
      <c r="C191" s="30">
        <v>0</v>
      </c>
      <c r="D191" s="30">
        <v>0</v>
      </c>
      <c r="E191" s="30">
        <v>0</v>
      </c>
      <c r="F191" s="30">
        <v>0</v>
      </c>
      <c r="G191" s="30">
        <v>0</v>
      </c>
      <c r="H191" s="30">
        <v>0</v>
      </c>
      <c r="M191" t="e">
        <f>VLOOKUP(Risikovurdering!D193,Verdivurdering!$B$2:$J$96,9,FALSE)</f>
        <v>#N/A</v>
      </c>
    </row>
    <row r="192" spans="1:13" x14ac:dyDescent="0.25">
      <c r="A192" s="30">
        <v>0</v>
      </c>
      <c r="B192" s="30">
        <v>0</v>
      </c>
      <c r="C192" s="30">
        <v>0</v>
      </c>
      <c r="D192" s="30">
        <v>0</v>
      </c>
      <c r="E192" s="30">
        <v>0</v>
      </c>
      <c r="F192" s="30">
        <v>0</v>
      </c>
      <c r="G192" s="30">
        <v>0</v>
      </c>
      <c r="H192" s="30">
        <v>0</v>
      </c>
      <c r="M192" t="e">
        <f>VLOOKUP(Risikovurdering!D194,Verdivurdering!$B$2:$J$96,9,FALSE)</f>
        <v>#N/A</v>
      </c>
    </row>
    <row r="193" spans="1:13" x14ac:dyDescent="0.25">
      <c r="A193" s="31" t="str">
        <f>"R"&amp;B193</f>
        <v>R20</v>
      </c>
      <c r="B193" s="4">
        <v>20</v>
      </c>
      <c r="C193" s="4">
        <f>IFERROR(VLOOKUP(Risikovurdering!T195,Akseptkriterier!$D$4:$E$8,2,FALSE),0)</f>
        <v>0</v>
      </c>
      <c r="D193" s="4">
        <f>IFERROR(VLOOKUP(Risikovurdering!R195,Akseptkriterier!$F$4:$G$8,2,FALSE),0)</f>
        <v>0</v>
      </c>
      <c r="E193" s="4">
        <f>IFERROR(VLOOKUP(Risikovurdering!U195,Akseptkriterier!$H$4:$I$8,2,FALSE),0)</f>
        <v>0</v>
      </c>
      <c r="F193" s="4">
        <f>IFERROR(VLOOKUP(Risikovurdering!AG195,Akseptkriterier!$D$4:$E$8,2,FALSE),0)</f>
        <v>0</v>
      </c>
      <c r="G193" s="4">
        <f>IFERROR(VLOOKUP(Risikovurdering!AF195,Akseptkriterier!$F$4:$G$8,2,FALSE),0)</f>
        <v>0</v>
      </c>
      <c r="H193" s="4">
        <f>IFERROR(VLOOKUP(Risikovurdering!AH195,Akseptkriterier!$H$4:$I$8,2,FALSE),0)</f>
        <v>0</v>
      </c>
      <c r="M193" t="e">
        <f>VLOOKUP(Risikovurdering!D195,Verdivurdering!$B$2:$J$96,9,FALSE)</f>
        <v>#N/A</v>
      </c>
    </row>
    <row r="194" spans="1:13" x14ac:dyDescent="0.25">
      <c r="A194" s="30">
        <v>0</v>
      </c>
      <c r="B194" s="30">
        <v>0</v>
      </c>
      <c r="C194" s="30">
        <v>0</v>
      </c>
      <c r="D194" s="30">
        <v>0</v>
      </c>
      <c r="E194" s="30">
        <v>0</v>
      </c>
      <c r="F194" s="30">
        <v>0</v>
      </c>
      <c r="G194" s="30">
        <v>0</v>
      </c>
      <c r="H194" s="30">
        <v>0</v>
      </c>
      <c r="M194" t="e">
        <f>VLOOKUP(Risikovurdering!D196,Verdivurdering!$B$2:$J$96,9,FALSE)</f>
        <v>#N/A</v>
      </c>
    </row>
    <row r="195" spans="1:13" x14ac:dyDescent="0.25">
      <c r="A195" s="30">
        <v>0</v>
      </c>
      <c r="B195" s="30">
        <v>0</v>
      </c>
      <c r="C195" s="30">
        <v>0</v>
      </c>
      <c r="D195" s="30">
        <v>0</v>
      </c>
      <c r="E195" s="30">
        <v>0</v>
      </c>
      <c r="F195" s="30">
        <v>0</v>
      </c>
      <c r="G195" s="30">
        <v>0</v>
      </c>
      <c r="H195" s="30">
        <v>0</v>
      </c>
      <c r="M195" t="e">
        <f>VLOOKUP(Risikovurdering!D197,Verdivurdering!$B$2:$J$96,9,FALSE)</f>
        <v>#N/A</v>
      </c>
    </row>
    <row r="196" spans="1:13" x14ac:dyDescent="0.25">
      <c r="A196" s="30">
        <v>0</v>
      </c>
      <c r="B196" s="30">
        <v>0</v>
      </c>
      <c r="C196" s="30">
        <v>0</v>
      </c>
      <c r="D196" s="30">
        <v>0</v>
      </c>
      <c r="E196" s="30">
        <v>0</v>
      </c>
      <c r="F196" s="30">
        <v>0</v>
      </c>
      <c r="G196" s="30">
        <v>0</v>
      </c>
      <c r="H196" s="30">
        <v>0</v>
      </c>
      <c r="M196" t="e">
        <f>VLOOKUP(Risikovurdering!D198,Verdivurdering!$B$2:$J$96,9,FALSE)</f>
        <v>#N/A</v>
      </c>
    </row>
    <row r="197" spans="1:13" x14ac:dyDescent="0.25">
      <c r="A197" s="30">
        <v>0</v>
      </c>
      <c r="B197" s="30">
        <v>0</v>
      </c>
      <c r="C197" s="30">
        <v>0</v>
      </c>
      <c r="D197" s="30">
        <v>0</v>
      </c>
      <c r="E197" s="30">
        <v>0</v>
      </c>
      <c r="F197" s="30">
        <v>0</v>
      </c>
      <c r="G197" s="30">
        <v>0</v>
      </c>
      <c r="H197" s="30">
        <v>0</v>
      </c>
      <c r="M197" t="e">
        <f>VLOOKUP(Risikovurdering!D199,Verdivurdering!$B$2:$J$96,9,FALSE)</f>
        <v>#N/A</v>
      </c>
    </row>
    <row r="198" spans="1:13" x14ac:dyDescent="0.25">
      <c r="A198" s="30">
        <v>0</v>
      </c>
      <c r="B198" s="30">
        <v>0</v>
      </c>
      <c r="C198" s="30">
        <v>0</v>
      </c>
      <c r="D198" s="30">
        <v>0</v>
      </c>
      <c r="E198" s="30">
        <v>0</v>
      </c>
      <c r="F198" s="30">
        <v>0</v>
      </c>
      <c r="G198" s="30">
        <v>0</v>
      </c>
      <c r="H198" s="30">
        <v>0</v>
      </c>
      <c r="M198" t="e">
        <f>VLOOKUP(Risikovurdering!D200,Verdivurdering!$B$2:$J$96,9,FALSE)</f>
        <v>#N/A</v>
      </c>
    </row>
    <row r="199" spans="1:13" x14ac:dyDescent="0.25">
      <c r="A199" s="30">
        <v>0</v>
      </c>
      <c r="B199" s="30">
        <v>0</v>
      </c>
      <c r="C199" s="30">
        <v>0</v>
      </c>
      <c r="D199" s="30">
        <v>0</v>
      </c>
      <c r="E199" s="30">
        <v>0</v>
      </c>
      <c r="F199" s="30">
        <v>0</v>
      </c>
      <c r="G199" s="30">
        <v>0</v>
      </c>
      <c r="H199" s="30">
        <v>0</v>
      </c>
      <c r="M199" t="e">
        <f>VLOOKUP(Risikovurdering!D201,Verdivurdering!$B$2:$J$96,9,FALSE)</f>
        <v>#N/A</v>
      </c>
    </row>
    <row r="200" spans="1:13" x14ac:dyDescent="0.25">
      <c r="A200" s="30">
        <v>0</v>
      </c>
      <c r="B200" s="30">
        <v>0</v>
      </c>
      <c r="C200" s="30">
        <v>0</v>
      </c>
      <c r="D200" s="30">
        <v>0</v>
      </c>
      <c r="E200" s="30">
        <v>0</v>
      </c>
      <c r="F200" s="30">
        <v>0</v>
      </c>
      <c r="G200" s="30">
        <v>0</v>
      </c>
      <c r="H200" s="30">
        <v>0</v>
      </c>
      <c r="M200" t="e">
        <f>VLOOKUP(Risikovurdering!D202,Verdivurdering!$B$2:$J$96,9,FALSE)</f>
        <v>#N/A</v>
      </c>
    </row>
    <row r="201" spans="1:13" x14ac:dyDescent="0.25">
      <c r="A201" s="30">
        <v>0</v>
      </c>
      <c r="B201" s="30">
        <v>0</v>
      </c>
      <c r="C201" s="30">
        <v>0</v>
      </c>
      <c r="D201" s="30">
        <v>0</v>
      </c>
      <c r="E201" s="30">
        <v>0</v>
      </c>
      <c r="F201" s="30">
        <v>0</v>
      </c>
      <c r="G201" s="30">
        <v>0</v>
      </c>
      <c r="H201" s="30">
        <v>0</v>
      </c>
      <c r="M201" t="e">
        <f>VLOOKUP(Risikovurdering!D203,Verdivurdering!$B$2:$J$96,9,FALSE)</f>
        <v>#N/A</v>
      </c>
    </row>
    <row r="202" spans="1:13" x14ac:dyDescent="0.25">
      <c r="A202" s="30">
        <v>0</v>
      </c>
      <c r="B202" s="30">
        <v>0</v>
      </c>
      <c r="C202" s="30">
        <v>0</v>
      </c>
      <c r="D202" s="30">
        <v>0</v>
      </c>
      <c r="E202" s="30">
        <v>0</v>
      </c>
      <c r="F202" s="30">
        <v>0</v>
      </c>
      <c r="G202" s="30">
        <v>0</v>
      </c>
      <c r="H202" s="30">
        <v>0</v>
      </c>
      <c r="M202" t="e">
        <f>VLOOKUP(Risikovurdering!D204,Verdivurdering!$B$2:$J$96,9,FALSE)</f>
        <v>#N/A</v>
      </c>
    </row>
    <row r="203" spans="1:13" x14ac:dyDescent="0.25">
      <c r="A203" s="31" t="str">
        <f>"R"&amp;B203</f>
        <v>R21</v>
      </c>
      <c r="B203" s="4">
        <v>21</v>
      </c>
      <c r="C203" s="4">
        <f>IFERROR(VLOOKUP(Risikovurdering!T205,Akseptkriterier!$D$4:$E$8,2,FALSE),0)</f>
        <v>0</v>
      </c>
      <c r="D203" s="4">
        <f>IFERROR(VLOOKUP(Risikovurdering!R205,Akseptkriterier!$F$4:$G$8,2,FALSE),0)</f>
        <v>0</v>
      </c>
      <c r="E203" s="4">
        <f>IFERROR(VLOOKUP(Risikovurdering!U205,Akseptkriterier!$H$4:$I$8,2,FALSE),0)</f>
        <v>0</v>
      </c>
      <c r="F203" s="4">
        <f>IFERROR(VLOOKUP(Risikovurdering!AG205,Akseptkriterier!$D$4:$E$8,2,FALSE),0)</f>
        <v>0</v>
      </c>
      <c r="G203" s="4">
        <f>IFERROR(VLOOKUP(Risikovurdering!AF205,Akseptkriterier!$F$4:$G$8,2,FALSE),0)</f>
        <v>0</v>
      </c>
      <c r="H203" s="4">
        <f>IFERROR(VLOOKUP(Risikovurdering!AH205,Akseptkriterier!$H$4:$I$8,2,FALSE),0)</f>
        <v>0</v>
      </c>
      <c r="M203" t="e">
        <f>VLOOKUP(Risikovurdering!D205,Verdivurdering!$B$2:$J$96,9,FALSE)</f>
        <v>#N/A</v>
      </c>
    </row>
    <row r="204" spans="1:13" x14ac:dyDescent="0.25">
      <c r="A204" s="30">
        <v>0</v>
      </c>
      <c r="B204" s="30">
        <v>0</v>
      </c>
      <c r="C204" s="30">
        <v>0</v>
      </c>
      <c r="D204" s="30">
        <v>0</v>
      </c>
      <c r="E204" s="30">
        <v>0</v>
      </c>
      <c r="F204" s="30">
        <v>0</v>
      </c>
      <c r="G204" s="30">
        <v>0</v>
      </c>
      <c r="H204" s="30">
        <v>0</v>
      </c>
      <c r="M204" t="e">
        <f>VLOOKUP(Risikovurdering!D206,Verdivurdering!$B$2:$J$96,9,FALSE)</f>
        <v>#N/A</v>
      </c>
    </row>
    <row r="205" spans="1:13" x14ac:dyDescent="0.25">
      <c r="A205" s="30">
        <v>0</v>
      </c>
      <c r="B205" s="30">
        <v>0</v>
      </c>
      <c r="C205" s="30">
        <v>0</v>
      </c>
      <c r="D205" s="30">
        <v>0</v>
      </c>
      <c r="E205" s="30">
        <v>0</v>
      </c>
      <c r="F205" s="30">
        <v>0</v>
      </c>
      <c r="G205" s="30">
        <v>0</v>
      </c>
      <c r="H205" s="30">
        <v>0</v>
      </c>
      <c r="M205" t="e">
        <f>VLOOKUP(Risikovurdering!D207,Verdivurdering!$B$2:$J$96,9,FALSE)</f>
        <v>#N/A</v>
      </c>
    </row>
    <row r="206" spans="1:13" x14ac:dyDescent="0.25">
      <c r="A206" s="30">
        <v>0</v>
      </c>
      <c r="B206" s="30">
        <v>0</v>
      </c>
      <c r="C206" s="30">
        <v>0</v>
      </c>
      <c r="D206" s="30">
        <v>0</v>
      </c>
      <c r="E206" s="30">
        <v>0</v>
      </c>
      <c r="F206" s="30">
        <v>0</v>
      </c>
      <c r="G206" s="30">
        <v>0</v>
      </c>
      <c r="H206" s="30">
        <v>0</v>
      </c>
      <c r="M206" t="e">
        <f>VLOOKUP(Risikovurdering!D208,Verdivurdering!$B$2:$J$96,9,FALSE)</f>
        <v>#N/A</v>
      </c>
    </row>
    <row r="207" spans="1:13" x14ac:dyDescent="0.25">
      <c r="A207" s="30">
        <v>0</v>
      </c>
      <c r="B207" s="30">
        <v>0</v>
      </c>
      <c r="C207" s="30">
        <v>0</v>
      </c>
      <c r="D207" s="30">
        <v>0</v>
      </c>
      <c r="E207" s="30">
        <v>0</v>
      </c>
      <c r="F207" s="30">
        <v>0</v>
      </c>
      <c r="G207" s="30">
        <v>0</v>
      </c>
      <c r="H207" s="30">
        <v>0</v>
      </c>
      <c r="M207" t="e">
        <f>VLOOKUP(Risikovurdering!D209,Verdivurdering!$B$2:$J$96,9,FALSE)</f>
        <v>#N/A</v>
      </c>
    </row>
    <row r="208" spans="1:13" x14ac:dyDescent="0.25">
      <c r="A208" s="30">
        <v>0</v>
      </c>
      <c r="B208" s="30">
        <v>0</v>
      </c>
      <c r="C208" s="30">
        <v>0</v>
      </c>
      <c r="D208" s="30">
        <v>0</v>
      </c>
      <c r="E208" s="30">
        <v>0</v>
      </c>
      <c r="F208" s="30">
        <v>0</v>
      </c>
      <c r="G208" s="30">
        <v>0</v>
      </c>
      <c r="H208" s="30">
        <v>0</v>
      </c>
      <c r="M208" t="e">
        <f>VLOOKUP(Risikovurdering!D210,Verdivurdering!$B$2:$J$96,9,FALSE)</f>
        <v>#N/A</v>
      </c>
    </row>
    <row r="209" spans="1:13" x14ac:dyDescent="0.25">
      <c r="A209" s="30">
        <v>0</v>
      </c>
      <c r="B209" s="30">
        <v>0</v>
      </c>
      <c r="C209" s="30">
        <v>0</v>
      </c>
      <c r="D209" s="30">
        <v>0</v>
      </c>
      <c r="E209" s="30">
        <v>0</v>
      </c>
      <c r="F209" s="30">
        <v>0</v>
      </c>
      <c r="G209" s="30">
        <v>0</v>
      </c>
      <c r="H209" s="30">
        <v>0</v>
      </c>
      <c r="M209" t="e">
        <f>VLOOKUP(Risikovurdering!D211,Verdivurdering!$B$2:$J$96,9,FALSE)</f>
        <v>#N/A</v>
      </c>
    </row>
    <row r="210" spans="1:13" x14ac:dyDescent="0.25">
      <c r="A210" s="30">
        <v>0</v>
      </c>
      <c r="B210" s="30">
        <v>0</v>
      </c>
      <c r="C210" s="30">
        <v>0</v>
      </c>
      <c r="D210" s="30">
        <v>0</v>
      </c>
      <c r="E210" s="30">
        <v>0</v>
      </c>
      <c r="F210" s="30">
        <v>0</v>
      </c>
      <c r="G210" s="30">
        <v>0</v>
      </c>
      <c r="H210" s="30">
        <v>0</v>
      </c>
      <c r="M210" t="e">
        <f>VLOOKUP(Risikovurdering!D212,Verdivurdering!$B$2:$J$96,9,FALSE)</f>
        <v>#N/A</v>
      </c>
    </row>
    <row r="211" spans="1:13" x14ac:dyDescent="0.25">
      <c r="A211" s="30">
        <v>0</v>
      </c>
      <c r="B211" s="30">
        <v>0</v>
      </c>
      <c r="C211" s="30">
        <v>0</v>
      </c>
      <c r="D211" s="30">
        <v>0</v>
      </c>
      <c r="E211" s="30">
        <v>0</v>
      </c>
      <c r="F211" s="30">
        <v>0</v>
      </c>
      <c r="G211" s="30">
        <v>0</v>
      </c>
      <c r="H211" s="30">
        <v>0</v>
      </c>
      <c r="M211" t="e">
        <f>VLOOKUP(Risikovurdering!D213,Verdivurdering!$B$2:$J$96,9,FALSE)</f>
        <v>#N/A</v>
      </c>
    </row>
    <row r="212" spans="1:13" x14ac:dyDescent="0.25">
      <c r="A212" s="30">
        <v>0</v>
      </c>
      <c r="B212" s="30">
        <v>0</v>
      </c>
      <c r="C212" s="30">
        <v>0</v>
      </c>
      <c r="D212" s="30">
        <v>0</v>
      </c>
      <c r="E212" s="30">
        <v>0</v>
      </c>
      <c r="F212" s="30">
        <v>0</v>
      </c>
      <c r="G212" s="30">
        <v>0</v>
      </c>
      <c r="H212" s="30">
        <v>0</v>
      </c>
      <c r="M212" t="e">
        <f>VLOOKUP(Risikovurdering!D214,Verdivurdering!$B$2:$J$96,9,FALSE)</f>
        <v>#N/A</v>
      </c>
    </row>
    <row r="213" spans="1:13" x14ac:dyDescent="0.25">
      <c r="A213" s="31" t="str">
        <f>"R"&amp;B213</f>
        <v>R22</v>
      </c>
      <c r="B213" s="4">
        <v>22</v>
      </c>
      <c r="C213" s="4">
        <f>IFERROR(VLOOKUP(Risikovurdering!T215,Akseptkriterier!$D$4:$E$8,2,FALSE),0)</f>
        <v>0</v>
      </c>
      <c r="D213" s="4">
        <f>IFERROR(VLOOKUP(Risikovurdering!R215,Akseptkriterier!$F$4:$G$8,2,FALSE),0)</f>
        <v>0</v>
      </c>
      <c r="E213" s="4">
        <f>IFERROR(VLOOKUP(Risikovurdering!U215,Akseptkriterier!$H$4:$I$8,2,FALSE),0)</f>
        <v>0</v>
      </c>
      <c r="F213" s="4">
        <f>IFERROR(VLOOKUP(Risikovurdering!AG215,Akseptkriterier!$D$4:$E$8,2,FALSE),0)</f>
        <v>0</v>
      </c>
      <c r="G213" s="4">
        <f>IFERROR(VLOOKUP(Risikovurdering!AF215,Akseptkriterier!$F$4:$G$8,2,FALSE),0)</f>
        <v>0</v>
      </c>
      <c r="H213" s="4">
        <f>IFERROR(VLOOKUP(Risikovurdering!AH215,Akseptkriterier!$H$4:$I$8,2,FALSE),0)</f>
        <v>0</v>
      </c>
      <c r="M213" t="e">
        <f>VLOOKUP(Risikovurdering!D215,Verdivurdering!$B$2:$J$96,9,FALSE)</f>
        <v>#N/A</v>
      </c>
    </row>
    <row r="214" spans="1:13" x14ac:dyDescent="0.25">
      <c r="A214" s="30">
        <v>0</v>
      </c>
      <c r="B214" s="30">
        <v>0</v>
      </c>
      <c r="C214" s="30">
        <v>0</v>
      </c>
      <c r="D214" s="30">
        <v>0</v>
      </c>
      <c r="E214" s="30">
        <v>0</v>
      </c>
      <c r="F214" s="30">
        <v>0</v>
      </c>
      <c r="G214" s="30">
        <v>0</v>
      </c>
      <c r="H214" s="30">
        <v>0</v>
      </c>
      <c r="M214" t="e">
        <f>VLOOKUP(Risikovurdering!D216,Verdivurdering!$B$2:$J$96,9,FALSE)</f>
        <v>#N/A</v>
      </c>
    </row>
    <row r="215" spans="1:13" x14ac:dyDescent="0.25">
      <c r="A215" s="30">
        <v>0</v>
      </c>
      <c r="B215" s="30">
        <v>0</v>
      </c>
      <c r="C215" s="30">
        <v>0</v>
      </c>
      <c r="D215" s="30">
        <v>0</v>
      </c>
      <c r="E215" s="30">
        <v>0</v>
      </c>
      <c r="F215" s="30">
        <v>0</v>
      </c>
      <c r="G215" s="30">
        <v>0</v>
      </c>
      <c r="H215" s="30">
        <v>0</v>
      </c>
      <c r="M215" t="e">
        <f>VLOOKUP(Risikovurdering!D217,Verdivurdering!$B$2:$J$96,9,FALSE)</f>
        <v>#N/A</v>
      </c>
    </row>
    <row r="216" spans="1:13" x14ac:dyDescent="0.25">
      <c r="A216" s="30">
        <v>0</v>
      </c>
      <c r="B216" s="30">
        <v>0</v>
      </c>
      <c r="C216" s="30">
        <v>0</v>
      </c>
      <c r="D216" s="30">
        <v>0</v>
      </c>
      <c r="E216" s="30">
        <v>0</v>
      </c>
      <c r="F216" s="30">
        <v>0</v>
      </c>
      <c r="G216" s="30">
        <v>0</v>
      </c>
      <c r="H216" s="30">
        <v>0</v>
      </c>
      <c r="M216" t="e">
        <f>VLOOKUP(Risikovurdering!D218,Verdivurdering!$B$2:$J$96,9,FALSE)</f>
        <v>#N/A</v>
      </c>
    </row>
    <row r="217" spans="1:13" x14ac:dyDescent="0.25">
      <c r="A217" s="30">
        <v>0</v>
      </c>
      <c r="B217" s="30">
        <v>0</v>
      </c>
      <c r="C217" s="30">
        <v>0</v>
      </c>
      <c r="D217" s="30">
        <v>0</v>
      </c>
      <c r="E217" s="30">
        <v>0</v>
      </c>
      <c r="F217" s="30">
        <v>0</v>
      </c>
      <c r="G217" s="30">
        <v>0</v>
      </c>
      <c r="H217" s="30">
        <v>0</v>
      </c>
      <c r="M217" t="e">
        <f>VLOOKUP(Risikovurdering!D219,Verdivurdering!$B$2:$J$96,9,FALSE)</f>
        <v>#N/A</v>
      </c>
    </row>
    <row r="218" spans="1:13" x14ac:dyDescent="0.25">
      <c r="A218" s="30">
        <v>0</v>
      </c>
      <c r="B218" s="30">
        <v>0</v>
      </c>
      <c r="C218" s="30">
        <v>0</v>
      </c>
      <c r="D218" s="30">
        <v>0</v>
      </c>
      <c r="E218" s="30">
        <v>0</v>
      </c>
      <c r="F218" s="30">
        <v>0</v>
      </c>
      <c r="G218" s="30">
        <v>0</v>
      </c>
      <c r="H218" s="30">
        <v>0</v>
      </c>
      <c r="M218" t="e">
        <f>VLOOKUP(Risikovurdering!D220,Verdivurdering!$B$2:$J$96,9,FALSE)</f>
        <v>#N/A</v>
      </c>
    </row>
    <row r="219" spans="1:13" x14ac:dyDescent="0.25">
      <c r="A219" s="30">
        <v>0</v>
      </c>
      <c r="B219" s="30">
        <v>0</v>
      </c>
      <c r="C219" s="30">
        <v>0</v>
      </c>
      <c r="D219" s="30">
        <v>0</v>
      </c>
      <c r="E219" s="30">
        <v>0</v>
      </c>
      <c r="F219" s="30">
        <v>0</v>
      </c>
      <c r="G219" s="30">
        <v>0</v>
      </c>
      <c r="H219" s="30">
        <v>0</v>
      </c>
      <c r="M219" t="e">
        <f>VLOOKUP(Risikovurdering!D221,Verdivurdering!$B$2:$J$96,9,FALSE)</f>
        <v>#N/A</v>
      </c>
    </row>
    <row r="220" spans="1:13" x14ac:dyDescent="0.25">
      <c r="A220" s="30">
        <v>0</v>
      </c>
      <c r="B220" s="30">
        <v>0</v>
      </c>
      <c r="C220" s="30">
        <v>0</v>
      </c>
      <c r="D220" s="30">
        <v>0</v>
      </c>
      <c r="E220" s="30">
        <v>0</v>
      </c>
      <c r="F220" s="30">
        <v>0</v>
      </c>
      <c r="G220" s="30">
        <v>0</v>
      </c>
      <c r="H220" s="30">
        <v>0</v>
      </c>
      <c r="M220" t="e">
        <f>VLOOKUP(Risikovurdering!D222,Verdivurdering!$B$2:$J$96,9,FALSE)</f>
        <v>#N/A</v>
      </c>
    </row>
    <row r="221" spans="1:13" x14ac:dyDescent="0.25">
      <c r="A221" s="30">
        <v>0</v>
      </c>
      <c r="B221" s="30">
        <v>0</v>
      </c>
      <c r="C221" s="30">
        <v>0</v>
      </c>
      <c r="D221" s="30">
        <v>0</v>
      </c>
      <c r="E221" s="30">
        <v>0</v>
      </c>
      <c r="F221" s="30">
        <v>0</v>
      </c>
      <c r="G221" s="30">
        <v>0</v>
      </c>
      <c r="H221" s="30">
        <v>0</v>
      </c>
      <c r="M221" t="e">
        <f>VLOOKUP(Risikovurdering!D223,Verdivurdering!$B$2:$J$96,9,FALSE)</f>
        <v>#N/A</v>
      </c>
    </row>
    <row r="222" spans="1:13" x14ac:dyDescent="0.25">
      <c r="A222" s="30">
        <v>0</v>
      </c>
      <c r="B222" s="30">
        <v>0</v>
      </c>
      <c r="C222" s="30">
        <v>0</v>
      </c>
      <c r="D222" s="30">
        <v>0</v>
      </c>
      <c r="E222" s="30">
        <v>0</v>
      </c>
      <c r="F222" s="30">
        <v>0</v>
      </c>
      <c r="G222" s="30">
        <v>0</v>
      </c>
      <c r="H222" s="30">
        <v>0</v>
      </c>
      <c r="M222" t="e">
        <f>VLOOKUP(Risikovurdering!D224,Verdivurdering!$B$2:$J$96,9,FALSE)</f>
        <v>#N/A</v>
      </c>
    </row>
    <row r="223" spans="1:13" x14ac:dyDescent="0.25">
      <c r="A223" s="31" t="str">
        <f>"R"&amp;B223</f>
        <v>R23</v>
      </c>
      <c r="B223" s="4">
        <v>23</v>
      </c>
      <c r="C223" s="4">
        <f>IFERROR(VLOOKUP(Risikovurdering!T225,Akseptkriterier!$D$4:$E$8,2,FALSE),0)</f>
        <v>2</v>
      </c>
      <c r="D223" s="4">
        <f>IFERROR(VLOOKUP(Risikovurdering!R225,Akseptkriterier!$F$4:$G$8,2,FALSE),0)</f>
        <v>0</v>
      </c>
      <c r="E223" s="4">
        <f>IFERROR(VLOOKUP(Risikovurdering!U225,Akseptkriterier!$H$4:$I$8,2,FALSE),0)</f>
        <v>0</v>
      </c>
      <c r="F223" s="4">
        <f>IFERROR(VLOOKUP(Risikovurdering!AG225,Akseptkriterier!$D$4:$E$8,2,FALSE),0)</f>
        <v>0</v>
      </c>
      <c r="G223" s="4">
        <f>IFERROR(VLOOKUP(Risikovurdering!AF225,Akseptkriterier!$F$4:$G$8,2,FALSE),0)</f>
        <v>0</v>
      </c>
      <c r="H223" s="4">
        <f>IFERROR(VLOOKUP(Risikovurdering!AH225,Akseptkriterier!$H$4:$I$8,2,FALSE),0)</f>
        <v>0</v>
      </c>
      <c r="M223" t="e">
        <f>VLOOKUP(Risikovurdering!D225,Verdivurdering!$B$2:$J$96,9,FALSE)</f>
        <v>#N/A</v>
      </c>
    </row>
    <row r="224" spans="1:13" x14ac:dyDescent="0.25">
      <c r="A224" s="30">
        <v>0</v>
      </c>
      <c r="B224" s="30">
        <v>0</v>
      </c>
      <c r="C224" s="30">
        <v>0</v>
      </c>
      <c r="D224" s="30">
        <v>0</v>
      </c>
      <c r="E224" s="30">
        <v>0</v>
      </c>
      <c r="F224" s="30">
        <v>0</v>
      </c>
      <c r="G224" s="30">
        <v>0</v>
      </c>
      <c r="H224" s="30">
        <v>0</v>
      </c>
      <c r="M224" t="e">
        <f>VLOOKUP(Risikovurdering!D226,Verdivurdering!$B$2:$J$96,9,FALSE)</f>
        <v>#N/A</v>
      </c>
    </row>
    <row r="225" spans="1:13" x14ac:dyDescent="0.25">
      <c r="A225" s="30">
        <v>0</v>
      </c>
      <c r="B225" s="30">
        <v>0</v>
      </c>
      <c r="C225" s="30">
        <v>0</v>
      </c>
      <c r="D225" s="30">
        <v>0</v>
      </c>
      <c r="E225" s="30">
        <v>0</v>
      </c>
      <c r="F225" s="30">
        <v>0</v>
      </c>
      <c r="G225" s="30">
        <v>0</v>
      </c>
      <c r="H225" s="30">
        <v>0</v>
      </c>
      <c r="M225" t="e">
        <f>VLOOKUP(Risikovurdering!D227,Verdivurdering!$B$2:$J$96,9,FALSE)</f>
        <v>#N/A</v>
      </c>
    </row>
    <row r="226" spans="1:13" x14ac:dyDescent="0.25">
      <c r="A226" s="30">
        <v>0</v>
      </c>
      <c r="B226" s="30">
        <v>0</v>
      </c>
      <c r="C226" s="30">
        <v>0</v>
      </c>
      <c r="D226" s="30">
        <v>0</v>
      </c>
      <c r="E226" s="30">
        <v>0</v>
      </c>
      <c r="F226" s="30">
        <v>0</v>
      </c>
      <c r="G226" s="30">
        <v>0</v>
      </c>
      <c r="H226" s="30">
        <v>0</v>
      </c>
      <c r="M226" t="e">
        <f>VLOOKUP(Risikovurdering!D228,Verdivurdering!$B$2:$J$96,9,FALSE)</f>
        <v>#N/A</v>
      </c>
    </row>
    <row r="227" spans="1:13" x14ac:dyDescent="0.25">
      <c r="A227" s="30">
        <v>0</v>
      </c>
      <c r="B227" s="30">
        <v>0</v>
      </c>
      <c r="C227" s="30">
        <v>0</v>
      </c>
      <c r="D227" s="30">
        <v>0</v>
      </c>
      <c r="E227" s="30">
        <v>0</v>
      </c>
      <c r="F227" s="30">
        <v>0</v>
      </c>
      <c r="G227" s="30">
        <v>0</v>
      </c>
      <c r="H227" s="30">
        <v>0</v>
      </c>
      <c r="M227" t="e">
        <f>VLOOKUP(Risikovurdering!D229,Verdivurdering!$B$2:$J$96,9,FALSE)</f>
        <v>#N/A</v>
      </c>
    </row>
    <row r="228" spans="1:13" x14ac:dyDescent="0.25">
      <c r="A228" s="30">
        <v>0</v>
      </c>
      <c r="B228" s="30">
        <v>0</v>
      </c>
      <c r="C228" s="30">
        <v>0</v>
      </c>
      <c r="D228" s="30">
        <v>0</v>
      </c>
      <c r="E228" s="30">
        <v>0</v>
      </c>
      <c r="F228" s="30">
        <v>0</v>
      </c>
      <c r="G228" s="30">
        <v>0</v>
      </c>
      <c r="H228" s="30">
        <v>0</v>
      </c>
      <c r="M228" t="e">
        <f>VLOOKUP(Risikovurdering!D230,Verdivurdering!$B$2:$J$96,9,FALSE)</f>
        <v>#N/A</v>
      </c>
    </row>
    <row r="229" spans="1:13" x14ac:dyDescent="0.25">
      <c r="A229" s="30">
        <v>0</v>
      </c>
      <c r="B229" s="30">
        <v>0</v>
      </c>
      <c r="C229" s="30">
        <v>0</v>
      </c>
      <c r="D229" s="30">
        <v>0</v>
      </c>
      <c r="E229" s="30">
        <v>0</v>
      </c>
      <c r="F229" s="30">
        <v>0</v>
      </c>
      <c r="G229" s="30">
        <v>0</v>
      </c>
      <c r="H229" s="30">
        <v>0</v>
      </c>
      <c r="M229" t="e">
        <f>VLOOKUP(Risikovurdering!D231,Verdivurdering!$B$2:$J$96,9,FALSE)</f>
        <v>#N/A</v>
      </c>
    </row>
    <row r="230" spans="1:13" x14ac:dyDescent="0.25">
      <c r="A230" s="30">
        <v>0</v>
      </c>
      <c r="B230" s="30">
        <v>0</v>
      </c>
      <c r="C230" s="30">
        <v>0</v>
      </c>
      <c r="D230" s="30">
        <v>0</v>
      </c>
      <c r="E230" s="30">
        <v>0</v>
      </c>
      <c r="F230" s="30">
        <v>0</v>
      </c>
      <c r="G230" s="30">
        <v>0</v>
      </c>
      <c r="H230" s="30">
        <v>0</v>
      </c>
      <c r="M230" t="e">
        <f>VLOOKUP(Risikovurdering!D232,Verdivurdering!$B$2:$J$96,9,FALSE)</f>
        <v>#N/A</v>
      </c>
    </row>
    <row r="231" spans="1:13" x14ac:dyDescent="0.25">
      <c r="A231" s="30">
        <v>0</v>
      </c>
      <c r="B231" s="30">
        <v>0</v>
      </c>
      <c r="C231" s="30">
        <v>0</v>
      </c>
      <c r="D231" s="30">
        <v>0</v>
      </c>
      <c r="E231" s="30">
        <v>0</v>
      </c>
      <c r="F231" s="30">
        <v>0</v>
      </c>
      <c r="G231" s="30">
        <v>0</v>
      </c>
      <c r="H231" s="30">
        <v>0</v>
      </c>
      <c r="M231" t="e">
        <f>VLOOKUP(Risikovurdering!D233,Verdivurdering!$B$2:$J$96,9,FALSE)</f>
        <v>#N/A</v>
      </c>
    </row>
    <row r="232" spans="1:13" x14ac:dyDescent="0.25">
      <c r="A232" s="30">
        <v>0</v>
      </c>
      <c r="B232" s="30">
        <v>0</v>
      </c>
      <c r="C232" s="30">
        <v>0</v>
      </c>
      <c r="D232" s="30">
        <v>0</v>
      </c>
      <c r="E232" s="30">
        <v>0</v>
      </c>
      <c r="F232" s="30">
        <v>0</v>
      </c>
      <c r="G232" s="30">
        <v>0</v>
      </c>
      <c r="H232" s="30">
        <v>0</v>
      </c>
      <c r="M232" t="e">
        <f>VLOOKUP(Risikovurdering!D234,Verdivurdering!$B$2:$J$96,9,FALSE)</f>
        <v>#N/A</v>
      </c>
    </row>
    <row r="233" spans="1:13" x14ac:dyDescent="0.25">
      <c r="A233" s="31" t="str">
        <f>"R"&amp;B233</f>
        <v>R24</v>
      </c>
      <c r="B233" s="4">
        <v>24</v>
      </c>
      <c r="C233" s="4">
        <f>IFERROR(VLOOKUP(Risikovurdering!T235,Akseptkriterier!$D$4:$E$8,2,FALSE),0)</f>
        <v>0</v>
      </c>
      <c r="D233" s="4">
        <f>IFERROR(VLOOKUP(Risikovurdering!R235,Akseptkriterier!$F$4:$G$8,2,FALSE),0)</f>
        <v>0</v>
      </c>
      <c r="E233" s="4">
        <f>IFERROR(VLOOKUP(Risikovurdering!U235,Akseptkriterier!$H$4:$I$8,2,FALSE),0)</f>
        <v>0</v>
      </c>
      <c r="F233" s="4">
        <f>IFERROR(VLOOKUP(Risikovurdering!AG235,Akseptkriterier!$D$4:$E$8,2,FALSE),0)</f>
        <v>0</v>
      </c>
      <c r="G233" s="4">
        <f>IFERROR(VLOOKUP(Risikovurdering!AF235,Akseptkriterier!$F$4:$G$8,2,FALSE),0)</f>
        <v>0</v>
      </c>
      <c r="H233" s="4">
        <f>IFERROR(VLOOKUP(Risikovurdering!AH235,Akseptkriterier!$H$4:$I$8,2,FALSE),0)</f>
        <v>0</v>
      </c>
      <c r="M233" t="e">
        <f>VLOOKUP(Risikovurdering!D235,Verdivurdering!$B$2:$J$96,9,FALSE)</f>
        <v>#N/A</v>
      </c>
    </row>
    <row r="234" spans="1:13" x14ac:dyDescent="0.25">
      <c r="A234" s="30">
        <v>0</v>
      </c>
      <c r="B234" s="30">
        <v>0</v>
      </c>
      <c r="C234" s="30">
        <v>0</v>
      </c>
      <c r="D234" s="30">
        <v>0</v>
      </c>
      <c r="E234" s="30">
        <v>0</v>
      </c>
      <c r="F234" s="30">
        <v>0</v>
      </c>
      <c r="G234" s="30">
        <v>0</v>
      </c>
      <c r="H234" s="30">
        <v>0</v>
      </c>
      <c r="M234" t="e">
        <f>VLOOKUP(Risikovurdering!D236,Verdivurdering!$B$2:$J$96,9,FALSE)</f>
        <v>#N/A</v>
      </c>
    </row>
    <row r="235" spans="1:13" x14ac:dyDescent="0.25">
      <c r="A235" s="30">
        <v>0</v>
      </c>
      <c r="B235" s="30">
        <v>0</v>
      </c>
      <c r="C235" s="30">
        <v>0</v>
      </c>
      <c r="D235" s="30">
        <v>0</v>
      </c>
      <c r="E235" s="30">
        <v>0</v>
      </c>
      <c r="F235" s="30">
        <v>0</v>
      </c>
      <c r="G235" s="30">
        <v>0</v>
      </c>
      <c r="H235" s="30">
        <v>0</v>
      </c>
      <c r="M235" t="e">
        <f>VLOOKUP(Risikovurdering!D237,Verdivurdering!$B$2:$J$96,9,FALSE)</f>
        <v>#N/A</v>
      </c>
    </row>
    <row r="236" spans="1:13" x14ac:dyDescent="0.25">
      <c r="A236" s="30">
        <v>0</v>
      </c>
      <c r="B236" s="30">
        <v>0</v>
      </c>
      <c r="C236" s="30">
        <v>0</v>
      </c>
      <c r="D236" s="30">
        <v>0</v>
      </c>
      <c r="E236" s="30">
        <v>0</v>
      </c>
      <c r="F236" s="30">
        <v>0</v>
      </c>
      <c r="G236" s="30">
        <v>0</v>
      </c>
      <c r="H236" s="30">
        <v>0</v>
      </c>
      <c r="M236" t="e">
        <f>VLOOKUP(Risikovurdering!D238,Verdivurdering!$B$2:$J$96,9,FALSE)</f>
        <v>#N/A</v>
      </c>
    </row>
    <row r="237" spans="1:13" x14ac:dyDescent="0.25">
      <c r="A237" s="30">
        <v>0</v>
      </c>
      <c r="B237" s="30">
        <v>0</v>
      </c>
      <c r="C237" s="30">
        <v>0</v>
      </c>
      <c r="D237" s="30">
        <v>0</v>
      </c>
      <c r="E237" s="30">
        <v>0</v>
      </c>
      <c r="F237" s="30">
        <v>0</v>
      </c>
      <c r="G237" s="30">
        <v>0</v>
      </c>
      <c r="H237" s="30">
        <v>0</v>
      </c>
      <c r="M237" t="e">
        <f>VLOOKUP(Risikovurdering!D239,Verdivurdering!$B$2:$J$96,9,FALSE)</f>
        <v>#N/A</v>
      </c>
    </row>
    <row r="238" spans="1:13" x14ac:dyDescent="0.25">
      <c r="A238" s="30">
        <v>0</v>
      </c>
      <c r="B238" s="30">
        <v>0</v>
      </c>
      <c r="C238" s="30">
        <v>0</v>
      </c>
      <c r="D238" s="30">
        <v>0</v>
      </c>
      <c r="E238" s="30">
        <v>0</v>
      </c>
      <c r="F238" s="30">
        <v>0</v>
      </c>
      <c r="G238" s="30">
        <v>0</v>
      </c>
      <c r="H238" s="30">
        <v>0</v>
      </c>
      <c r="M238" t="e">
        <f>VLOOKUP(Risikovurdering!D240,Verdivurdering!$B$2:$J$96,9,FALSE)</f>
        <v>#N/A</v>
      </c>
    </row>
    <row r="239" spans="1:13" x14ac:dyDescent="0.25">
      <c r="A239" s="30">
        <v>0</v>
      </c>
      <c r="B239" s="30">
        <v>0</v>
      </c>
      <c r="C239" s="30">
        <v>0</v>
      </c>
      <c r="D239" s="30">
        <v>0</v>
      </c>
      <c r="E239" s="30">
        <v>0</v>
      </c>
      <c r="F239" s="30">
        <v>0</v>
      </c>
      <c r="G239" s="30">
        <v>0</v>
      </c>
      <c r="H239" s="30">
        <v>0</v>
      </c>
      <c r="M239" t="e">
        <f>VLOOKUP(Risikovurdering!D241,Verdivurdering!$B$2:$J$96,9,FALSE)</f>
        <v>#N/A</v>
      </c>
    </row>
    <row r="240" spans="1:13" x14ac:dyDescent="0.25">
      <c r="A240" s="30">
        <v>0</v>
      </c>
      <c r="B240" s="30">
        <v>0</v>
      </c>
      <c r="C240" s="30">
        <v>0</v>
      </c>
      <c r="D240" s="30">
        <v>0</v>
      </c>
      <c r="E240" s="30">
        <v>0</v>
      </c>
      <c r="F240" s="30">
        <v>0</v>
      </c>
      <c r="G240" s="30">
        <v>0</v>
      </c>
      <c r="H240" s="30">
        <v>0</v>
      </c>
      <c r="M240" t="e">
        <f>VLOOKUP(Risikovurdering!D242,Verdivurdering!$B$2:$J$96,9,FALSE)</f>
        <v>#N/A</v>
      </c>
    </row>
    <row r="241" spans="1:13" x14ac:dyDescent="0.25">
      <c r="A241" s="30">
        <v>0</v>
      </c>
      <c r="B241" s="30">
        <v>0</v>
      </c>
      <c r="C241" s="30">
        <v>0</v>
      </c>
      <c r="D241" s="30">
        <v>0</v>
      </c>
      <c r="E241" s="30">
        <v>0</v>
      </c>
      <c r="F241" s="30">
        <v>0</v>
      </c>
      <c r="G241" s="30">
        <v>0</v>
      </c>
      <c r="H241" s="30">
        <v>0</v>
      </c>
      <c r="M241" t="e">
        <f>VLOOKUP(Risikovurdering!D243,Verdivurdering!$B$2:$J$96,9,FALSE)</f>
        <v>#N/A</v>
      </c>
    </row>
    <row r="242" spans="1:13" x14ac:dyDescent="0.25">
      <c r="A242" s="30">
        <v>0</v>
      </c>
      <c r="B242" s="30">
        <v>0</v>
      </c>
      <c r="C242" s="30">
        <v>0</v>
      </c>
      <c r="D242" s="30">
        <v>0</v>
      </c>
      <c r="E242" s="30">
        <v>0</v>
      </c>
      <c r="F242" s="30">
        <v>0</v>
      </c>
      <c r="G242" s="30">
        <v>0</v>
      </c>
      <c r="H242" s="30">
        <v>0</v>
      </c>
      <c r="M242" t="e">
        <f>VLOOKUP(Risikovurdering!D244,Verdivurdering!$B$2:$J$96,9,FALSE)</f>
        <v>#N/A</v>
      </c>
    </row>
    <row r="243" spans="1:13" x14ac:dyDescent="0.25">
      <c r="A243" s="31" t="str">
        <f>"R"&amp;B243</f>
        <v>R25</v>
      </c>
      <c r="B243" s="4">
        <v>25</v>
      </c>
      <c r="C243" s="4">
        <f>IFERROR(VLOOKUP(Risikovurdering!T245,Akseptkriterier!$D$4:$E$8,2,FALSE),0)</f>
        <v>0</v>
      </c>
      <c r="D243" s="4">
        <f>IFERROR(VLOOKUP(Risikovurdering!R245,Akseptkriterier!$F$4:$G$8,2,FALSE),0)</f>
        <v>0</v>
      </c>
      <c r="E243" s="4">
        <f>IFERROR(VLOOKUP(Risikovurdering!U245,Akseptkriterier!$H$4:$I$8,2,FALSE),0)</f>
        <v>0</v>
      </c>
      <c r="F243" s="4">
        <f>IFERROR(VLOOKUP(Risikovurdering!AG245,Akseptkriterier!$D$4:$E$8,2,FALSE),0)</f>
        <v>0</v>
      </c>
      <c r="G243" s="4">
        <f>IFERROR(VLOOKUP(Risikovurdering!AF245,Akseptkriterier!$F$4:$G$8,2,FALSE),0)</f>
        <v>0</v>
      </c>
      <c r="H243" s="4">
        <f>IFERROR(VLOOKUP(Risikovurdering!AH245,Akseptkriterier!$H$4:$I$8,2,FALSE),0)</f>
        <v>0</v>
      </c>
      <c r="M243" t="e">
        <f>VLOOKUP(Risikovurdering!D245,Verdivurdering!$B$2:$J$96,9,FALSE)</f>
        <v>#N/A</v>
      </c>
    </row>
    <row r="244" spans="1:13" x14ac:dyDescent="0.25">
      <c r="A244" s="30">
        <v>0</v>
      </c>
      <c r="B244" s="30">
        <v>0</v>
      </c>
      <c r="C244" s="30">
        <v>0</v>
      </c>
      <c r="D244" s="30">
        <v>0</v>
      </c>
      <c r="E244" s="30">
        <v>0</v>
      </c>
      <c r="F244" s="30">
        <v>0</v>
      </c>
      <c r="G244" s="30">
        <v>0</v>
      </c>
      <c r="H244" s="30">
        <v>0</v>
      </c>
      <c r="M244" t="e">
        <f>VLOOKUP(Risikovurdering!D246,Verdivurdering!$B$2:$J$96,9,FALSE)</f>
        <v>#N/A</v>
      </c>
    </row>
    <row r="245" spans="1:13" x14ac:dyDescent="0.25">
      <c r="A245" s="30">
        <v>0</v>
      </c>
      <c r="B245" s="30">
        <v>0</v>
      </c>
      <c r="C245" s="30">
        <v>0</v>
      </c>
      <c r="D245" s="30">
        <v>0</v>
      </c>
      <c r="E245" s="30">
        <v>0</v>
      </c>
      <c r="F245" s="30">
        <v>0</v>
      </c>
      <c r="G245" s="30">
        <v>0</v>
      </c>
      <c r="H245" s="30">
        <v>0</v>
      </c>
      <c r="M245" t="e">
        <f>VLOOKUP(Risikovurdering!D247,Verdivurdering!$B$2:$J$96,9,FALSE)</f>
        <v>#N/A</v>
      </c>
    </row>
    <row r="246" spans="1:13" x14ac:dyDescent="0.25">
      <c r="A246" s="30">
        <v>0</v>
      </c>
      <c r="B246" s="30">
        <v>0</v>
      </c>
      <c r="C246" s="30">
        <v>0</v>
      </c>
      <c r="D246" s="30">
        <v>0</v>
      </c>
      <c r="E246" s="30">
        <v>0</v>
      </c>
      <c r="F246" s="30">
        <v>0</v>
      </c>
      <c r="G246" s="30">
        <v>0</v>
      </c>
      <c r="H246" s="30">
        <v>0</v>
      </c>
      <c r="M246" t="e">
        <f>VLOOKUP(Risikovurdering!D248,Verdivurdering!$B$2:$J$96,9,FALSE)</f>
        <v>#N/A</v>
      </c>
    </row>
    <row r="247" spans="1:13" x14ac:dyDescent="0.25">
      <c r="A247" s="30">
        <v>0</v>
      </c>
      <c r="B247" s="30">
        <v>0</v>
      </c>
      <c r="C247" s="30">
        <v>0</v>
      </c>
      <c r="D247" s="30">
        <v>0</v>
      </c>
      <c r="E247" s="30">
        <v>0</v>
      </c>
      <c r="F247" s="30">
        <v>0</v>
      </c>
      <c r="G247" s="30">
        <v>0</v>
      </c>
      <c r="H247" s="30">
        <v>0</v>
      </c>
      <c r="M247" t="e">
        <f>VLOOKUP(Risikovurdering!D249,Verdivurdering!$B$2:$J$96,9,FALSE)</f>
        <v>#N/A</v>
      </c>
    </row>
    <row r="248" spans="1:13" x14ac:dyDescent="0.25">
      <c r="A248" s="30">
        <v>0</v>
      </c>
      <c r="B248" s="30">
        <v>0</v>
      </c>
      <c r="C248" s="30">
        <v>0</v>
      </c>
      <c r="D248" s="30">
        <v>0</v>
      </c>
      <c r="E248" s="30">
        <v>0</v>
      </c>
      <c r="F248" s="30">
        <v>0</v>
      </c>
      <c r="G248" s="30">
        <v>0</v>
      </c>
      <c r="H248" s="30">
        <v>0</v>
      </c>
      <c r="M248" t="e">
        <f>VLOOKUP(Risikovurdering!D250,Verdivurdering!$B$2:$J$96,9,FALSE)</f>
        <v>#N/A</v>
      </c>
    </row>
    <row r="249" spans="1:13" x14ac:dyDescent="0.25">
      <c r="A249" s="30">
        <v>0</v>
      </c>
      <c r="B249" s="30">
        <v>0</v>
      </c>
      <c r="C249" s="30">
        <v>0</v>
      </c>
      <c r="D249" s="30">
        <v>0</v>
      </c>
      <c r="E249" s="30">
        <v>0</v>
      </c>
      <c r="F249" s="30">
        <v>0</v>
      </c>
      <c r="G249" s="30">
        <v>0</v>
      </c>
      <c r="H249" s="30">
        <v>0</v>
      </c>
      <c r="M249" t="e">
        <f>VLOOKUP(Risikovurdering!D251,Verdivurdering!$B$2:$J$96,9,FALSE)</f>
        <v>#N/A</v>
      </c>
    </row>
    <row r="250" spans="1:13" x14ac:dyDescent="0.25">
      <c r="A250" s="30">
        <v>0</v>
      </c>
      <c r="B250" s="30">
        <v>0</v>
      </c>
      <c r="C250" s="30">
        <v>0</v>
      </c>
      <c r="D250" s="30">
        <v>0</v>
      </c>
      <c r="E250" s="30">
        <v>0</v>
      </c>
      <c r="F250" s="30">
        <v>0</v>
      </c>
      <c r="G250" s="30">
        <v>0</v>
      </c>
      <c r="H250" s="30">
        <v>0</v>
      </c>
      <c r="M250" t="e">
        <f>VLOOKUP(Risikovurdering!D252,Verdivurdering!$B$2:$J$96,9,FALSE)</f>
        <v>#N/A</v>
      </c>
    </row>
    <row r="251" spans="1:13" x14ac:dyDescent="0.25">
      <c r="A251" s="30">
        <v>0</v>
      </c>
      <c r="B251" s="30">
        <v>0</v>
      </c>
      <c r="C251" s="30">
        <v>0</v>
      </c>
      <c r="D251" s="30">
        <v>0</v>
      </c>
      <c r="E251" s="30">
        <v>0</v>
      </c>
      <c r="F251" s="30">
        <v>0</v>
      </c>
      <c r="G251" s="30">
        <v>0</v>
      </c>
      <c r="H251" s="30">
        <v>0</v>
      </c>
      <c r="M251" t="e">
        <f>VLOOKUP(Risikovurdering!D253,Verdivurdering!$B$2:$J$96,9,FALSE)</f>
        <v>#N/A</v>
      </c>
    </row>
    <row r="252" spans="1:13" x14ac:dyDescent="0.25">
      <c r="A252" s="30">
        <v>0</v>
      </c>
      <c r="B252" s="30">
        <v>0</v>
      </c>
      <c r="C252" s="30">
        <v>0</v>
      </c>
      <c r="D252" s="30">
        <v>0</v>
      </c>
      <c r="E252" s="30">
        <v>0</v>
      </c>
      <c r="F252" s="30">
        <v>0</v>
      </c>
      <c r="G252" s="30">
        <v>0</v>
      </c>
      <c r="H252" s="30">
        <v>0</v>
      </c>
      <c r="M252" t="e">
        <f>VLOOKUP(Risikovurdering!D254,Verdivurdering!$B$2:$J$96,9,FALSE)</f>
        <v>#N/A</v>
      </c>
    </row>
    <row r="253" spans="1:13" x14ac:dyDescent="0.25">
      <c r="A253" s="31" t="str">
        <f>"R"&amp;B253</f>
        <v>R26</v>
      </c>
      <c r="B253" s="4">
        <v>26</v>
      </c>
      <c r="C253" s="4">
        <f>IFERROR(VLOOKUP(Risikovurdering!T255,Akseptkriterier!$D$4:$E$8,2,FALSE),0)</f>
        <v>0</v>
      </c>
      <c r="D253" s="4">
        <f>IFERROR(VLOOKUP(Risikovurdering!R255,Akseptkriterier!$F$4:$G$8,2,FALSE),0)</f>
        <v>0</v>
      </c>
      <c r="E253" s="4">
        <f>IFERROR(VLOOKUP(Risikovurdering!U255,Akseptkriterier!$H$4:$I$8,2,FALSE),0)</f>
        <v>0</v>
      </c>
      <c r="F253" s="4">
        <f>IFERROR(VLOOKUP(Risikovurdering!AG255,Akseptkriterier!$D$4:$E$8,2,FALSE),0)</f>
        <v>0</v>
      </c>
      <c r="G253" s="4">
        <f>IFERROR(VLOOKUP(Risikovurdering!AF255,Akseptkriterier!$F$4:$G$8,2,FALSE),0)</f>
        <v>0</v>
      </c>
      <c r="H253" s="4">
        <f>IFERROR(VLOOKUP(Risikovurdering!AH255,Akseptkriterier!$H$4:$I$8,2,FALSE),0)</f>
        <v>0</v>
      </c>
      <c r="M253" t="e">
        <f>VLOOKUP(Risikovurdering!D255,Verdivurdering!$B$2:$J$96,9,FALSE)</f>
        <v>#N/A</v>
      </c>
    </row>
    <row r="254" spans="1:13" x14ac:dyDescent="0.25">
      <c r="A254" s="30">
        <v>0</v>
      </c>
      <c r="B254" s="30">
        <v>0</v>
      </c>
      <c r="C254" s="30">
        <v>0</v>
      </c>
      <c r="D254" s="30">
        <v>0</v>
      </c>
      <c r="E254" s="30">
        <v>0</v>
      </c>
      <c r="F254" s="30">
        <v>0</v>
      </c>
      <c r="G254" s="30">
        <v>0</v>
      </c>
      <c r="H254" s="30">
        <v>0</v>
      </c>
      <c r="M254" t="e">
        <f>VLOOKUP(Risikovurdering!D256,Verdivurdering!$B$2:$J$96,9,FALSE)</f>
        <v>#N/A</v>
      </c>
    </row>
    <row r="255" spans="1:13" x14ac:dyDescent="0.25">
      <c r="A255" s="30">
        <v>0</v>
      </c>
      <c r="B255" s="30">
        <v>0</v>
      </c>
      <c r="C255" s="30">
        <v>0</v>
      </c>
      <c r="D255" s="30">
        <v>0</v>
      </c>
      <c r="E255" s="30">
        <v>0</v>
      </c>
      <c r="F255" s="30">
        <v>0</v>
      </c>
      <c r="G255" s="30">
        <v>0</v>
      </c>
      <c r="H255" s="30">
        <v>0</v>
      </c>
      <c r="M255" t="e">
        <f>VLOOKUP(Risikovurdering!D257,Verdivurdering!$B$2:$J$96,9,FALSE)</f>
        <v>#N/A</v>
      </c>
    </row>
    <row r="256" spans="1:13" x14ac:dyDescent="0.25">
      <c r="A256" s="30">
        <v>0</v>
      </c>
      <c r="B256" s="30">
        <v>0</v>
      </c>
      <c r="C256" s="30">
        <v>0</v>
      </c>
      <c r="D256" s="30">
        <v>0</v>
      </c>
      <c r="E256" s="30">
        <v>0</v>
      </c>
      <c r="F256" s="30">
        <v>0</v>
      </c>
      <c r="G256" s="30">
        <v>0</v>
      </c>
      <c r="H256" s="30">
        <v>0</v>
      </c>
      <c r="M256" t="e">
        <f>VLOOKUP(Risikovurdering!D258,Verdivurdering!$B$2:$J$96,9,FALSE)</f>
        <v>#N/A</v>
      </c>
    </row>
    <row r="257" spans="1:13" x14ac:dyDescent="0.25">
      <c r="A257" s="30">
        <v>0</v>
      </c>
      <c r="B257" s="30">
        <v>0</v>
      </c>
      <c r="C257" s="30">
        <v>0</v>
      </c>
      <c r="D257" s="30">
        <v>0</v>
      </c>
      <c r="E257" s="30">
        <v>0</v>
      </c>
      <c r="F257" s="30">
        <v>0</v>
      </c>
      <c r="G257" s="30">
        <v>0</v>
      </c>
      <c r="H257" s="30">
        <v>0</v>
      </c>
      <c r="M257" t="e">
        <f>VLOOKUP(Risikovurdering!D259,Verdivurdering!$B$2:$J$96,9,FALSE)</f>
        <v>#N/A</v>
      </c>
    </row>
    <row r="258" spans="1:13" x14ac:dyDescent="0.25">
      <c r="A258" s="30">
        <v>0</v>
      </c>
      <c r="B258" s="30">
        <v>0</v>
      </c>
      <c r="C258" s="30">
        <v>0</v>
      </c>
      <c r="D258" s="30">
        <v>0</v>
      </c>
      <c r="E258" s="30">
        <v>0</v>
      </c>
      <c r="F258" s="30">
        <v>0</v>
      </c>
      <c r="G258" s="30">
        <v>0</v>
      </c>
      <c r="H258" s="30">
        <v>0</v>
      </c>
      <c r="M258" t="e">
        <f>VLOOKUP(Risikovurdering!D260,Verdivurdering!$B$2:$J$96,9,FALSE)</f>
        <v>#N/A</v>
      </c>
    </row>
    <row r="259" spans="1:13" x14ac:dyDescent="0.25">
      <c r="A259" s="30">
        <v>0</v>
      </c>
      <c r="B259" s="30">
        <v>0</v>
      </c>
      <c r="C259" s="30">
        <v>0</v>
      </c>
      <c r="D259" s="30">
        <v>0</v>
      </c>
      <c r="E259" s="30">
        <v>0</v>
      </c>
      <c r="F259" s="30">
        <v>0</v>
      </c>
      <c r="G259" s="30">
        <v>0</v>
      </c>
      <c r="H259" s="30">
        <v>0</v>
      </c>
      <c r="M259" t="e">
        <f>VLOOKUP(Risikovurdering!D261,Verdivurdering!$B$2:$J$96,9,FALSE)</f>
        <v>#N/A</v>
      </c>
    </row>
    <row r="260" spans="1:13" x14ac:dyDescent="0.25">
      <c r="A260" s="30">
        <v>0</v>
      </c>
      <c r="B260" s="30">
        <v>0</v>
      </c>
      <c r="C260" s="30">
        <v>0</v>
      </c>
      <c r="D260" s="30">
        <v>0</v>
      </c>
      <c r="E260" s="30">
        <v>0</v>
      </c>
      <c r="F260" s="30">
        <v>0</v>
      </c>
      <c r="G260" s="30">
        <v>0</v>
      </c>
      <c r="H260" s="30">
        <v>0</v>
      </c>
      <c r="M260" t="e">
        <f>VLOOKUP(Risikovurdering!D262,Verdivurdering!$B$2:$J$96,9,FALSE)</f>
        <v>#N/A</v>
      </c>
    </row>
    <row r="261" spans="1:13" x14ac:dyDescent="0.25">
      <c r="A261" s="30">
        <v>0</v>
      </c>
      <c r="B261" s="30">
        <v>0</v>
      </c>
      <c r="C261" s="30">
        <v>0</v>
      </c>
      <c r="D261" s="30">
        <v>0</v>
      </c>
      <c r="E261" s="30">
        <v>0</v>
      </c>
      <c r="F261" s="30">
        <v>0</v>
      </c>
      <c r="G261" s="30">
        <v>0</v>
      </c>
      <c r="H261" s="30">
        <v>0</v>
      </c>
      <c r="M261" t="e">
        <f>VLOOKUP(Risikovurdering!D263,Verdivurdering!$B$2:$J$96,9,FALSE)</f>
        <v>#N/A</v>
      </c>
    </row>
    <row r="262" spans="1:13" x14ac:dyDescent="0.25">
      <c r="A262" s="30">
        <v>0</v>
      </c>
      <c r="B262" s="30">
        <v>0</v>
      </c>
      <c r="C262" s="30">
        <v>0</v>
      </c>
      <c r="D262" s="30">
        <v>0</v>
      </c>
      <c r="E262" s="30">
        <v>0</v>
      </c>
      <c r="F262" s="30">
        <v>0</v>
      </c>
      <c r="G262" s="30">
        <v>0</v>
      </c>
      <c r="H262" s="30">
        <v>0</v>
      </c>
      <c r="M262" t="e">
        <f>VLOOKUP(Risikovurdering!D264,Verdivurdering!$B$2:$J$96,9,FALSE)</f>
        <v>#N/A</v>
      </c>
    </row>
    <row r="263" spans="1:13" x14ac:dyDescent="0.25">
      <c r="A263" s="31" t="str">
        <f>"R"&amp;B263</f>
        <v>R27</v>
      </c>
      <c r="B263" s="4">
        <v>27</v>
      </c>
      <c r="C263" s="4">
        <f>IFERROR(VLOOKUP(Risikovurdering!T265,Akseptkriterier!$D$4:$E$8,2,FALSE),0)</f>
        <v>0</v>
      </c>
      <c r="D263" s="4">
        <f>IFERROR(VLOOKUP(Risikovurdering!R265,Akseptkriterier!$F$4:$G$8,2,FALSE),0)</f>
        <v>0</v>
      </c>
      <c r="E263" s="4">
        <f>IFERROR(VLOOKUP(Risikovurdering!U265,Akseptkriterier!$H$4:$I$8,2,FALSE),0)</f>
        <v>0</v>
      </c>
      <c r="F263" s="4">
        <f>IFERROR(VLOOKUP(Risikovurdering!AG265,Akseptkriterier!$D$4:$E$8,2,FALSE),0)</f>
        <v>0</v>
      </c>
      <c r="G263" s="4">
        <f>IFERROR(VLOOKUP(Risikovurdering!AF265,Akseptkriterier!$F$4:$G$8,2,FALSE),0)</f>
        <v>0</v>
      </c>
      <c r="H263" s="4">
        <f>IFERROR(VLOOKUP(Risikovurdering!AH265,Akseptkriterier!$H$4:$I$8,2,FALSE),0)</f>
        <v>0</v>
      </c>
      <c r="M263" t="e">
        <f>VLOOKUP(Risikovurdering!D265,Verdivurdering!$B$2:$J$96,9,FALSE)</f>
        <v>#N/A</v>
      </c>
    </row>
    <row r="264" spans="1:13" x14ac:dyDescent="0.25">
      <c r="A264" s="30">
        <v>0</v>
      </c>
      <c r="B264" s="30">
        <v>0</v>
      </c>
      <c r="C264" s="30">
        <v>0</v>
      </c>
      <c r="D264" s="30">
        <v>0</v>
      </c>
      <c r="E264" s="30">
        <v>0</v>
      </c>
      <c r="F264" s="30">
        <v>0</v>
      </c>
      <c r="G264" s="30">
        <v>0</v>
      </c>
      <c r="H264" s="30">
        <v>0</v>
      </c>
      <c r="M264" t="e">
        <f>VLOOKUP(Risikovurdering!D266,Verdivurdering!$B$2:$J$96,9,FALSE)</f>
        <v>#N/A</v>
      </c>
    </row>
    <row r="265" spans="1:13" x14ac:dyDescent="0.25">
      <c r="A265" s="30">
        <v>0</v>
      </c>
      <c r="B265" s="30">
        <v>0</v>
      </c>
      <c r="C265" s="30">
        <v>0</v>
      </c>
      <c r="D265" s="30">
        <v>0</v>
      </c>
      <c r="E265" s="30">
        <v>0</v>
      </c>
      <c r="F265" s="30">
        <v>0</v>
      </c>
      <c r="G265" s="30">
        <v>0</v>
      </c>
      <c r="H265" s="30">
        <v>0</v>
      </c>
      <c r="M265" t="e">
        <f>VLOOKUP(Risikovurdering!D267,Verdivurdering!$B$2:$J$96,9,FALSE)</f>
        <v>#N/A</v>
      </c>
    </row>
    <row r="266" spans="1:13" x14ac:dyDescent="0.25">
      <c r="A266" s="30">
        <v>0</v>
      </c>
      <c r="B266" s="30">
        <v>0</v>
      </c>
      <c r="C266" s="30">
        <v>0</v>
      </c>
      <c r="D266" s="30">
        <v>0</v>
      </c>
      <c r="E266" s="30">
        <v>0</v>
      </c>
      <c r="F266" s="30">
        <v>0</v>
      </c>
      <c r="G266" s="30">
        <v>0</v>
      </c>
      <c r="H266" s="30">
        <v>0</v>
      </c>
      <c r="M266" t="e">
        <f>VLOOKUP(Risikovurdering!D268,Verdivurdering!$B$2:$J$96,9,FALSE)</f>
        <v>#N/A</v>
      </c>
    </row>
    <row r="267" spans="1:13" x14ac:dyDescent="0.25">
      <c r="A267" s="30">
        <v>0</v>
      </c>
      <c r="B267" s="30">
        <v>0</v>
      </c>
      <c r="C267" s="30">
        <v>0</v>
      </c>
      <c r="D267" s="30">
        <v>0</v>
      </c>
      <c r="E267" s="30">
        <v>0</v>
      </c>
      <c r="F267" s="30">
        <v>0</v>
      </c>
      <c r="G267" s="30">
        <v>0</v>
      </c>
      <c r="H267" s="30">
        <v>0</v>
      </c>
      <c r="M267" t="e">
        <f>VLOOKUP(Risikovurdering!D269,Verdivurdering!$B$2:$J$96,9,FALSE)</f>
        <v>#N/A</v>
      </c>
    </row>
    <row r="268" spans="1:13" x14ac:dyDescent="0.25">
      <c r="A268" s="30">
        <v>0</v>
      </c>
      <c r="B268" s="30">
        <v>0</v>
      </c>
      <c r="C268" s="30">
        <v>0</v>
      </c>
      <c r="D268" s="30">
        <v>0</v>
      </c>
      <c r="E268" s="30">
        <v>0</v>
      </c>
      <c r="F268" s="30">
        <v>0</v>
      </c>
      <c r="G268" s="30">
        <v>0</v>
      </c>
      <c r="H268" s="30">
        <v>0</v>
      </c>
      <c r="M268" t="e">
        <f>VLOOKUP(Risikovurdering!D270,Verdivurdering!$B$2:$J$96,9,FALSE)</f>
        <v>#N/A</v>
      </c>
    </row>
    <row r="269" spans="1:13" x14ac:dyDescent="0.25">
      <c r="A269" s="30">
        <v>0</v>
      </c>
      <c r="B269" s="30">
        <v>0</v>
      </c>
      <c r="C269" s="30">
        <v>0</v>
      </c>
      <c r="D269" s="30">
        <v>0</v>
      </c>
      <c r="E269" s="30">
        <v>0</v>
      </c>
      <c r="F269" s="30">
        <v>0</v>
      </c>
      <c r="G269" s="30">
        <v>0</v>
      </c>
      <c r="H269" s="30">
        <v>0</v>
      </c>
      <c r="M269" t="e">
        <f>VLOOKUP(Risikovurdering!D271,Verdivurdering!$B$2:$J$96,9,FALSE)</f>
        <v>#N/A</v>
      </c>
    </row>
    <row r="270" spans="1:13" x14ac:dyDescent="0.25">
      <c r="A270" s="30">
        <v>0</v>
      </c>
      <c r="B270" s="30">
        <v>0</v>
      </c>
      <c r="C270" s="30">
        <v>0</v>
      </c>
      <c r="D270" s="30">
        <v>0</v>
      </c>
      <c r="E270" s="30">
        <v>0</v>
      </c>
      <c r="F270" s="30">
        <v>0</v>
      </c>
      <c r="G270" s="30">
        <v>0</v>
      </c>
      <c r="H270" s="30">
        <v>0</v>
      </c>
      <c r="M270" t="e">
        <f>VLOOKUP(Risikovurdering!D272,Verdivurdering!$B$2:$J$96,9,FALSE)</f>
        <v>#N/A</v>
      </c>
    </row>
    <row r="271" spans="1:13" x14ac:dyDescent="0.25">
      <c r="A271" s="30">
        <v>0</v>
      </c>
      <c r="B271" s="30">
        <v>0</v>
      </c>
      <c r="C271" s="30">
        <v>0</v>
      </c>
      <c r="D271" s="30">
        <v>0</v>
      </c>
      <c r="E271" s="30">
        <v>0</v>
      </c>
      <c r="F271" s="30">
        <v>0</v>
      </c>
      <c r="G271" s="30">
        <v>0</v>
      </c>
      <c r="H271" s="30">
        <v>0</v>
      </c>
      <c r="M271" t="e">
        <f>VLOOKUP(Risikovurdering!D273,Verdivurdering!$B$2:$J$96,9,FALSE)</f>
        <v>#N/A</v>
      </c>
    </row>
    <row r="272" spans="1:13" x14ac:dyDescent="0.25">
      <c r="A272" s="30">
        <v>0</v>
      </c>
      <c r="B272" s="30">
        <v>0</v>
      </c>
      <c r="C272" s="30">
        <v>0</v>
      </c>
      <c r="D272" s="30">
        <v>0</v>
      </c>
      <c r="E272" s="30">
        <v>0</v>
      </c>
      <c r="F272" s="30">
        <v>0</v>
      </c>
      <c r="G272" s="30">
        <v>0</v>
      </c>
      <c r="H272" s="30">
        <v>0</v>
      </c>
      <c r="M272" t="e">
        <f>VLOOKUP(Risikovurdering!D274,Verdivurdering!$B$2:$J$96,9,FALSE)</f>
        <v>#N/A</v>
      </c>
    </row>
    <row r="273" spans="1:13" x14ac:dyDescent="0.25">
      <c r="A273" s="31" t="str">
        <f>"R"&amp;B273</f>
        <v>R28</v>
      </c>
      <c r="B273" s="4">
        <v>28</v>
      </c>
      <c r="C273" s="4">
        <f>IFERROR(VLOOKUP(Risikovurdering!T275,Akseptkriterier!$D$4:$E$8,2,FALSE),0)</f>
        <v>0</v>
      </c>
      <c r="D273" s="4">
        <f>IFERROR(VLOOKUP(Risikovurdering!R275,Akseptkriterier!$F$4:$G$8,2,FALSE),0)</f>
        <v>0</v>
      </c>
      <c r="E273" s="4">
        <f>IFERROR(VLOOKUP(Risikovurdering!U275,Akseptkriterier!$H$4:$I$8,2,FALSE),0)</f>
        <v>0</v>
      </c>
      <c r="F273" s="4">
        <f>IFERROR(VLOOKUP(Risikovurdering!AG275,Akseptkriterier!$D$4:$E$8,2,FALSE),0)</f>
        <v>0</v>
      </c>
      <c r="G273" s="4">
        <f>IFERROR(VLOOKUP(Risikovurdering!AF275,Akseptkriterier!$F$4:$G$8,2,FALSE),0)</f>
        <v>0</v>
      </c>
      <c r="H273" s="4">
        <f>IFERROR(VLOOKUP(Risikovurdering!AH275,Akseptkriterier!$H$4:$I$8,2,FALSE),0)</f>
        <v>0</v>
      </c>
      <c r="M273" t="e">
        <f>VLOOKUP(Risikovurdering!D275,Verdivurdering!$B$2:$J$96,9,FALSE)</f>
        <v>#N/A</v>
      </c>
    </row>
    <row r="274" spans="1:13" x14ac:dyDescent="0.25">
      <c r="A274" s="30">
        <v>0</v>
      </c>
      <c r="B274" s="30">
        <v>0</v>
      </c>
      <c r="C274" s="30">
        <v>0</v>
      </c>
      <c r="D274" s="30">
        <v>0</v>
      </c>
      <c r="E274" s="30">
        <v>0</v>
      </c>
      <c r="F274" s="30">
        <v>0</v>
      </c>
      <c r="G274" s="30">
        <v>0</v>
      </c>
      <c r="H274" s="30">
        <v>0</v>
      </c>
      <c r="M274" t="e">
        <f>VLOOKUP(Risikovurdering!D276,Verdivurdering!$B$2:$J$96,9,FALSE)</f>
        <v>#N/A</v>
      </c>
    </row>
    <row r="275" spans="1:13" x14ac:dyDescent="0.25">
      <c r="A275" s="30">
        <v>0</v>
      </c>
      <c r="B275" s="30">
        <v>0</v>
      </c>
      <c r="C275" s="30">
        <v>0</v>
      </c>
      <c r="D275" s="30">
        <v>0</v>
      </c>
      <c r="E275" s="30">
        <v>0</v>
      </c>
      <c r="F275" s="30">
        <v>0</v>
      </c>
      <c r="G275" s="30">
        <v>0</v>
      </c>
      <c r="H275" s="30">
        <v>0</v>
      </c>
      <c r="M275" t="e">
        <f>VLOOKUP(Risikovurdering!D277,Verdivurdering!$B$2:$J$96,9,FALSE)</f>
        <v>#N/A</v>
      </c>
    </row>
    <row r="276" spans="1:13" x14ac:dyDescent="0.25">
      <c r="A276" s="30">
        <v>0</v>
      </c>
      <c r="B276" s="30">
        <v>0</v>
      </c>
      <c r="C276" s="30">
        <v>0</v>
      </c>
      <c r="D276" s="30">
        <v>0</v>
      </c>
      <c r="E276" s="30">
        <v>0</v>
      </c>
      <c r="F276" s="30">
        <v>0</v>
      </c>
      <c r="G276" s="30">
        <v>0</v>
      </c>
      <c r="H276" s="30">
        <v>0</v>
      </c>
      <c r="M276" t="e">
        <f>VLOOKUP(Risikovurdering!D278,Verdivurdering!$B$2:$J$96,9,FALSE)</f>
        <v>#N/A</v>
      </c>
    </row>
    <row r="277" spans="1:13" x14ac:dyDescent="0.25">
      <c r="A277" s="30">
        <v>0</v>
      </c>
      <c r="B277" s="30">
        <v>0</v>
      </c>
      <c r="C277" s="30">
        <v>0</v>
      </c>
      <c r="D277" s="30">
        <v>0</v>
      </c>
      <c r="E277" s="30">
        <v>0</v>
      </c>
      <c r="F277" s="30">
        <v>0</v>
      </c>
      <c r="G277" s="30">
        <v>0</v>
      </c>
      <c r="H277" s="30">
        <v>0</v>
      </c>
      <c r="M277" t="e">
        <f>VLOOKUP(Risikovurdering!D279,Verdivurdering!$B$2:$J$96,9,FALSE)</f>
        <v>#N/A</v>
      </c>
    </row>
    <row r="278" spans="1:13" x14ac:dyDescent="0.25">
      <c r="A278" s="30">
        <v>0</v>
      </c>
      <c r="B278" s="30">
        <v>0</v>
      </c>
      <c r="C278" s="30">
        <v>0</v>
      </c>
      <c r="D278" s="30">
        <v>0</v>
      </c>
      <c r="E278" s="30">
        <v>0</v>
      </c>
      <c r="F278" s="30">
        <v>0</v>
      </c>
      <c r="G278" s="30">
        <v>0</v>
      </c>
      <c r="H278" s="30">
        <v>0</v>
      </c>
      <c r="M278" t="e">
        <f>VLOOKUP(Risikovurdering!D280,Verdivurdering!$B$2:$J$96,9,FALSE)</f>
        <v>#N/A</v>
      </c>
    </row>
    <row r="279" spans="1:13" x14ac:dyDescent="0.25">
      <c r="A279" s="30">
        <v>0</v>
      </c>
      <c r="B279" s="30">
        <v>0</v>
      </c>
      <c r="C279" s="30">
        <v>0</v>
      </c>
      <c r="D279" s="30">
        <v>0</v>
      </c>
      <c r="E279" s="30">
        <v>0</v>
      </c>
      <c r="F279" s="30">
        <v>0</v>
      </c>
      <c r="G279" s="30">
        <v>0</v>
      </c>
      <c r="H279" s="30">
        <v>0</v>
      </c>
      <c r="M279" t="e">
        <f>VLOOKUP(Risikovurdering!D281,Verdivurdering!$B$2:$J$96,9,FALSE)</f>
        <v>#N/A</v>
      </c>
    </row>
    <row r="280" spans="1:13" x14ac:dyDescent="0.25">
      <c r="A280" s="30">
        <v>0</v>
      </c>
      <c r="B280" s="30">
        <v>0</v>
      </c>
      <c r="C280" s="30">
        <v>0</v>
      </c>
      <c r="D280" s="30">
        <v>0</v>
      </c>
      <c r="E280" s="30">
        <v>0</v>
      </c>
      <c r="F280" s="30">
        <v>0</v>
      </c>
      <c r="G280" s="30">
        <v>0</v>
      </c>
      <c r="H280" s="30">
        <v>0</v>
      </c>
      <c r="M280" t="e">
        <f>VLOOKUP(Risikovurdering!D282,Verdivurdering!$B$2:$J$96,9,FALSE)</f>
        <v>#N/A</v>
      </c>
    </row>
    <row r="281" spans="1:13" x14ac:dyDescent="0.25">
      <c r="A281" s="30">
        <v>0</v>
      </c>
      <c r="B281" s="30">
        <v>0</v>
      </c>
      <c r="C281" s="30">
        <v>0</v>
      </c>
      <c r="D281" s="30">
        <v>0</v>
      </c>
      <c r="E281" s="30">
        <v>0</v>
      </c>
      <c r="F281" s="30">
        <v>0</v>
      </c>
      <c r="G281" s="30">
        <v>0</v>
      </c>
      <c r="H281" s="30">
        <v>0</v>
      </c>
      <c r="M281" t="e">
        <f>VLOOKUP(Risikovurdering!D283,Verdivurdering!$B$2:$J$96,9,FALSE)</f>
        <v>#N/A</v>
      </c>
    </row>
    <row r="282" spans="1:13" x14ac:dyDescent="0.25">
      <c r="A282" s="30">
        <v>0</v>
      </c>
      <c r="B282" s="30">
        <v>0</v>
      </c>
      <c r="C282" s="30">
        <v>0</v>
      </c>
      <c r="D282" s="30">
        <v>0</v>
      </c>
      <c r="E282" s="30">
        <v>0</v>
      </c>
      <c r="F282" s="30">
        <v>0</v>
      </c>
      <c r="G282" s="30">
        <v>0</v>
      </c>
      <c r="H282" s="30">
        <v>0</v>
      </c>
      <c r="M282" t="e">
        <f>VLOOKUP(Risikovurdering!D284,Verdivurdering!$B$2:$J$96,9,FALSE)</f>
        <v>#N/A</v>
      </c>
    </row>
    <row r="283" spans="1:13" x14ac:dyDescent="0.25">
      <c r="A283" s="31" t="str">
        <f>"R"&amp;B283</f>
        <v>R29</v>
      </c>
      <c r="B283" s="4">
        <v>29</v>
      </c>
      <c r="C283" s="4">
        <f>IFERROR(VLOOKUP(Risikovurdering!T285,Akseptkriterier!$D$4:$E$8,2,FALSE),0)</f>
        <v>0</v>
      </c>
      <c r="D283" s="4">
        <f>IFERROR(VLOOKUP(Risikovurdering!R285,Akseptkriterier!$F$4:$G$8,2,FALSE),0)</f>
        <v>0</v>
      </c>
      <c r="E283" s="4">
        <f>IFERROR(VLOOKUP(Risikovurdering!U285,Akseptkriterier!$H$4:$I$8,2,FALSE),0)</f>
        <v>0</v>
      </c>
      <c r="F283" s="4">
        <f>IFERROR(VLOOKUP(Risikovurdering!AG285,Akseptkriterier!$D$4:$E$8,2,FALSE),0)</f>
        <v>0</v>
      </c>
      <c r="G283" s="4">
        <f>IFERROR(VLOOKUP(Risikovurdering!AF285,Akseptkriterier!$F$4:$G$8,2,FALSE),0)</f>
        <v>0</v>
      </c>
      <c r="H283" s="4">
        <f>IFERROR(VLOOKUP(Risikovurdering!AH285,Akseptkriterier!$H$4:$I$8,2,FALSE),0)</f>
        <v>0</v>
      </c>
      <c r="M283" t="e">
        <f>VLOOKUP(Risikovurdering!D285,Verdivurdering!$B$2:$J$96,9,FALSE)</f>
        <v>#N/A</v>
      </c>
    </row>
    <row r="284" spans="1:13" x14ac:dyDescent="0.25">
      <c r="A284" s="30">
        <v>0</v>
      </c>
      <c r="B284" s="30">
        <v>0</v>
      </c>
      <c r="C284" s="30">
        <v>0</v>
      </c>
      <c r="D284" s="30">
        <v>0</v>
      </c>
      <c r="E284" s="30">
        <v>0</v>
      </c>
      <c r="F284" s="30">
        <v>0</v>
      </c>
      <c r="G284" s="30">
        <v>0</v>
      </c>
      <c r="H284" s="30">
        <v>0</v>
      </c>
      <c r="M284" t="e">
        <f>VLOOKUP(Risikovurdering!D286,Verdivurdering!$B$2:$J$96,9,FALSE)</f>
        <v>#N/A</v>
      </c>
    </row>
    <row r="285" spans="1:13" x14ac:dyDescent="0.25">
      <c r="A285" s="30">
        <v>0</v>
      </c>
      <c r="B285" s="30">
        <v>0</v>
      </c>
      <c r="C285" s="30">
        <v>0</v>
      </c>
      <c r="D285" s="30">
        <v>0</v>
      </c>
      <c r="E285" s="30">
        <v>0</v>
      </c>
      <c r="F285" s="30">
        <v>0</v>
      </c>
      <c r="G285" s="30">
        <v>0</v>
      </c>
      <c r="H285" s="30">
        <v>0</v>
      </c>
      <c r="M285" t="e">
        <f>VLOOKUP(Risikovurdering!D287,Verdivurdering!$B$2:$J$96,9,FALSE)</f>
        <v>#N/A</v>
      </c>
    </row>
    <row r="286" spans="1:13" x14ac:dyDescent="0.25">
      <c r="A286" s="30">
        <v>0</v>
      </c>
      <c r="B286" s="30">
        <v>0</v>
      </c>
      <c r="C286" s="30">
        <v>0</v>
      </c>
      <c r="D286" s="30">
        <v>0</v>
      </c>
      <c r="E286" s="30">
        <v>0</v>
      </c>
      <c r="F286" s="30">
        <v>0</v>
      </c>
      <c r="G286" s="30">
        <v>0</v>
      </c>
      <c r="H286" s="30">
        <v>0</v>
      </c>
      <c r="M286" t="e">
        <f>VLOOKUP(Risikovurdering!D288,Verdivurdering!$B$2:$J$96,9,FALSE)</f>
        <v>#N/A</v>
      </c>
    </row>
    <row r="287" spans="1:13" x14ac:dyDescent="0.25">
      <c r="A287" s="30">
        <v>0</v>
      </c>
      <c r="B287" s="30">
        <v>0</v>
      </c>
      <c r="C287" s="30">
        <v>0</v>
      </c>
      <c r="D287" s="30">
        <v>0</v>
      </c>
      <c r="E287" s="30">
        <v>0</v>
      </c>
      <c r="F287" s="30">
        <v>0</v>
      </c>
      <c r="G287" s="30">
        <v>0</v>
      </c>
      <c r="H287" s="30">
        <v>0</v>
      </c>
      <c r="M287" t="e">
        <f>VLOOKUP(Risikovurdering!D289,Verdivurdering!$B$2:$J$96,9,FALSE)</f>
        <v>#N/A</v>
      </c>
    </row>
    <row r="288" spans="1:13" x14ac:dyDescent="0.25">
      <c r="A288" s="30">
        <v>0</v>
      </c>
      <c r="B288" s="30">
        <v>0</v>
      </c>
      <c r="C288" s="30">
        <v>0</v>
      </c>
      <c r="D288" s="30">
        <v>0</v>
      </c>
      <c r="E288" s="30">
        <v>0</v>
      </c>
      <c r="F288" s="30">
        <v>0</v>
      </c>
      <c r="G288" s="30">
        <v>0</v>
      </c>
      <c r="H288" s="30">
        <v>0</v>
      </c>
      <c r="M288" t="e">
        <f>VLOOKUP(Risikovurdering!D290,Verdivurdering!$B$2:$J$96,9,FALSE)</f>
        <v>#N/A</v>
      </c>
    </row>
    <row r="289" spans="1:13" x14ac:dyDescent="0.25">
      <c r="A289" s="30">
        <v>0</v>
      </c>
      <c r="B289" s="30">
        <v>0</v>
      </c>
      <c r="C289" s="30">
        <v>0</v>
      </c>
      <c r="D289" s="30">
        <v>0</v>
      </c>
      <c r="E289" s="30">
        <v>0</v>
      </c>
      <c r="F289" s="30">
        <v>0</v>
      </c>
      <c r="G289" s="30">
        <v>0</v>
      </c>
      <c r="H289" s="30">
        <v>0</v>
      </c>
      <c r="M289" t="e">
        <f>VLOOKUP(Risikovurdering!D291,Verdivurdering!$B$2:$J$96,9,FALSE)</f>
        <v>#N/A</v>
      </c>
    </row>
    <row r="290" spans="1:13" x14ac:dyDescent="0.25">
      <c r="A290" s="30">
        <v>0</v>
      </c>
      <c r="B290" s="30">
        <v>0</v>
      </c>
      <c r="C290" s="30">
        <v>0</v>
      </c>
      <c r="D290" s="30">
        <v>0</v>
      </c>
      <c r="E290" s="30">
        <v>0</v>
      </c>
      <c r="F290" s="30">
        <v>0</v>
      </c>
      <c r="G290" s="30">
        <v>0</v>
      </c>
      <c r="H290" s="30">
        <v>0</v>
      </c>
      <c r="M290" t="e">
        <f>VLOOKUP(Risikovurdering!D292,Verdivurdering!$B$2:$J$96,9,FALSE)</f>
        <v>#N/A</v>
      </c>
    </row>
    <row r="291" spans="1:13" x14ac:dyDescent="0.25">
      <c r="A291" s="30">
        <v>0</v>
      </c>
      <c r="B291" s="30">
        <v>0</v>
      </c>
      <c r="C291" s="30">
        <v>0</v>
      </c>
      <c r="D291" s="30">
        <v>0</v>
      </c>
      <c r="E291" s="30">
        <v>0</v>
      </c>
      <c r="F291" s="30">
        <v>0</v>
      </c>
      <c r="G291" s="30">
        <v>0</v>
      </c>
      <c r="H291" s="30">
        <v>0</v>
      </c>
      <c r="M291" t="e">
        <f>VLOOKUP(Risikovurdering!D293,Verdivurdering!$B$2:$J$96,9,FALSE)</f>
        <v>#N/A</v>
      </c>
    </row>
    <row r="292" spans="1:13" x14ac:dyDescent="0.25">
      <c r="A292" s="30">
        <v>0</v>
      </c>
      <c r="B292" s="30">
        <v>0</v>
      </c>
      <c r="C292" s="30">
        <v>0</v>
      </c>
      <c r="D292" s="30">
        <v>0</v>
      </c>
      <c r="E292" s="30">
        <v>0</v>
      </c>
      <c r="F292" s="30">
        <v>0</v>
      </c>
      <c r="G292" s="30">
        <v>0</v>
      </c>
      <c r="H292" s="30">
        <v>0</v>
      </c>
      <c r="M292" t="e">
        <f>VLOOKUP(Risikovurdering!D294,Verdivurdering!$B$2:$J$96,9,FALSE)</f>
        <v>#N/A</v>
      </c>
    </row>
    <row r="293" spans="1:13" x14ac:dyDescent="0.25">
      <c r="A293" s="31" t="str">
        <f>"R"&amp;B293</f>
        <v>R30</v>
      </c>
      <c r="B293" s="4">
        <v>30</v>
      </c>
      <c r="C293" s="4">
        <f>IFERROR(VLOOKUP(Risikovurdering!T295,Akseptkriterier!$D$4:$E$8,2,FALSE),0)</f>
        <v>0</v>
      </c>
      <c r="D293" s="4">
        <f>IFERROR(VLOOKUP(Risikovurdering!R295,Akseptkriterier!$F$4:$G$8,2,FALSE),0)</f>
        <v>0</v>
      </c>
      <c r="E293" s="4">
        <f>IFERROR(VLOOKUP(Risikovurdering!U295,Akseptkriterier!$H$4:$I$8,2,FALSE),0)</f>
        <v>0</v>
      </c>
      <c r="F293" s="4">
        <f>IFERROR(VLOOKUP(Risikovurdering!AG295,Akseptkriterier!$D$4:$E$8,2,FALSE),0)</f>
        <v>0</v>
      </c>
      <c r="G293" s="4">
        <f>IFERROR(VLOOKUP(Risikovurdering!AF295,Akseptkriterier!$F$4:$G$8,2,FALSE),0)</f>
        <v>0</v>
      </c>
      <c r="H293" s="4">
        <f>IFERROR(VLOOKUP(Risikovurdering!AH295,Akseptkriterier!$H$4:$I$8,2,FALSE),0)</f>
        <v>0</v>
      </c>
      <c r="M293" t="e">
        <f>VLOOKUP(Risikovurdering!D295,Verdivurdering!$B$2:$J$96,9,FALSE)</f>
        <v>#N/A</v>
      </c>
    </row>
    <row r="294" spans="1:13" x14ac:dyDescent="0.25">
      <c r="A294" s="30">
        <v>0</v>
      </c>
      <c r="B294" s="30">
        <v>0</v>
      </c>
      <c r="C294" s="30">
        <v>0</v>
      </c>
      <c r="D294" s="30">
        <v>0</v>
      </c>
      <c r="E294" s="30">
        <v>0</v>
      </c>
      <c r="F294" s="30">
        <v>0</v>
      </c>
      <c r="G294" s="30">
        <v>0</v>
      </c>
      <c r="H294" s="30">
        <v>0</v>
      </c>
      <c r="M294" t="e">
        <f>VLOOKUP(Risikovurdering!D296,Verdivurdering!$B$2:$J$96,9,FALSE)</f>
        <v>#N/A</v>
      </c>
    </row>
    <row r="295" spans="1:13" x14ac:dyDescent="0.25">
      <c r="A295" s="30">
        <v>0</v>
      </c>
      <c r="B295" s="30">
        <v>0</v>
      </c>
      <c r="C295" s="30">
        <v>0</v>
      </c>
      <c r="D295" s="30">
        <v>0</v>
      </c>
      <c r="E295" s="30">
        <v>0</v>
      </c>
      <c r="F295" s="30">
        <v>0</v>
      </c>
      <c r="G295" s="30">
        <v>0</v>
      </c>
      <c r="H295" s="30">
        <v>0</v>
      </c>
      <c r="M295" t="e">
        <f>VLOOKUP(Risikovurdering!D297,Verdivurdering!$B$2:$J$96,9,FALSE)</f>
        <v>#N/A</v>
      </c>
    </row>
    <row r="296" spans="1:13" x14ac:dyDescent="0.25">
      <c r="A296" s="30">
        <v>0</v>
      </c>
      <c r="B296" s="30">
        <v>0</v>
      </c>
      <c r="C296" s="30">
        <v>0</v>
      </c>
      <c r="D296" s="30">
        <v>0</v>
      </c>
      <c r="E296" s="30">
        <v>0</v>
      </c>
      <c r="F296" s="30">
        <v>0</v>
      </c>
      <c r="G296" s="30">
        <v>0</v>
      </c>
      <c r="H296" s="30">
        <v>0</v>
      </c>
      <c r="M296" t="e">
        <f>VLOOKUP(Risikovurdering!D298,Verdivurdering!$B$2:$J$96,9,FALSE)</f>
        <v>#N/A</v>
      </c>
    </row>
    <row r="297" spans="1:13" x14ac:dyDescent="0.25">
      <c r="A297" s="30">
        <v>0</v>
      </c>
      <c r="B297" s="30">
        <v>0</v>
      </c>
      <c r="C297" s="30">
        <v>0</v>
      </c>
      <c r="D297" s="30">
        <v>0</v>
      </c>
      <c r="E297" s="30">
        <v>0</v>
      </c>
      <c r="F297" s="30">
        <v>0</v>
      </c>
      <c r="G297" s="30">
        <v>0</v>
      </c>
      <c r="H297" s="30">
        <v>0</v>
      </c>
      <c r="M297" t="e">
        <f>VLOOKUP(Risikovurdering!D299,Verdivurdering!$B$2:$J$96,9,FALSE)</f>
        <v>#N/A</v>
      </c>
    </row>
    <row r="298" spans="1:13" x14ac:dyDescent="0.25">
      <c r="A298" s="30">
        <v>0</v>
      </c>
      <c r="B298" s="30">
        <v>0</v>
      </c>
      <c r="C298" s="30">
        <v>0</v>
      </c>
      <c r="D298" s="30">
        <v>0</v>
      </c>
      <c r="E298" s="30">
        <v>0</v>
      </c>
      <c r="F298" s="30">
        <v>0</v>
      </c>
      <c r="G298" s="30">
        <v>0</v>
      </c>
      <c r="H298" s="30">
        <v>0</v>
      </c>
      <c r="M298" t="e">
        <f>VLOOKUP(Risikovurdering!D300,Verdivurdering!$B$2:$J$96,9,FALSE)</f>
        <v>#N/A</v>
      </c>
    </row>
    <row r="299" spans="1:13" x14ac:dyDescent="0.25">
      <c r="A299" s="30">
        <v>0</v>
      </c>
      <c r="B299" s="30">
        <v>0</v>
      </c>
      <c r="C299" s="30">
        <v>0</v>
      </c>
      <c r="D299" s="30">
        <v>0</v>
      </c>
      <c r="E299" s="30">
        <v>0</v>
      </c>
      <c r="F299" s="30">
        <v>0</v>
      </c>
      <c r="G299" s="30">
        <v>0</v>
      </c>
      <c r="H299" s="30">
        <v>0</v>
      </c>
      <c r="M299" t="e">
        <f>VLOOKUP(Risikovurdering!D301,Verdivurdering!$B$2:$J$96,9,FALSE)</f>
        <v>#N/A</v>
      </c>
    </row>
    <row r="300" spans="1:13" x14ac:dyDescent="0.25">
      <c r="A300" s="30">
        <v>0</v>
      </c>
      <c r="B300" s="30">
        <v>0</v>
      </c>
      <c r="C300" s="30">
        <v>0</v>
      </c>
      <c r="D300" s="30">
        <v>0</v>
      </c>
      <c r="E300" s="30">
        <v>0</v>
      </c>
      <c r="F300" s="30">
        <v>0</v>
      </c>
      <c r="G300" s="30">
        <v>0</v>
      </c>
      <c r="H300" s="30">
        <v>0</v>
      </c>
      <c r="M300" t="e">
        <f>VLOOKUP(Risikovurdering!D302,Verdivurdering!$B$2:$J$96,9,FALSE)</f>
        <v>#N/A</v>
      </c>
    </row>
    <row r="301" spans="1:13" x14ac:dyDescent="0.25">
      <c r="A301" s="30">
        <v>0</v>
      </c>
      <c r="B301" s="30">
        <v>0</v>
      </c>
      <c r="C301" s="30">
        <v>0</v>
      </c>
      <c r="D301" s="30">
        <v>0</v>
      </c>
      <c r="E301" s="30">
        <v>0</v>
      </c>
      <c r="F301" s="30">
        <v>0</v>
      </c>
      <c r="G301" s="30">
        <v>0</v>
      </c>
      <c r="H301" s="30">
        <v>0</v>
      </c>
      <c r="M301" t="e">
        <f>VLOOKUP(Risikovurdering!D303,Verdivurdering!$B$2:$J$96,9,FALSE)</f>
        <v>#N/A</v>
      </c>
    </row>
    <row r="302" spans="1:13" x14ac:dyDescent="0.25">
      <c r="A302" s="30">
        <v>0</v>
      </c>
      <c r="B302" s="30">
        <v>0</v>
      </c>
      <c r="C302" s="30">
        <v>0</v>
      </c>
      <c r="D302" s="30">
        <v>0</v>
      </c>
      <c r="E302" s="30">
        <v>0</v>
      </c>
      <c r="F302" s="30">
        <v>0</v>
      </c>
      <c r="G302" s="30">
        <v>0</v>
      </c>
      <c r="H302" s="30">
        <v>0</v>
      </c>
      <c r="M302" t="e">
        <f>VLOOKUP(Risikovurdering!D304,Verdivurdering!$B$2:$J$96,9,FALSE)</f>
        <v>#N/A</v>
      </c>
    </row>
    <row r="303" spans="1:13" x14ac:dyDescent="0.25">
      <c r="A303" s="31" t="str">
        <f>"R"&amp;B303</f>
        <v>R31</v>
      </c>
      <c r="B303" s="4">
        <v>31</v>
      </c>
      <c r="C303" s="4">
        <f>IFERROR(VLOOKUP(Risikovurdering!T305,Akseptkriterier!$D$4:$E$8,2,FALSE),0)</f>
        <v>0</v>
      </c>
      <c r="D303" s="4">
        <f>IFERROR(VLOOKUP(Risikovurdering!R305,Akseptkriterier!$F$4:$G$8,2,FALSE),0)</f>
        <v>0</v>
      </c>
      <c r="E303" s="4">
        <f>IFERROR(VLOOKUP(Risikovurdering!U305,Akseptkriterier!$H$4:$I$8,2,FALSE),0)</f>
        <v>0</v>
      </c>
      <c r="F303" s="4">
        <f>IFERROR(VLOOKUP(Risikovurdering!AG305,Akseptkriterier!$D$4:$E$8,2,FALSE),0)</f>
        <v>0</v>
      </c>
      <c r="G303" s="4">
        <f>IFERROR(VLOOKUP(Risikovurdering!AF305,Akseptkriterier!$F$4:$G$8,2,FALSE),0)</f>
        <v>0</v>
      </c>
      <c r="H303" s="4">
        <f>IFERROR(VLOOKUP(Risikovurdering!AH305,Akseptkriterier!$H$4:$I$8,2,FALSE),0)</f>
        <v>0</v>
      </c>
      <c r="M303" t="e">
        <f>VLOOKUP(Risikovurdering!D305,Verdivurdering!$B$2:$J$96,9,FALSE)</f>
        <v>#N/A</v>
      </c>
    </row>
    <row r="304" spans="1:13" x14ac:dyDescent="0.25">
      <c r="A304" s="30">
        <v>0</v>
      </c>
      <c r="B304" s="30">
        <v>0</v>
      </c>
      <c r="C304" s="30">
        <v>0</v>
      </c>
      <c r="D304" s="30">
        <v>0</v>
      </c>
      <c r="E304" s="30">
        <v>0</v>
      </c>
      <c r="F304" s="30">
        <v>0</v>
      </c>
      <c r="G304" s="30">
        <v>0</v>
      </c>
      <c r="H304" s="30">
        <v>0</v>
      </c>
      <c r="M304" t="e">
        <f>VLOOKUP(Risikovurdering!D306,Verdivurdering!$B$2:$J$96,9,FALSE)</f>
        <v>#N/A</v>
      </c>
    </row>
    <row r="305" spans="1:13" x14ac:dyDescent="0.25">
      <c r="A305" s="30">
        <v>0</v>
      </c>
      <c r="B305" s="30">
        <v>0</v>
      </c>
      <c r="C305" s="30">
        <v>0</v>
      </c>
      <c r="D305" s="30">
        <v>0</v>
      </c>
      <c r="E305" s="30">
        <v>0</v>
      </c>
      <c r="F305" s="30">
        <v>0</v>
      </c>
      <c r="G305" s="30">
        <v>0</v>
      </c>
      <c r="H305" s="30">
        <v>0</v>
      </c>
      <c r="M305" t="e">
        <f>VLOOKUP(Risikovurdering!D307,Verdivurdering!$B$2:$J$96,9,FALSE)</f>
        <v>#N/A</v>
      </c>
    </row>
    <row r="306" spans="1:13" x14ac:dyDescent="0.25">
      <c r="A306" s="30">
        <v>0</v>
      </c>
      <c r="B306" s="30">
        <v>0</v>
      </c>
      <c r="C306" s="30">
        <v>0</v>
      </c>
      <c r="D306" s="30">
        <v>0</v>
      </c>
      <c r="E306" s="30">
        <v>0</v>
      </c>
      <c r="F306" s="30">
        <v>0</v>
      </c>
      <c r="G306" s="30">
        <v>0</v>
      </c>
      <c r="H306" s="30">
        <v>0</v>
      </c>
      <c r="M306" t="e">
        <f>VLOOKUP(Risikovurdering!D308,Verdivurdering!$B$2:$J$96,9,FALSE)</f>
        <v>#N/A</v>
      </c>
    </row>
    <row r="307" spans="1:13" x14ac:dyDescent="0.25">
      <c r="A307" s="30">
        <v>0</v>
      </c>
      <c r="B307" s="30">
        <v>0</v>
      </c>
      <c r="C307" s="30">
        <v>0</v>
      </c>
      <c r="D307" s="30">
        <v>0</v>
      </c>
      <c r="E307" s="30">
        <v>0</v>
      </c>
      <c r="F307" s="30">
        <v>0</v>
      </c>
      <c r="G307" s="30">
        <v>0</v>
      </c>
      <c r="H307" s="30">
        <v>0</v>
      </c>
      <c r="M307" t="e">
        <f>VLOOKUP(Risikovurdering!D309,Verdivurdering!$B$2:$J$96,9,FALSE)</f>
        <v>#N/A</v>
      </c>
    </row>
    <row r="308" spans="1:13" x14ac:dyDescent="0.25">
      <c r="A308" s="30">
        <v>0</v>
      </c>
      <c r="B308" s="30">
        <v>0</v>
      </c>
      <c r="C308" s="30">
        <v>0</v>
      </c>
      <c r="D308" s="30">
        <v>0</v>
      </c>
      <c r="E308" s="30">
        <v>0</v>
      </c>
      <c r="F308" s="30">
        <v>0</v>
      </c>
      <c r="G308" s="30">
        <v>0</v>
      </c>
      <c r="H308" s="30">
        <v>0</v>
      </c>
      <c r="M308" t="e">
        <f>VLOOKUP(Risikovurdering!D310,Verdivurdering!$B$2:$J$96,9,FALSE)</f>
        <v>#N/A</v>
      </c>
    </row>
    <row r="309" spans="1:13" x14ac:dyDescent="0.25">
      <c r="A309" s="30">
        <v>0</v>
      </c>
      <c r="B309" s="30">
        <v>0</v>
      </c>
      <c r="C309" s="30">
        <v>0</v>
      </c>
      <c r="D309" s="30">
        <v>0</v>
      </c>
      <c r="E309" s="30">
        <v>0</v>
      </c>
      <c r="F309" s="30">
        <v>0</v>
      </c>
      <c r="G309" s="30">
        <v>0</v>
      </c>
      <c r="H309" s="30">
        <v>0</v>
      </c>
      <c r="M309" t="e">
        <f>VLOOKUP(Risikovurdering!D311,Verdivurdering!$B$2:$J$96,9,FALSE)</f>
        <v>#N/A</v>
      </c>
    </row>
    <row r="310" spans="1:13" x14ac:dyDescent="0.25">
      <c r="A310" s="30">
        <v>0</v>
      </c>
      <c r="B310" s="30">
        <v>0</v>
      </c>
      <c r="C310" s="30">
        <v>0</v>
      </c>
      <c r="D310" s="30">
        <v>0</v>
      </c>
      <c r="E310" s="30">
        <v>0</v>
      </c>
      <c r="F310" s="30">
        <v>0</v>
      </c>
      <c r="G310" s="30">
        <v>0</v>
      </c>
      <c r="H310" s="30">
        <v>0</v>
      </c>
      <c r="M310" t="e">
        <f>VLOOKUP(Risikovurdering!D312,Verdivurdering!$B$2:$J$96,9,FALSE)</f>
        <v>#N/A</v>
      </c>
    </row>
    <row r="311" spans="1:13" x14ac:dyDescent="0.25">
      <c r="A311" s="30">
        <v>0</v>
      </c>
      <c r="B311" s="30">
        <v>0</v>
      </c>
      <c r="C311" s="30">
        <v>0</v>
      </c>
      <c r="D311" s="30">
        <v>0</v>
      </c>
      <c r="E311" s="30">
        <v>0</v>
      </c>
      <c r="F311" s="30">
        <v>0</v>
      </c>
      <c r="G311" s="30">
        <v>0</v>
      </c>
      <c r="H311" s="30">
        <v>0</v>
      </c>
      <c r="M311" t="e">
        <f>VLOOKUP(Risikovurdering!D313,Verdivurdering!$B$2:$J$96,9,FALSE)</f>
        <v>#N/A</v>
      </c>
    </row>
    <row r="312" spans="1:13" x14ac:dyDescent="0.25">
      <c r="A312" s="30">
        <v>0</v>
      </c>
      <c r="B312" s="30">
        <v>0</v>
      </c>
      <c r="C312" s="30">
        <v>0</v>
      </c>
      <c r="D312" s="30">
        <v>0</v>
      </c>
      <c r="E312" s="30">
        <v>0</v>
      </c>
      <c r="F312" s="30">
        <v>0</v>
      </c>
      <c r="G312" s="30">
        <v>0</v>
      </c>
      <c r="H312" s="30">
        <v>0</v>
      </c>
      <c r="M312" t="e">
        <f>VLOOKUP(Risikovurdering!D314,Verdivurdering!$B$2:$J$96,9,FALSE)</f>
        <v>#N/A</v>
      </c>
    </row>
    <row r="313" spans="1:13" x14ac:dyDescent="0.25">
      <c r="A313" s="31" t="str">
        <f>"R"&amp;B313</f>
        <v>R32</v>
      </c>
      <c r="B313" s="4">
        <v>32</v>
      </c>
      <c r="C313" s="4">
        <f>IFERROR(VLOOKUP(Risikovurdering!T315,Akseptkriterier!$D$4:$E$8,2,FALSE),0)</f>
        <v>0</v>
      </c>
      <c r="D313" s="4">
        <f>IFERROR(VLOOKUP(Risikovurdering!R315,Akseptkriterier!$F$4:$G$8,2,FALSE),0)</f>
        <v>0</v>
      </c>
      <c r="E313" s="4">
        <f>IFERROR(VLOOKUP(Risikovurdering!U315,Akseptkriterier!$H$4:$I$8,2,FALSE),0)</f>
        <v>0</v>
      </c>
      <c r="F313" s="4">
        <f>IFERROR(VLOOKUP(Risikovurdering!AG315,Akseptkriterier!$D$4:$E$8,2,FALSE),0)</f>
        <v>0</v>
      </c>
      <c r="G313" s="4">
        <f>IFERROR(VLOOKUP(Risikovurdering!AF315,Akseptkriterier!$F$4:$G$8,2,FALSE),0)</f>
        <v>0</v>
      </c>
      <c r="H313" s="4">
        <f>IFERROR(VLOOKUP(Risikovurdering!AH315,Akseptkriterier!$H$4:$I$8,2,FALSE),0)</f>
        <v>0</v>
      </c>
      <c r="M313" t="e">
        <f>VLOOKUP(Risikovurdering!D315,Verdivurdering!$B$2:$J$96,9,FALSE)</f>
        <v>#N/A</v>
      </c>
    </row>
    <row r="314" spans="1:13" x14ac:dyDescent="0.25">
      <c r="A314" s="30">
        <v>0</v>
      </c>
      <c r="B314" s="30">
        <v>0</v>
      </c>
      <c r="C314" s="30">
        <v>0</v>
      </c>
      <c r="D314" s="30">
        <v>0</v>
      </c>
      <c r="E314" s="30">
        <v>0</v>
      </c>
      <c r="F314" s="30">
        <v>0</v>
      </c>
      <c r="G314" s="30">
        <v>0</v>
      </c>
      <c r="H314" s="30">
        <v>0</v>
      </c>
      <c r="M314" t="e">
        <f>VLOOKUP(Risikovurdering!D316,Verdivurdering!$B$2:$J$96,9,FALSE)</f>
        <v>#N/A</v>
      </c>
    </row>
    <row r="315" spans="1:13" x14ac:dyDescent="0.25">
      <c r="A315" s="30">
        <v>0</v>
      </c>
      <c r="B315" s="30">
        <v>0</v>
      </c>
      <c r="C315" s="30">
        <v>0</v>
      </c>
      <c r="D315" s="30">
        <v>0</v>
      </c>
      <c r="E315" s="30">
        <v>0</v>
      </c>
      <c r="F315" s="30">
        <v>0</v>
      </c>
      <c r="G315" s="30">
        <v>0</v>
      </c>
      <c r="H315" s="30">
        <v>0</v>
      </c>
      <c r="M315" t="e">
        <f>VLOOKUP(Risikovurdering!D317,Verdivurdering!$B$2:$J$96,9,FALSE)</f>
        <v>#N/A</v>
      </c>
    </row>
    <row r="316" spans="1:13" x14ac:dyDescent="0.25">
      <c r="A316" s="30">
        <v>0</v>
      </c>
      <c r="B316" s="30">
        <v>0</v>
      </c>
      <c r="C316" s="30">
        <v>0</v>
      </c>
      <c r="D316" s="30">
        <v>0</v>
      </c>
      <c r="E316" s="30">
        <v>0</v>
      </c>
      <c r="F316" s="30">
        <v>0</v>
      </c>
      <c r="G316" s="30">
        <v>0</v>
      </c>
      <c r="H316" s="30">
        <v>0</v>
      </c>
      <c r="M316" t="e">
        <f>VLOOKUP(Risikovurdering!D318,Verdivurdering!$B$2:$J$96,9,FALSE)</f>
        <v>#N/A</v>
      </c>
    </row>
    <row r="317" spans="1:13" x14ac:dyDescent="0.25">
      <c r="A317" s="30">
        <v>0</v>
      </c>
      <c r="B317" s="30">
        <v>0</v>
      </c>
      <c r="C317" s="30">
        <v>0</v>
      </c>
      <c r="D317" s="30">
        <v>0</v>
      </c>
      <c r="E317" s="30">
        <v>0</v>
      </c>
      <c r="F317" s="30">
        <v>0</v>
      </c>
      <c r="G317" s="30">
        <v>0</v>
      </c>
      <c r="H317" s="30">
        <v>0</v>
      </c>
      <c r="M317" t="e">
        <f>VLOOKUP(Risikovurdering!D319,Verdivurdering!$B$2:$J$96,9,FALSE)</f>
        <v>#N/A</v>
      </c>
    </row>
    <row r="318" spans="1:13" x14ac:dyDescent="0.25">
      <c r="A318" s="30">
        <v>0</v>
      </c>
      <c r="B318" s="30">
        <v>0</v>
      </c>
      <c r="C318" s="30">
        <v>0</v>
      </c>
      <c r="D318" s="30">
        <v>0</v>
      </c>
      <c r="E318" s="30">
        <v>0</v>
      </c>
      <c r="F318" s="30">
        <v>0</v>
      </c>
      <c r="G318" s="30">
        <v>0</v>
      </c>
      <c r="H318" s="30">
        <v>0</v>
      </c>
      <c r="M318" t="e">
        <f>VLOOKUP(Risikovurdering!D320,Verdivurdering!$B$2:$J$96,9,FALSE)</f>
        <v>#N/A</v>
      </c>
    </row>
    <row r="319" spans="1:13" x14ac:dyDescent="0.25">
      <c r="A319" s="30">
        <v>0</v>
      </c>
      <c r="B319" s="30">
        <v>0</v>
      </c>
      <c r="C319" s="30">
        <v>0</v>
      </c>
      <c r="D319" s="30">
        <v>0</v>
      </c>
      <c r="E319" s="30">
        <v>0</v>
      </c>
      <c r="F319" s="30">
        <v>0</v>
      </c>
      <c r="G319" s="30">
        <v>0</v>
      </c>
      <c r="H319" s="30">
        <v>0</v>
      </c>
      <c r="M319" t="e">
        <f>VLOOKUP(Risikovurdering!D321,Verdivurdering!$B$2:$J$96,9,FALSE)</f>
        <v>#N/A</v>
      </c>
    </row>
    <row r="320" spans="1:13" x14ac:dyDescent="0.25">
      <c r="A320" s="30">
        <v>0</v>
      </c>
      <c r="B320" s="30">
        <v>0</v>
      </c>
      <c r="C320" s="30">
        <v>0</v>
      </c>
      <c r="D320" s="30">
        <v>0</v>
      </c>
      <c r="E320" s="30">
        <v>0</v>
      </c>
      <c r="F320" s="30">
        <v>0</v>
      </c>
      <c r="G320" s="30">
        <v>0</v>
      </c>
      <c r="H320" s="30">
        <v>0</v>
      </c>
      <c r="M320" t="e">
        <f>VLOOKUP(Risikovurdering!D322,Verdivurdering!$B$2:$J$96,9,FALSE)</f>
        <v>#N/A</v>
      </c>
    </row>
    <row r="321" spans="1:13" x14ac:dyDescent="0.25">
      <c r="A321" s="30">
        <v>0</v>
      </c>
      <c r="B321" s="30">
        <v>0</v>
      </c>
      <c r="C321" s="30">
        <v>0</v>
      </c>
      <c r="D321" s="30">
        <v>0</v>
      </c>
      <c r="E321" s="30">
        <v>0</v>
      </c>
      <c r="F321" s="30">
        <v>0</v>
      </c>
      <c r="G321" s="30">
        <v>0</v>
      </c>
      <c r="H321" s="30">
        <v>0</v>
      </c>
      <c r="M321" t="e">
        <f>VLOOKUP(Risikovurdering!D323,Verdivurdering!$B$2:$J$96,9,FALSE)</f>
        <v>#N/A</v>
      </c>
    </row>
    <row r="322" spans="1:13" x14ac:dyDescent="0.25">
      <c r="A322" s="30">
        <v>0</v>
      </c>
      <c r="B322" s="30">
        <v>0</v>
      </c>
      <c r="C322" s="30">
        <v>0</v>
      </c>
      <c r="D322" s="30">
        <v>0</v>
      </c>
      <c r="E322" s="30">
        <v>0</v>
      </c>
      <c r="F322" s="30">
        <v>0</v>
      </c>
      <c r="G322" s="30">
        <v>0</v>
      </c>
      <c r="H322" s="30">
        <v>0</v>
      </c>
      <c r="M322" t="e">
        <f>VLOOKUP(Risikovurdering!D324,Verdivurdering!$B$2:$J$96,9,FALSE)</f>
        <v>#N/A</v>
      </c>
    </row>
    <row r="323" spans="1:13" x14ac:dyDescent="0.25">
      <c r="A323" s="31" t="str">
        <f>"R"&amp;B323</f>
        <v>R33</v>
      </c>
      <c r="B323" s="4">
        <v>33</v>
      </c>
      <c r="C323" s="4">
        <f>IFERROR(VLOOKUP(Risikovurdering!T325,Akseptkriterier!$D$4:$E$8,2,FALSE),0)</f>
        <v>0</v>
      </c>
      <c r="D323" s="4">
        <f>IFERROR(VLOOKUP(Risikovurdering!R325,Akseptkriterier!$F$4:$G$8,2,FALSE),0)</f>
        <v>0</v>
      </c>
      <c r="E323" s="4">
        <f>IFERROR(VLOOKUP(Risikovurdering!U325,Akseptkriterier!$H$4:$I$8,2,FALSE),0)</f>
        <v>0</v>
      </c>
      <c r="F323" s="4">
        <f>IFERROR(VLOOKUP(Risikovurdering!AG325,Akseptkriterier!$D$4:$E$8,2,FALSE),0)</f>
        <v>0</v>
      </c>
      <c r="G323" s="4">
        <f>IFERROR(VLOOKUP(Risikovurdering!AF325,Akseptkriterier!$F$4:$G$8,2,FALSE),0)</f>
        <v>0</v>
      </c>
      <c r="H323" s="4">
        <f>IFERROR(VLOOKUP(Risikovurdering!AH325,Akseptkriterier!$H$4:$I$8,2,FALSE),0)</f>
        <v>0</v>
      </c>
      <c r="M323" t="e">
        <f>VLOOKUP(Risikovurdering!D325,Verdivurdering!$B$2:$J$96,9,FALSE)</f>
        <v>#N/A</v>
      </c>
    </row>
    <row r="324" spans="1:13" x14ac:dyDescent="0.25">
      <c r="A324" s="30">
        <v>0</v>
      </c>
      <c r="B324" s="30">
        <v>0</v>
      </c>
      <c r="C324" s="30">
        <v>0</v>
      </c>
      <c r="D324" s="30">
        <v>0</v>
      </c>
      <c r="E324" s="30">
        <v>0</v>
      </c>
      <c r="F324" s="30">
        <v>0</v>
      </c>
      <c r="G324" s="30">
        <v>0</v>
      </c>
      <c r="H324" s="30">
        <v>0</v>
      </c>
      <c r="M324" t="e">
        <f>VLOOKUP(Risikovurdering!D326,Verdivurdering!$B$2:$J$96,9,FALSE)</f>
        <v>#N/A</v>
      </c>
    </row>
    <row r="325" spans="1:13" x14ac:dyDescent="0.25">
      <c r="A325" s="30">
        <v>0</v>
      </c>
      <c r="B325" s="30">
        <v>0</v>
      </c>
      <c r="C325" s="30">
        <v>0</v>
      </c>
      <c r="D325" s="30">
        <v>0</v>
      </c>
      <c r="E325" s="30">
        <v>0</v>
      </c>
      <c r="F325" s="30">
        <v>0</v>
      </c>
      <c r="G325" s="30">
        <v>0</v>
      </c>
      <c r="H325" s="30">
        <v>0</v>
      </c>
      <c r="M325" t="e">
        <f>VLOOKUP(Risikovurdering!D327,Verdivurdering!$B$2:$J$96,9,FALSE)</f>
        <v>#N/A</v>
      </c>
    </row>
    <row r="326" spans="1:13" x14ac:dyDescent="0.25">
      <c r="A326" s="30">
        <v>0</v>
      </c>
      <c r="B326" s="30">
        <v>0</v>
      </c>
      <c r="C326" s="30">
        <v>0</v>
      </c>
      <c r="D326" s="30">
        <v>0</v>
      </c>
      <c r="E326" s="30">
        <v>0</v>
      </c>
      <c r="F326" s="30">
        <v>0</v>
      </c>
      <c r="G326" s="30">
        <v>0</v>
      </c>
      <c r="H326" s="30">
        <v>0</v>
      </c>
      <c r="M326" t="e">
        <f>VLOOKUP(Risikovurdering!D328,Verdivurdering!$B$2:$J$96,9,FALSE)</f>
        <v>#N/A</v>
      </c>
    </row>
    <row r="327" spans="1:13" x14ac:dyDescent="0.25">
      <c r="A327" s="30">
        <v>0</v>
      </c>
      <c r="B327" s="30">
        <v>0</v>
      </c>
      <c r="C327" s="30">
        <v>0</v>
      </c>
      <c r="D327" s="30">
        <v>0</v>
      </c>
      <c r="E327" s="30">
        <v>0</v>
      </c>
      <c r="F327" s="30">
        <v>0</v>
      </c>
      <c r="G327" s="30">
        <v>0</v>
      </c>
      <c r="H327" s="30">
        <v>0</v>
      </c>
      <c r="M327" t="e">
        <f>VLOOKUP(Risikovurdering!D329,Verdivurdering!$B$2:$J$96,9,FALSE)</f>
        <v>#N/A</v>
      </c>
    </row>
    <row r="328" spans="1:13" x14ac:dyDescent="0.25">
      <c r="A328" s="30">
        <v>0</v>
      </c>
      <c r="B328" s="30">
        <v>0</v>
      </c>
      <c r="C328" s="30">
        <v>0</v>
      </c>
      <c r="D328" s="30">
        <v>0</v>
      </c>
      <c r="E328" s="30">
        <v>0</v>
      </c>
      <c r="F328" s="30">
        <v>0</v>
      </c>
      <c r="G328" s="30">
        <v>0</v>
      </c>
      <c r="H328" s="30">
        <v>0</v>
      </c>
      <c r="M328" t="e">
        <f>VLOOKUP(Risikovurdering!D330,Verdivurdering!$B$2:$J$96,9,FALSE)</f>
        <v>#N/A</v>
      </c>
    </row>
    <row r="329" spans="1:13" x14ac:dyDescent="0.25">
      <c r="A329" s="30">
        <v>0</v>
      </c>
      <c r="B329" s="30">
        <v>0</v>
      </c>
      <c r="C329" s="30">
        <v>0</v>
      </c>
      <c r="D329" s="30">
        <v>0</v>
      </c>
      <c r="E329" s="30">
        <v>0</v>
      </c>
      <c r="F329" s="30">
        <v>0</v>
      </c>
      <c r="G329" s="30">
        <v>0</v>
      </c>
      <c r="H329" s="30">
        <v>0</v>
      </c>
      <c r="M329" t="e">
        <f>VLOOKUP(Risikovurdering!D331,Verdivurdering!$B$2:$J$96,9,FALSE)</f>
        <v>#N/A</v>
      </c>
    </row>
    <row r="330" spans="1:13" x14ac:dyDescent="0.25">
      <c r="A330" s="30">
        <v>0</v>
      </c>
      <c r="B330" s="30">
        <v>0</v>
      </c>
      <c r="C330" s="30">
        <v>0</v>
      </c>
      <c r="D330" s="30">
        <v>0</v>
      </c>
      <c r="E330" s="30">
        <v>0</v>
      </c>
      <c r="F330" s="30">
        <v>0</v>
      </c>
      <c r="G330" s="30">
        <v>0</v>
      </c>
      <c r="H330" s="30">
        <v>0</v>
      </c>
      <c r="M330" t="e">
        <f>VLOOKUP(Risikovurdering!D332,Verdivurdering!$B$2:$J$96,9,FALSE)</f>
        <v>#N/A</v>
      </c>
    </row>
    <row r="331" spans="1:13" x14ac:dyDescent="0.25">
      <c r="A331" s="30">
        <v>0</v>
      </c>
      <c r="B331" s="30">
        <v>0</v>
      </c>
      <c r="C331" s="30">
        <v>0</v>
      </c>
      <c r="D331" s="30">
        <v>0</v>
      </c>
      <c r="E331" s="30">
        <v>0</v>
      </c>
      <c r="F331" s="30">
        <v>0</v>
      </c>
      <c r="G331" s="30">
        <v>0</v>
      </c>
      <c r="H331" s="30">
        <v>0</v>
      </c>
      <c r="M331" t="e">
        <f>VLOOKUP(Risikovurdering!D333,Verdivurdering!$B$2:$J$96,9,FALSE)</f>
        <v>#N/A</v>
      </c>
    </row>
    <row r="332" spans="1:13" x14ac:dyDescent="0.25">
      <c r="A332" s="30">
        <v>0</v>
      </c>
      <c r="B332" s="30">
        <v>0</v>
      </c>
      <c r="C332" s="30">
        <v>0</v>
      </c>
      <c r="D332" s="30">
        <v>0</v>
      </c>
      <c r="E332" s="30">
        <v>0</v>
      </c>
      <c r="F332" s="30">
        <v>0</v>
      </c>
      <c r="G332" s="30">
        <v>0</v>
      </c>
      <c r="H332" s="30">
        <v>0</v>
      </c>
      <c r="M332" t="e">
        <f>VLOOKUP(Risikovurdering!D334,Verdivurdering!$B$2:$J$96,9,FALSE)</f>
        <v>#N/A</v>
      </c>
    </row>
    <row r="333" spans="1:13" x14ac:dyDescent="0.25">
      <c r="A333" s="31" t="str">
        <f>"R"&amp;B333</f>
        <v>R34</v>
      </c>
      <c r="B333" s="4">
        <v>34</v>
      </c>
      <c r="C333" s="4">
        <f>IFERROR(VLOOKUP(Risikovurdering!T335,Akseptkriterier!$D$4:$E$8,2,FALSE),0)</f>
        <v>0</v>
      </c>
      <c r="D333" s="4">
        <f>IFERROR(VLOOKUP(Risikovurdering!R335,Akseptkriterier!$F$4:$G$8,2,FALSE),0)</f>
        <v>0</v>
      </c>
      <c r="E333" s="4">
        <f>IFERROR(VLOOKUP(Risikovurdering!U335,Akseptkriterier!$H$4:$I$8,2,FALSE),0)</f>
        <v>0</v>
      </c>
      <c r="F333" s="4">
        <f>IFERROR(VLOOKUP(Risikovurdering!AG335,Akseptkriterier!$D$4:$E$8,2,FALSE),0)</f>
        <v>0</v>
      </c>
      <c r="G333" s="4">
        <f>IFERROR(VLOOKUP(Risikovurdering!AF335,Akseptkriterier!$F$4:$G$8,2,FALSE),0)</f>
        <v>0</v>
      </c>
      <c r="H333" s="4">
        <f>IFERROR(VLOOKUP(Risikovurdering!AH335,Akseptkriterier!$H$4:$I$8,2,FALSE),0)</f>
        <v>0</v>
      </c>
      <c r="M333" t="e">
        <f>VLOOKUP(Risikovurdering!D335,Verdivurdering!$B$2:$J$96,9,FALSE)</f>
        <v>#N/A</v>
      </c>
    </row>
    <row r="334" spans="1:13" x14ac:dyDescent="0.25">
      <c r="A334" s="30">
        <v>0</v>
      </c>
      <c r="B334" s="30">
        <v>0</v>
      </c>
      <c r="C334" s="30">
        <v>0</v>
      </c>
      <c r="D334" s="30">
        <v>0</v>
      </c>
      <c r="E334" s="30">
        <v>0</v>
      </c>
      <c r="F334" s="30">
        <v>0</v>
      </c>
      <c r="G334" s="30">
        <v>0</v>
      </c>
      <c r="H334" s="30">
        <v>0</v>
      </c>
      <c r="M334" t="e">
        <f>VLOOKUP(Risikovurdering!D336,Verdivurdering!$B$2:$J$96,9,FALSE)</f>
        <v>#N/A</v>
      </c>
    </row>
    <row r="335" spans="1:13" x14ac:dyDescent="0.25">
      <c r="A335" s="30">
        <v>0</v>
      </c>
      <c r="B335" s="30">
        <v>0</v>
      </c>
      <c r="C335" s="30">
        <v>0</v>
      </c>
      <c r="D335" s="30">
        <v>0</v>
      </c>
      <c r="E335" s="30">
        <v>0</v>
      </c>
      <c r="F335" s="30">
        <v>0</v>
      </c>
      <c r="G335" s="30">
        <v>0</v>
      </c>
      <c r="H335" s="30">
        <v>0</v>
      </c>
      <c r="M335" t="e">
        <f>VLOOKUP(Risikovurdering!D337,Verdivurdering!$B$2:$J$96,9,FALSE)</f>
        <v>#N/A</v>
      </c>
    </row>
    <row r="336" spans="1:13" x14ac:dyDescent="0.25">
      <c r="A336" s="30">
        <v>0</v>
      </c>
      <c r="B336" s="30">
        <v>0</v>
      </c>
      <c r="C336" s="30">
        <v>0</v>
      </c>
      <c r="D336" s="30">
        <v>0</v>
      </c>
      <c r="E336" s="30">
        <v>0</v>
      </c>
      <c r="F336" s="30">
        <v>0</v>
      </c>
      <c r="G336" s="30">
        <v>0</v>
      </c>
      <c r="H336" s="30">
        <v>0</v>
      </c>
      <c r="M336" t="e">
        <f>VLOOKUP(Risikovurdering!D338,Verdivurdering!$B$2:$J$96,9,FALSE)</f>
        <v>#N/A</v>
      </c>
    </row>
    <row r="337" spans="1:13" x14ac:dyDescent="0.25">
      <c r="A337" s="30">
        <v>0</v>
      </c>
      <c r="B337" s="30">
        <v>0</v>
      </c>
      <c r="C337" s="30">
        <v>0</v>
      </c>
      <c r="D337" s="30">
        <v>0</v>
      </c>
      <c r="E337" s="30">
        <v>0</v>
      </c>
      <c r="F337" s="30">
        <v>0</v>
      </c>
      <c r="G337" s="30">
        <v>0</v>
      </c>
      <c r="H337" s="30">
        <v>0</v>
      </c>
      <c r="M337" t="e">
        <f>VLOOKUP(Risikovurdering!D339,Verdivurdering!$B$2:$J$96,9,FALSE)</f>
        <v>#N/A</v>
      </c>
    </row>
    <row r="338" spans="1:13" x14ac:dyDescent="0.25">
      <c r="A338" s="30">
        <v>0</v>
      </c>
      <c r="B338" s="30">
        <v>0</v>
      </c>
      <c r="C338" s="30">
        <v>0</v>
      </c>
      <c r="D338" s="30">
        <v>0</v>
      </c>
      <c r="E338" s="30">
        <v>0</v>
      </c>
      <c r="F338" s="30">
        <v>0</v>
      </c>
      <c r="G338" s="30">
        <v>0</v>
      </c>
      <c r="H338" s="30">
        <v>0</v>
      </c>
      <c r="M338" t="e">
        <f>VLOOKUP(Risikovurdering!D340,Verdivurdering!$B$2:$J$96,9,FALSE)</f>
        <v>#N/A</v>
      </c>
    </row>
    <row r="339" spans="1:13" x14ac:dyDescent="0.25">
      <c r="A339" s="30">
        <v>0</v>
      </c>
      <c r="B339" s="30">
        <v>0</v>
      </c>
      <c r="C339" s="30">
        <v>0</v>
      </c>
      <c r="D339" s="30">
        <v>0</v>
      </c>
      <c r="E339" s="30">
        <v>0</v>
      </c>
      <c r="F339" s="30">
        <v>0</v>
      </c>
      <c r="G339" s="30">
        <v>0</v>
      </c>
      <c r="H339" s="30">
        <v>0</v>
      </c>
      <c r="M339" t="e">
        <f>VLOOKUP(Risikovurdering!D341,Verdivurdering!$B$2:$J$96,9,FALSE)</f>
        <v>#N/A</v>
      </c>
    </row>
    <row r="340" spans="1:13" x14ac:dyDescent="0.25">
      <c r="A340" s="30">
        <v>0</v>
      </c>
      <c r="B340" s="30">
        <v>0</v>
      </c>
      <c r="C340" s="30">
        <v>0</v>
      </c>
      <c r="D340" s="30">
        <v>0</v>
      </c>
      <c r="E340" s="30">
        <v>0</v>
      </c>
      <c r="F340" s="30">
        <v>0</v>
      </c>
      <c r="G340" s="30">
        <v>0</v>
      </c>
      <c r="H340" s="30">
        <v>0</v>
      </c>
      <c r="M340" t="e">
        <f>VLOOKUP(Risikovurdering!D342,Verdivurdering!$B$2:$J$96,9,FALSE)</f>
        <v>#N/A</v>
      </c>
    </row>
    <row r="341" spans="1:13" x14ac:dyDescent="0.25">
      <c r="A341" s="30">
        <v>0</v>
      </c>
      <c r="B341" s="30">
        <v>0</v>
      </c>
      <c r="C341" s="30">
        <v>0</v>
      </c>
      <c r="D341" s="30">
        <v>0</v>
      </c>
      <c r="E341" s="30">
        <v>0</v>
      </c>
      <c r="F341" s="30">
        <v>0</v>
      </c>
      <c r="G341" s="30">
        <v>0</v>
      </c>
      <c r="H341" s="30">
        <v>0</v>
      </c>
      <c r="M341" t="e">
        <f>VLOOKUP(Risikovurdering!D343,Verdivurdering!$B$2:$J$96,9,FALSE)</f>
        <v>#N/A</v>
      </c>
    </row>
    <row r="342" spans="1:13" x14ac:dyDescent="0.25">
      <c r="A342" s="30">
        <v>0</v>
      </c>
      <c r="B342" s="30">
        <v>0</v>
      </c>
      <c r="C342" s="30">
        <v>0</v>
      </c>
      <c r="D342" s="30">
        <v>0</v>
      </c>
      <c r="E342" s="30">
        <v>0</v>
      </c>
      <c r="F342" s="30">
        <v>0</v>
      </c>
      <c r="G342" s="30">
        <v>0</v>
      </c>
      <c r="H342" s="30">
        <v>0</v>
      </c>
      <c r="M342" t="e">
        <f>VLOOKUP(Risikovurdering!D344,Verdivurdering!$B$2:$J$96,9,FALSE)</f>
        <v>#N/A</v>
      </c>
    </row>
    <row r="343" spans="1:13" x14ac:dyDescent="0.25">
      <c r="A343" s="31" t="str">
        <f>"R"&amp;B343</f>
        <v>R35</v>
      </c>
      <c r="B343" s="4">
        <v>35</v>
      </c>
      <c r="C343" s="4">
        <f>IFERROR(VLOOKUP(Risikovurdering!T345,Akseptkriterier!$D$4:$E$8,2,FALSE),0)</f>
        <v>0</v>
      </c>
      <c r="D343" s="4">
        <f>IFERROR(VLOOKUP(Risikovurdering!R345,Akseptkriterier!$F$4:$G$8,2,FALSE),0)</f>
        <v>0</v>
      </c>
      <c r="E343" s="4">
        <f>IFERROR(VLOOKUP(Risikovurdering!U345,Akseptkriterier!$H$4:$I$8,2,FALSE),0)</f>
        <v>0</v>
      </c>
      <c r="F343" s="4">
        <f>IFERROR(VLOOKUP(Risikovurdering!AG345,Akseptkriterier!$D$4:$E$8,2,FALSE),0)</f>
        <v>0</v>
      </c>
      <c r="G343" s="4">
        <f>IFERROR(VLOOKUP(Risikovurdering!AF345,Akseptkriterier!$F$4:$G$8,2,FALSE),0)</f>
        <v>0</v>
      </c>
      <c r="H343" s="4">
        <f>IFERROR(VLOOKUP(Risikovurdering!AH345,Akseptkriterier!$H$4:$I$8,2,FALSE),0)</f>
        <v>0</v>
      </c>
      <c r="M343" t="e">
        <f>VLOOKUP(Risikovurdering!D345,Verdivurdering!$B$2:$J$96,9,FALSE)</f>
        <v>#N/A</v>
      </c>
    </row>
    <row r="344" spans="1:13" x14ac:dyDescent="0.25">
      <c r="A344" s="30">
        <v>0</v>
      </c>
      <c r="B344" s="30">
        <v>0</v>
      </c>
      <c r="C344" s="30">
        <v>0</v>
      </c>
      <c r="D344" s="30">
        <v>0</v>
      </c>
      <c r="E344" s="30">
        <v>0</v>
      </c>
      <c r="F344" s="30">
        <v>0</v>
      </c>
      <c r="G344" s="30">
        <v>0</v>
      </c>
      <c r="H344" s="30">
        <v>0</v>
      </c>
      <c r="M344" t="e">
        <f>VLOOKUP(Risikovurdering!D346,Verdivurdering!$B$2:$J$96,9,FALSE)</f>
        <v>#N/A</v>
      </c>
    </row>
    <row r="345" spans="1:13" x14ac:dyDescent="0.25">
      <c r="A345" s="30">
        <v>0</v>
      </c>
      <c r="B345" s="30">
        <v>0</v>
      </c>
      <c r="C345" s="30">
        <v>0</v>
      </c>
      <c r="D345" s="30">
        <v>0</v>
      </c>
      <c r="E345" s="30">
        <v>0</v>
      </c>
      <c r="F345" s="30">
        <v>0</v>
      </c>
      <c r="G345" s="30">
        <v>0</v>
      </c>
      <c r="H345" s="30">
        <v>0</v>
      </c>
      <c r="M345" t="e">
        <f>VLOOKUP(Risikovurdering!D347,Verdivurdering!$B$2:$J$96,9,FALSE)</f>
        <v>#N/A</v>
      </c>
    </row>
    <row r="346" spans="1:13" x14ac:dyDescent="0.25">
      <c r="A346" s="30">
        <v>0</v>
      </c>
      <c r="B346" s="30">
        <v>0</v>
      </c>
      <c r="C346" s="30">
        <v>0</v>
      </c>
      <c r="D346" s="30">
        <v>0</v>
      </c>
      <c r="E346" s="30">
        <v>0</v>
      </c>
      <c r="F346" s="30">
        <v>0</v>
      </c>
      <c r="G346" s="30">
        <v>0</v>
      </c>
      <c r="H346" s="30">
        <v>0</v>
      </c>
      <c r="M346" t="e">
        <f>VLOOKUP(Risikovurdering!D348,Verdivurdering!$B$2:$J$96,9,FALSE)</f>
        <v>#N/A</v>
      </c>
    </row>
    <row r="347" spans="1:13" x14ac:dyDescent="0.25">
      <c r="A347" s="30">
        <v>0</v>
      </c>
      <c r="B347" s="30">
        <v>0</v>
      </c>
      <c r="C347" s="30">
        <v>0</v>
      </c>
      <c r="D347" s="30">
        <v>0</v>
      </c>
      <c r="E347" s="30">
        <v>0</v>
      </c>
      <c r="F347" s="30">
        <v>0</v>
      </c>
      <c r="G347" s="30">
        <v>0</v>
      </c>
      <c r="H347" s="30">
        <v>0</v>
      </c>
      <c r="M347" t="e">
        <f>VLOOKUP(Risikovurdering!D349,Verdivurdering!$B$2:$J$96,9,FALSE)</f>
        <v>#N/A</v>
      </c>
    </row>
    <row r="348" spans="1:13" x14ac:dyDescent="0.25">
      <c r="A348" s="30">
        <v>0</v>
      </c>
      <c r="B348" s="30">
        <v>0</v>
      </c>
      <c r="C348" s="30">
        <v>0</v>
      </c>
      <c r="D348" s="30">
        <v>0</v>
      </c>
      <c r="E348" s="30">
        <v>0</v>
      </c>
      <c r="F348" s="30">
        <v>0</v>
      </c>
      <c r="G348" s="30">
        <v>0</v>
      </c>
      <c r="H348" s="30">
        <v>0</v>
      </c>
      <c r="M348" t="e">
        <f>VLOOKUP(Risikovurdering!D350,Verdivurdering!$B$2:$J$96,9,FALSE)</f>
        <v>#N/A</v>
      </c>
    </row>
    <row r="349" spans="1:13" x14ac:dyDescent="0.25">
      <c r="A349" s="30">
        <v>0</v>
      </c>
      <c r="B349" s="30">
        <v>0</v>
      </c>
      <c r="C349" s="30">
        <v>0</v>
      </c>
      <c r="D349" s="30">
        <v>0</v>
      </c>
      <c r="E349" s="30">
        <v>0</v>
      </c>
      <c r="F349" s="30">
        <v>0</v>
      </c>
      <c r="G349" s="30">
        <v>0</v>
      </c>
      <c r="H349" s="30">
        <v>0</v>
      </c>
      <c r="M349" t="e">
        <f>VLOOKUP(Risikovurdering!D351,Verdivurdering!$B$2:$J$96,9,FALSE)</f>
        <v>#N/A</v>
      </c>
    </row>
    <row r="350" spans="1:13" x14ac:dyDescent="0.25">
      <c r="A350" s="30">
        <v>0</v>
      </c>
      <c r="B350" s="30">
        <v>0</v>
      </c>
      <c r="C350" s="30">
        <v>0</v>
      </c>
      <c r="D350" s="30">
        <v>0</v>
      </c>
      <c r="E350" s="30">
        <v>0</v>
      </c>
      <c r="F350" s="30">
        <v>0</v>
      </c>
      <c r="G350" s="30">
        <v>0</v>
      </c>
      <c r="H350" s="30">
        <v>0</v>
      </c>
      <c r="M350" t="e">
        <f>VLOOKUP(Risikovurdering!D352,Verdivurdering!$B$2:$J$96,9,FALSE)</f>
        <v>#N/A</v>
      </c>
    </row>
    <row r="351" spans="1:13" x14ac:dyDescent="0.25">
      <c r="A351" s="30">
        <v>0</v>
      </c>
      <c r="B351" s="30">
        <v>0</v>
      </c>
      <c r="C351" s="30">
        <v>0</v>
      </c>
      <c r="D351" s="30">
        <v>0</v>
      </c>
      <c r="E351" s="30">
        <v>0</v>
      </c>
      <c r="F351" s="30">
        <v>0</v>
      </c>
      <c r="G351" s="30">
        <v>0</v>
      </c>
      <c r="H351" s="30">
        <v>0</v>
      </c>
      <c r="M351" t="e">
        <f>VLOOKUP(Risikovurdering!D353,Verdivurdering!$B$2:$J$96,9,FALSE)</f>
        <v>#N/A</v>
      </c>
    </row>
    <row r="352" spans="1:13" x14ac:dyDescent="0.25">
      <c r="A352" s="30">
        <v>0</v>
      </c>
      <c r="B352" s="30">
        <v>0</v>
      </c>
      <c r="C352" s="30">
        <v>0</v>
      </c>
      <c r="D352" s="30">
        <v>0</v>
      </c>
      <c r="E352" s="30">
        <v>0</v>
      </c>
      <c r="F352" s="30">
        <v>0</v>
      </c>
      <c r="G352" s="30">
        <v>0</v>
      </c>
      <c r="H352" s="30">
        <v>0</v>
      </c>
      <c r="M352" t="e">
        <f>VLOOKUP(Risikovurdering!D354,Verdivurdering!$B$2:$J$96,9,FALSE)</f>
        <v>#N/A</v>
      </c>
    </row>
    <row r="353" spans="1:13" x14ac:dyDescent="0.25">
      <c r="A353" s="31" t="str">
        <f>"R"&amp;B353</f>
        <v>R36</v>
      </c>
      <c r="B353" s="4">
        <v>36</v>
      </c>
      <c r="C353" s="4">
        <f>IFERROR(VLOOKUP(Risikovurdering!T355,Akseptkriterier!$D$4:$E$8,2,FALSE),0)</f>
        <v>0</v>
      </c>
      <c r="D353" s="4">
        <f>IFERROR(VLOOKUP(Risikovurdering!R355,Akseptkriterier!$F$4:$G$8,2,FALSE),0)</f>
        <v>0</v>
      </c>
      <c r="E353" s="4">
        <f>IFERROR(VLOOKUP(Risikovurdering!U355,Akseptkriterier!$H$4:$I$8,2,FALSE),0)</f>
        <v>0</v>
      </c>
      <c r="F353" s="4">
        <f>IFERROR(VLOOKUP(Risikovurdering!AG355,Akseptkriterier!$D$4:$E$8,2,FALSE),0)</f>
        <v>0</v>
      </c>
      <c r="G353" s="4">
        <f>IFERROR(VLOOKUP(Risikovurdering!AF355,Akseptkriterier!$F$4:$G$8,2,FALSE),0)</f>
        <v>0</v>
      </c>
      <c r="H353" s="4">
        <f>IFERROR(VLOOKUP(Risikovurdering!AH355,Akseptkriterier!$H$4:$I$8,2,FALSE),0)</f>
        <v>0</v>
      </c>
      <c r="M353" t="e">
        <f>VLOOKUP(Risikovurdering!D355,Verdivurdering!$B$2:$J$96,9,FALSE)</f>
        <v>#N/A</v>
      </c>
    </row>
    <row r="354" spans="1:13" x14ac:dyDescent="0.25">
      <c r="A354" s="30">
        <v>0</v>
      </c>
      <c r="B354" s="30">
        <v>0</v>
      </c>
      <c r="C354" s="30">
        <v>0</v>
      </c>
      <c r="D354" s="30">
        <v>0</v>
      </c>
      <c r="E354" s="30">
        <v>0</v>
      </c>
      <c r="F354" s="30">
        <v>0</v>
      </c>
      <c r="G354" s="30">
        <v>0</v>
      </c>
      <c r="H354" s="30">
        <v>0</v>
      </c>
      <c r="M354" t="e">
        <f>VLOOKUP(Risikovurdering!D356,Verdivurdering!$B$2:$J$96,9,FALSE)</f>
        <v>#N/A</v>
      </c>
    </row>
    <row r="355" spans="1:13" x14ac:dyDescent="0.25">
      <c r="A355" s="30">
        <v>0</v>
      </c>
      <c r="B355" s="30">
        <v>0</v>
      </c>
      <c r="C355" s="30">
        <v>0</v>
      </c>
      <c r="D355" s="30">
        <v>0</v>
      </c>
      <c r="E355" s="30">
        <v>0</v>
      </c>
      <c r="F355" s="30">
        <v>0</v>
      </c>
      <c r="G355" s="30">
        <v>0</v>
      </c>
      <c r="H355" s="30">
        <v>0</v>
      </c>
      <c r="M355" t="e">
        <f>VLOOKUP(Risikovurdering!D357,Verdivurdering!$B$2:$J$96,9,FALSE)</f>
        <v>#N/A</v>
      </c>
    </row>
    <row r="356" spans="1:13" x14ac:dyDescent="0.25">
      <c r="A356" s="30">
        <v>0</v>
      </c>
      <c r="B356" s="30">
        <v>0</v>
      </c>
      <c r="C356" s="30">
        <v>0</v>
      </c>
      <c r="D356" s="30">
        <v>0</v>
      </c>
      <c r="E356" s="30">
        <v>0</v>
      </c>
      <c r="F356" s="30">
        <v>0</v>
      </c>
      <c r="G356" s="30">
        <v>0</v>
      </c>
      <c r="H356" s="30">
        <v>0</v>
      </c>
      <c r="M356" t="e">
        <f>VLOOKUP(Risikovurdering!D358,Verdivurdering!$B$2:$J$96,9,FALSE)</f>
        <v>#N/A</v>
      </c>
    </row>
    <row r="357" spans="1:13" x14ac:dyDescent="0.25">
      <c r="A357" s="30">
        <v>0</v>
      </c>
      <c r="B357" s="30">
        <v>0</v>
      </c>
      <c r="C357" s="30">
        <v>0</v>
      </c>
      <c r="D357" s="30">
        <v>0</v>
      </c>
      <c r="E357" s="30">
        <v>0</v>
      </c>
      <c r="F357" s="30">
        <v>0</v>
      </c>
      <c r="G357" s="30">
        <v>0</v>
      </c>
      <c r="H357" s="30">
        <v>0</v>
      </c>
      <c r="M357" t="e">
        <f>VLOOKUP(Risikovurdering!D359,Verdivurdering!$B$2:$J$96,9,FALSE)</f>
        <v>#N/A</v>
      </c>
    </row>
    <row r="358" spans="1:13" x14ac:dyDescent="0.25">
      <c r="A358" s="30">
        <v>0</v>
      </c>
      <c r="B358" s="30">
        <v>0</v>
      </c>
      <c r="C358" s="30">
        <v>0</v>
      </c>
      <c r="D358" s="30">
        <v>0</v>
      </c>
      <c r="E358" s="30">
        <v>0</v>
      </c>
      <c r="F358" s="30">
        <v>0</v>
      </c>
      <c r="G358" s="30">
        <v>0</v>
      </c>
      <c r="H358" s="30">
        <v>0</v>
      </c>
      <c r="M358" t="e">
        <f>VLOOKUP(Risikovurdering!D360,Verdivurdering!$B$2:$J$96,9,FALSE)</f>
        <v>#N/A</v>
      </c>
    </row>
    <row r="359" spans="1:13" x14ac:dyDescent="0.25">
      <c r="A359" s="30">
        <v>0</v>
      </c>
      <c r="B359" s="30">
        <v>0</v>
      </c>
      <c r="C359" s="30">
        <v>0</v>
      </c>
      <c r="D359" s="30">
        <v>0</v>
      </c>
      <c r="E359" s="30">
        <v>0</v>
      </c>
      <c r="F359" s="30">
        <v>0</v>
      </c>
      <c r="G359" s="30">
        <v>0</v>
      </c>
      <c r="H359" s="30">
        <v>0</v>
      </c>
      <c r="M359" t="e">
        <f>VLOOKUP(Risikovurdering!D361,Verdivurdering!$B$2:$J$96,9,FALSE)</f>
        <v>#N/A</v>
      </c>
    </row>
    <row r="360" spans="1:13" x14ac:dyDescent="0.25">
      <c r="A360" s="30">
        <v>0</v>
      </c>
      <c r="B360" s="30">
        <v>0</v>
      </c>
      <c r="C360" s="30">
        <v>0</v>
      </c>
      <c r="D360" s="30">
        <v>0</v>
      </c>
      <c r="E360" s="30">
        <v>0</v>
      </c>
      <c r="F360" s="30">
        <v>0</v>
      </c>
      <c r="G360" s="30">
        <v>0</v>
      </c>
      <c r="H360" s="30">
        <v>0</v>
      </c>
      <c r="M360" t="e">
        <f>VLOOKUP(Risikovurdering!D362,Verdivurdering!$B$2:$J$96,9,FALSE)</f>
        <v>#N/A</v>
      </c>
    </row>
    <row r="361" spans="1:13" x14ac:dyDescent="0.25">
      <c r="A361" s="30">
        <v>0</v>
      </c>
      <c r="B361" s="30">
        <v>0</v>
      </c>
      <c r="C361" s="30">
        <v>0</v>
      </c>
      <c r="D361" s="30">
        <v>0</v>
      </c>
      <c r="E361" s="30">
        <v>0</v>
      </c>
      <c r="F361" s="30">
        <v>0</v>
      </c>
      <c r="G361" s="30">
        <v>0</v>
      </c>
      <c r="H361" s="30">
        <v>0</v>
      </c>
      <c r="M361" t="e">
        <f>VLOOKUP(Risikovurdering!D363,Verdivurdering!$B$2:$J$96,9,FALSE)</f>
        <v>#N/A</v>
      </c>
    </row>
    <row r="362" spans="1:13" x14ac:dyDescent="0.25">
      <c r="A362" s="30">
        <v>0</v>
      </c>
      <c r="B362" s="30">
        <v>0</v>
      </c>
      <c r="C362" s="30">
        <v>0</v>
      </c>
      <c r="D362" s="30">
        <v>0</v>
      </c>
      <c r="E362" s="30">
        <v>0</v>
      </c>
      <c r="F362" s="30">
        <v>0</v>
      </c>
      <c r="G362" s="30">
        <v>0</v>
      </c>
      <c r="H362" s="30">
        <v>0</v>
      </c>
      <c r="M362" t="e">
        <f>VLOOKUP(Risikovurdering!D364,Verdivurdering!$B$2:$J$96,9,FALSE)</f>
        <v>#N/A</v>
      </c>
    </row>
    <row r="363" spans="1:13" x14ac:dyDescent="0.25">
      <c r="A363" s="31" t="str">
        <f>"R"&amp;B363</f>
        <v>R37</v>
      </c>
      <c r="B363" s="4">
        <v>37</v>
      </c>
      <c r="C363" s="4">
        <f>IFERROR(VLOOKUP(Risikovurdering!T365,Akseptkriterier!$D$4:$E$8,2,FALSE),0)</f>
        <v>0</v>
      </c>
      <c r="D363" s="4">
        <f>IFERROR(VLOOKUP(Risikovurdering!R365,Akseptkriterier!$F$4:$G$8,2,FALSE),0)</f>
        <v>0</v>
      </c>
      <c r="E363" s="4">
        <f>IFERROR(VLOOKUP(Risikovurdering!U365,Akseptkriterier!$H$4:$I$8,2,FALSE),0)</f>
        <v>0</v>
      </c>
      <c r="F363" s="4">
        <f>IFERROR(VLOOKUP(Risikovurdering!AG365,Akseptkriterier!$D$4:$E$8,2,FALSE),0)</f>
        <v>0</v>
      </c>
      <c r="G363" s="4">
        <f>IFERROR(VLOOKUP(Risikovurdering!AF365,Akseptkriterier!$F$4:$G$8,2,FALSE),0)</f>
        <v>0</v>
      </c>
      <c r="H363" s="4">
        <f>IFERROR(VLOOKUP(Risikovurdering!AH365,Akseptkriterier!$H$4:$I$8,2,FALSE),0)</f>
        <v>0</v>
      </c>
      <c r="M363" t="e">
        <f>VLOOKUP(Risikovurdering!D365,Verdivurdering!$B$2:$J$96,9,FALSE)</f>
        <v>#N/A</v>
      </c>
    </row>
    <row r="364" spans="1:13" x14ac:dyDescent="0.25">
      <c r="A364" s="30">
        <v>0</v>
      </c>
      <c r="B364" s="30">
        <v>0</v>
      </c>
      <c r="C364" s="30">
        <v>0</v>
      </c>
      <c r="D364" s="30">
        <v>0</v>
      </c>
      <c r="E364" s="30">
        <v>0</v>
      </c>
      <c r="F364" s="30">
        <v>0</v>
      </c>
      <c r="G364" s="30">
        <v>0</v>
      </c>
      <c r="H364" s="30">
        <v>0</v>
      </c>
      <c r="M364" t="e">
        <f>VLOOKUP(Risikovurdering!D366,Verdivurdering!$B$2:$J$96,9,FALSE)</f>
        <v>#N/A</v>
      </c>
    </row>
    <row r="365" spans="1:13" x14ac:dyDescent="0.25">
      <c r="A365" s="30">
        <v>0</v>
      </c>
      <c r="B365" s="30">
        <v>0</v>
      </c>
      <c r="C365" s="30">
        <v>0</v>
      </c>
      <c r="D365" s="30">
        <v>0</v>
      </c>
      <c r="E365" s="30">
        <v>0</v>
      </c>
      <c r="F365" s="30">
        <v>0</v>
      </c>
      <c r="G365" s="30">
        <v>0</v>
      </c>
      <c r="H365" s="30">
        <v>0</v>
      </c>
      <c r="M365" t="e">
        <f>VLOOKUP(Risikovurdering!D367,Verdivurdering!$B$2:$J$96,9,FALSE)</f>
        <v>#N/A</v>
      </c>
    </row>
    <row r="366" spans="1:13" x14ac:dyDescent="0.25">
      <c r="A366" s="30">
        <v>0</v>
      </c>
      <c r="B366" s="30">
        <v>0</v>
      </c>
      <c r="C366" s="30">
        <v>0</v>
      </c>
      <c r="D366" s="30">
        <v>0</v>
      </c>
      <c r="E366" s="30">
        <v>0</v>
      </c>
      <c r="F366" s="30">
        <v>0</v>
      </c>
      <c r="G366" s="30">
        <v>0</v>
      </c>
      <c r="H366" s="30">
        <v>0</v>
      </c>
      <c r="M366" t="e">
        <f>VLOOKUP(Risikovurdering!D368,Verdivurdering!$B$2:$J$96,9,FALSE)</f>
        <v>#N/A</v>
      </c>
    </row>
    <row r="367" spans="1:13" x14ac:dyDescent="0.25">
      <c r="A367" s="30">
        <v>0</v>
      </c>
      <c r="B367" s="30">
        <v>0</v>
      </c>
      <c r="C367" s="30">
        <v>0</v>
      </c>
      <c r="D367" s="30">
        <v>0</v>
      </c>
      <c r="E367" s="30">
        <v>0</v>
      </c>
      <c r="F367" s="30">
        <v>0</v>
      </c>
      <c r="G367" s="30">
        <v>0</v>
      </c>
      <c r="H367" s="30">
        <v>0</v>
      </c>
      <c r="M367" t="e">
        <f>VLOOKUP(Risikovurdering!D369,Verdivurdering!$B$2:$J$96,9,FALSE)</f>
        <v>#N/A</v>
      </c>
    </row>
    <row r="368" spans="1:13" x14ac:dyDescent="0.25">
      <c r="A368" s="30">
        <v>0</v>
      </c>
      <c r="B368" s="30">
        <v>0</v>
      </c>
      <c r="C368" s="30">
        <v>0</v>
      </c>
      <c r="D368" s="30">
        <v>0</v>
      </c>
      <c r="E368" s="30">
        <v>0</v>
      </c>
      <c r="F368" s="30">
        <v>0</v>
      </c>
      <c r="G368" s="30">
        <v>0</v>
      </c>
      <c r="H368" s="30">
        <v>0</v>
      </c>
      <c r="M368" t="e">
        <f>VLOOKUP(Risikovurdering!D370,Verdivurdering!$B$2:$J$96,9,FALSE)</f>
        <v>#N/A</v>
      </c>
    </row>
    <row r="369" spans="1:13" x14ac:dyDescent="0.25">
      <c r="A369" s="30">
        <v>0</v>
      </c>
      <c r="B369" s="30">
        <v>0</v>
      </c>
      <c r="C369" s="30">
        <v>0</v>
      </c>
      <c r="D369" s="30">
        <v>0</v>
      </c>
      <c r="E369" s="30">
        <v>0</v>
      </c>
      <c r="F369" s="30">
        <v>0</v>
      </c>
      <c r="G369" s="30">
        <v>0</v>
      </c>
      <c r="H369" s="30">
        <v>0</v>
      </c>
      <c r="M369" t="e">
        <f>VLOOKUP(Risikovurdering!D371,Verdivurdering!$B$2:$J$96,9,FALSE)</f>
        <v>#N/A</v>
      </c>
    </row>
    <row r="370" spans="1:13" x14ac:dyDescent="0.25">
      <c r="A370" s="30">
        <v>0</v>
      </c>
      <c r="B370" s="30">
        <v>0</v>
      </c>
      <c r="C370" s="30">
        <v>0</v>
      </c>
      <c r="D370" s="30">
        <v>0</v>
      </c>
      <c r="E370" s="30">
        <v>0</v>
      </c>
      <c r="F370" s="30">
        <v>0</v>
      </c>
      <c r="G370" s="30">
        <v>0</v>
      </c>
      <c r="H370" s="30">
        <v>0</v>
      </c>
      <c r="M370" t="e">
        <f>VLOOKUP(Risikovurdering!D372,Verdivurdering!$B$2:$J$96,9,FALSE)</f>
        <v>#N/A</v>
      </c>
    </row>
    <row r="371" spans="1:13" x14ac:dyDescent="0.25">
      <c r="A371" s="30">
        <v>0</v>
      </c>
      <c r="B371" s="30">
        <v>0</v>
      </c>
      <c r="C371" s="30">
        <v>0</v>
      </c>
      <c r="D371" s="30">
        <v>0</v>
      </c>
      <c r="E371" s="30">
        <v>0</v>
      </c>
      <c r="F371" s="30">
        <v>0</v>
      </c>
      <c r="G371" s="30">
        <v>0</v>
      </c>
      <c r="H371" s="30">
        <v>0</v>
      </c>
      <c r="M371" t="e">
        <f>VLOOKUP(Risikovurdering!D373,Verdivurdering!$B$2:$J$96,9,FALSE)</f>
        <v>#N/A</v>
      </c>
    </row>
    <row r="372" spans="1:13" x14ac:dyDescent="0.25">
      <c r="A372" s="30">
        <v>0</v>
      </c>
      <c r="B372" s="30">
        <v>0</v>
      </c>
      <c r="C372" s="30">
        <v>0</v>
      </c>
      <c r="D372" s="30">
        <v>0</v>
      </c>
      <c r="E372" s="30">
        <v>0</v>
      </c>
      <c r="F372" s="30">
        <v>0</v>
      </c>
      <c r="G372" s="30">
        <v>0</v>
      </c>
      <c r="H372" s="30">
        <v>0</v>
      </c>
      <c r="M372" t="e">
        <f>VLOOKUP(Risikovurdering!D374,Verdivurdering!$B$2:$J$96,9,FALSE)</f>
        <v>#N/A</v>
      </c>
    </row>
    <row r="373" spans="1:13" x14ac:dyDescent="0.25">
      <c r="A373" s="31" t="str">
        <f>"R"&amp;B373</f>
        <v>R38</v>
      </c>
      <c r="B373" s="4">
        <v>38</v>
      </c>
      <c r="C373" s="4">
        <f>IFERROR(VLOOKUP(Risikovurdering!T375,Akseptkriterier!$D$4:$E$8,2,FALSE),0)</f>
        <v>0</v>
      </c>
      <c r="D373" s="4">
        <f>IFERROR(VLOOKUP(Risikovurdering!R375,Akseptkriterier!$F$4:$G$8,2,FALSE),0)</f>
        <v>0</v>
      </c>
      <c r="E373" s="4">
        <f>IFERROR(VLOOKUP(Risikovurdering!U375,Akseptkriterier!$H$4:$I$8,2,FALSE),0)</f>
        <v>0</v>
      </c>
      <c r="F373" s="4">
        <f>IFERROR(VLOOKUP(Risikovurdering!AG375,Akseptkriterier!$D$4:$E$8,2,FALSE),0)</f>
        <v>0</v>
      </c>
      <c r="G373" s="4">
        <f>IFERROR(VLOOKUP(Risikovurdering!AF375,Akseptkriterier!$F$4:$G$8,2,FALSE),0)</f>
        <v>0</v>
      </c>
      <c r="H373" s="4">
        <f>IFERROR(VLOOKUP(Risikovurdering!AH375,Akseptkriterier!$H$4:$I$8,2,FALSE),0)</f>
        <v>0</v>
      </c>
      <c r="M373" t="e">
        <f>VLOOKUP(Risikovurdering!D375,Verdivurdering!$B$2:$J$96,9,FALSE)</f>
        <v>#N/A</v>
      </c>
    </row>
    <row r="374" spans="1:13" x14ac:dyDescent="0.25">
      <c r="A374" s="30">
        <v>0</v>
      </c>
      <c r="B374" s="30">
        <v>0</v>
      </c>
      <c r="C374" s="30">
        <v>0</v>
      </c>
      <c r="D374" s="30">
        <v>0</v>
      </c>
      <c r="E374" s="30">
        <v>0</v>
      </c>
      <c r="F374" s="30">
        <v>0</v>
      </c>
      <c r="G374" s="30">
        <v>0</v>
      </c>
      <c r="H374" s="30">
        <v>0</v>
      </c>
      <c r="M374" t="e">
        <f>VLOOKUP(Risikovurdering!D376,Verdivurdering!$B$2:$J$96,9,FALSE)</f>
        <v>#N/A</v>
      </c>
    </row>
    <row r="375" spans="1:13" x14ac:dyDescent="0.25">
      <c r="A375" s="30">
        <v>0</v>
      </c>
      <c r="B375" s="30">
        <v>0</v>
      </c>
      <c r="C375" s="30">
        <v>0</v>
      </c>
      <c r="D375" s="30">
        <v>0</v>
      </c>
      <c r="E375" s="30">
        <v>0</v>
      </c>
      <c r="F375" s="30">
        <v>0</v>
      </c>
      <c r="G375" s="30">
        <v>0</v>
      </c>
      <c r="H375" s="30">
        <v>0</v>
      </c>
      <c r="M375" t="e">
        <f>VLOOKUP(Risikovurdering!D377,Verdivurdering!$B$2:$J$96,9,FALSE)</f>
        <v>#N/A</v>
      </c>
    </row>
    <row r="376" spans="1:13" x14ac:dyDescent="0.25">
      <c r="A376" s="30">
        <v>0</v>
      </c>
      <c r="B376" s="30">
        <v>0</v>
      </c>
      <c r="C376" s="30">
        <v>0</v>
      </c>
      <c r="D376" s="30">
        <v>0</v>
      </c>
      <c r="E376" s="30">
        <v>0</v>
      </c>
      <c r="F376" s="30">
        <v>0</v>
      </c>
      <c r="G376" s="30">
        <v>0</v>
      </c>
      <c r="H376" s="30">
        <v>0</v>
      </c>
      <c r="M376" t="e">
        <f>VLOOKUP(Risikovurdering!D378,Verdivurdering!$B$2:$J$96,9,FALSE)</f>
        <v>#N/A</v>
      </c>
    </row>
    <row r="377" spans="1:13" x14ac:dyDescent="0.25">
      <c r="A377" s="30">
        <v>0</v>
      </c>
      <c r="B377" s="30">
        <v>0</v>
      </c>
      <c r="C377" s="30">
        <v>0</v>
      </c>
      <c r="D377" s="30">
        <v>0</v>
      </c>
      <c r="E377" s="30">
        <v>0</v>
      </c>
      <c r="F377" s="30">
        <v>0</v>
      </c>
      <c r="G377" s="30">
        <v>0</v>
      </c>
      <c r="H377" s="30">
        <v>0</v>
      </c>
      <c r="M377" t="e">
        <f>VLOOKUP(Risikovurdering!D379,Verdivurdering!$B$2:$J$96,9,FALSE)</f>
        <v>#N/A</v>
      </c>
    </row>
    <row r="378" spans="1:13" x14ac:dyDescent="0.25">
      <c r="A378" s="30">
        <v>0</v>
      </c>
      <c r="B378" s="30">
        <v>0</v>
      </c>
      <c r="C378" s="30">
        <v>0</v>
      </c>
      <c r="D378" s="30">
        <v>0</v>
      </c>
      <c r="E378" s="30">
        <v>0</v>
      </c>
      <c r="F378" s="30">
        <v>0</v>
      </c>
      <c r="G378" s="30">
        <v>0</v>
      </c>
      <c r="H378" s="30">
        <v>0</v>
      </c>
      <c r="M378" t="e">
        <f>VLOOKUP(Risikovurdering!D380,Verdivurdering!$B$2:$J$96,9,FALSE)</f>
        <v>#N/A</v>
      </c>
    </row>
    <row r="379" spans="1:13" x14ac:dyDescent="0.25">
      <c r="A379" s="30">
        <v>0</v>
      </c>
      <c r="B379" s="30">
        <v>0</v>
      </c>
      <c r="C379" s="30">
        <v>0</v>
      </c>
      <c r="D379" s="30">
        <v>0</v>
      </c>
      <c r="E379" s="30">
        <v>0</v>
      </c>
      <c r="F379" s="30">
        <v>0</v>
      </c>
      <c r="G379" s="30">
        <v>0</v>
      </c>
      <c r="H379" s="30">
        <v>0</v>
      </c>
      <c r="M379" t="e">
        <f>VLOOKUP(Risikovurdering!D381,Verdivurdering!$B$2:$J$96,9,FALSE)</f>
        <v>#N/A</v>
      </c>
    </row>
    <row r="380" spans="1:13" x14ac:dyDescent="0.25">
      <c r="A380" s="30">
        <v>0</v>
      </c>
      <c r="B380" s="30">
        <v>0</v>
      </c>
      <c r="C380" s="30">
        <v>0</v>
      </c>
      <c r="D380" s="30">
        <v>0</v>
      </c>
      <c r="E380" s="30">
        <v>0</v>
      </c>
      <c r="F380" s="30">
        <v>0</v>
      </c>
      <c r="G380" s="30">
        <v>0</v>
      </c>
      <c r="H380" s="30">
        <v>0</v>
      </c>
      <c r="M380" t="e">
        <f>VLOOKUP(Risikovurdering!D382,Verdivurdering!$B$2:$J$96,9,FALSE)</f>
        <v>#N/A</v>
      </c>
    </row>
    <row r="381" spans="1:13" x14ac:dyDescent="0.25">
      <c r="A381" s="30">
        <v>0</v>
      </c>
      <c r="B381" s="30">
        <v>0</v>
      </c>
      <c r="C381" s="30">
        <v>0</v>
      </c>
      <c r="D381" s="30">
        <v>0</v>
      </c>
      <c r="E381" s="30">
        <v>0</v>
      </c>
      <c r="F381" s="30">
        <v>0</v>
      </c>
      <c r="G381" s="30">
        <v>0</v>
      </c>
      <c r="H381" s="30">
        <v>0</v>
      </c>
      <c r="M381" t="e">
        <f>VLOOKUP(Risikovurdering!D383,Verdivurdering!$B$2:$J$96,9,FALSE)</f>
        <v>#N/A</v>
      </c>
    </row>
    <row r="382" spans="1:13" x14ac:dyDescent="0.25">
      <c r="A382" s="30">
        <v>0</v>
      </c>
      <c r="B382" s="30">
        <v>0</v>
      </c>
      <c r="C382" s="30">
        <v>0</v>
      </c>
      <c r="D382" s="30">
        <v>0</v>
      </c>
      <c r="E382" s="30">
        <v>0</v>
      </c>
      <c r="F382" s="30">
        <v>0</v>
      </c>
      <c r="G382" s="30">
        <v>0</v>
      </c>
      <c r="H382" s="30">
        <v>0</v>
      </c>
      <c r="M382" t="e">
        <f>VLOOKUP(Risikovurdering!D384,Verdivurdering!$B$2:$J$96,9,FALSE)</f>
        <v>#N/A</v>
      </c>
    </row>
    <row r="383" spans="1:13" x14ac:dyDescent="0.25">
      <c r="A383" s="31" t="str">
        <f>"R"&amp;B383</f>
        <v>R39</v>
      </c>
      <c r="B383" s="4">
        <v>39</v>
      </c>
      <c r="C383" s="4">
        <f>IFERROR(VLOOKUP(Risikovurdering!T385,Akseptkriterier!$D$4:$E$8,2,FALSE),0)</f>
        <v>0</v>
      </c>
      <c r="D383" s="4">
        <f>IFERROR(VLOOKUP(Risikovurdering!R385,Akseptkriterier!$F$4:$G$8,2,FALSE),0)</f>
        <v>0</v>
      </c>
      <c r="E383" s="4">
        <f>IFERROR(VLOOKUP(Risikovurdering!U385,Akseptkriterier!$H$4:$I$8,2,FALSE),0)</f>
        <v>0</v>
      </c>
      <c r="F383" s="4">
        <f>IFERROR(VLOOKUP(Risikovurdering!AG385,Akseptkriterier!$D$4:$E$8,2,FALSE),0)</f>
        <v>0</v>
      </c>
      <c r="G383" s="4">
        <f>IFERROR(VLOOKUP(Risikovurdering!AF385,Akseptkriterier!$F$4:$G$8,2,FALSE),0)</f>
        <v>0</v>
      </c>
      <c r="H383" s="4">
        <f>IFERROR(VLOOKUP(Risikovurdering!AH385,Akseptkriterier!$H$4:$I$8,2,FALSE),0)</f>
        <v>0</v>
      </c>
      <c r="M383" t="e">
        <f>VLOOKUP(Risikovurdering!D385,Verdivurdering!$B$2:$J$96,9,FALSE)</f>
        <v>#N/A</v>
      </c>
    </row>
    <row r="384" spans="1:13" x14ac:dyDescent="0.25">
      <c r="A384" s="30">
        <v>0</v>
      </c>
      <c r="B384" s="30">
        <v>0</v>
      </c>
      <c r="C384" s="30">
        <v>0</v>
      </c>
      <c r="D384" s="30">
        <v>0</v>
      </c>
      <c r="E384" s="30">
        <v>0</v>
      </c>
      <c r="F384" s="30">
        <v>0</v>
      </c>
      <c r="G384" s="30">
        <v>0</v>
      </c>
      <c r="H384" s="30">
        <v>0</v>
      </c>
      <c r="M384" t="e">
        <f>VLOOKUP(Risikovurdering!D386,Verdivurdering!$B$2:$J$96,9,FALSE)</f>
        <v>#N/A</v>
      </c>
    </row>
    <row r="385" spans="1:13" x14ac:dyDescent="0.25">
      <c r="A385" s="30">
        <v>0</v>
      </c>
      <c r="B385" s="30">
        <v>0</v>
      </c>
      <c r="C385" s="30">
        <v>0</v>
      </c>
      <c r="D385" s="30">
        <v>0</v>
      </c>
      <c r="E385" s="30">
        <v>0</v>
      </c>
      <c r="F385" s="30">
        <v>0</v>
      </c>
      <c r="G385" s="30">
        <v>0</v>
      </c>
      <c r="H385" s="30">
        <v>0</v>
      </c>
      <c r="M385" t="e">
        <f>VLOOKUP(Risikovurdering!D387,Verdivurdering!$B$2:$J$96,9,FALSE)</f>
        <v>#N/A</v>
      </c>
    </row>
    <row r="386" spans="1:13" x14ac:dyDescent="0.25">
      <c r="A386" s="30">
        <v>0</v>
      </c>
      <c r="B386" s="30">
        <v>0</v>
      </c>
      <c r="C386" s="30">
        <v>0</v>
      </c>
      <c r="D386" s="30">
        <v>0</v>
      </c>
      <c r="E386" s="30">
        <v>0</v>
      </c>
      <c r="F386" s="30">
        <v>0</v>
      </c>
      <c r="G386" s="30">
        <v>0</v>
      </c>
      <c r="H386" s="30">
        <v>0</v>
      </c>
      <c r="M386" t="e">
        <f>VLOOKUP(Risikovurdering!D388,Verdivurdering!$B$2:$J$96,9,FALSE)</f>
        <v>#N/A</v>
      </c>
    </row>
    <row r="387" spans="1:13" x14ac:dyDescent="0.25">
      <c r="A387" s="30">
        <v>0</v>
      </c>
      <c r="B387" s="30">
        <v>0</v>
      </c>
      <c r="C387" s="30">
        <v>0</v>
      </c>
      <c r="D387" s="30">
        <v>0</v>
      </c>
      <c r="E387" s="30">
        <v>0</v>
      </c>
      <c r="F387" s="30">
        <v>0</v>
      </c>
      <c r="G387" s="30">
        <v>0</v>
      </c>
      <c r="H387" s="30">
        <v>0</v>
      </c>
      <c r="M387" t="e">
        <f>VLOOKUP(Risikovurdering!D389,Verdivurdering!$B$2:$J$96,9,FALSE)</f>
        <v>#N/A</v>
      </c>
    </row>
    <row r="388" spans="1:13" x14ac:dyDescent="0.25">
      <c r="A388" s="30">
        <v>0</v>
      </c>
      <c r="B388" s="30">
        <v>0</v>
      </c>
      <c r="C388" s="30">
        <v>0</v>
      </c>
      <c r="D388" s="30">
        <v>0</v>
      </c>
      <c r="E388" s="30">
        <v>0</v>
      </c>
      <c r="F388" s="30">
        <v>0</v>
      </c>
      <c r="G388" s="30">
        <v>0</v>
      </c>
      <c r="H388" s="30">
        <v>0</v>
      </c>
      <c r="M388" t="e">
        <f>VLOOKUP(Risikovurdering!D390,Verdivurdering!$B$2:$J$96,9,FALSE)</f>
        <v>#N/A</v>
      </c>
    </row>
    <row r="389" spans="1:13" x14ac:dyDescent="0.25">
      <c r="A389" s="30">
        <v>0</v>
      </c>
      <c r="B389" s="30">
        <v>0</v>
      </c>
      <c r="C389" s="30">
        <v>0</v>
      </c>
      <c r="D389" s="30">
        <v>0</v>
      </c>
      <c r="E389" s="30">
        <v>0</v>
      </c>
      <c r="F389" s="30">
        <v>0</v>
      </c>
      <c r="G389" s="30">
        <v>0</v>
      </c>
      <c r="H389" s="30">
        <v>0</v>
      </c>
      <c r="M389" t="e">
        <f>VLOOKUP(Risikovurdering!D391,Verdivurdering!$B$2:$J$96,9,FALSE)</f>
        <v>#N/A</v>
      </c>
    </row>
    <row r="390" spans="1:13" x14ac:dyDescent="0.25">
      <c r="A390" s="30">
        <v>0</v>
      </c>
      <c r="B390" s="30">
        <v>0</v>
      </c>
      <c r="C390" s="30">
        <v>0</v>
      </c>
      <c r="D390" s="30">
        <v>0</v>
      </c>
      <c r="E390" s="30">
        <v>0</v>
      </c>
      <c r="F390" s="30">
        <v>0</v>
      </c>
      <c r="G390" s="30">
        <v>0</v>
      </c>
      <c r="H390" s="30">
        <v>0</v>
      </c>
      <c r="M390" t="e">
        <f>VLOOKUP(Risikovurdering!D392,Verdivurdering!$B$2:$J$96,9,FALSE)</f>
        <v>#N/A</v>
      </c>
    </row>
    <row r="391" spans="1:13" x14ac:dyDescent="0.25">
      <c r="A391" s="30">
        <v>0</v>
      </c>
      <c r="B391" s="30">
        <v>0</v>
      </c>
      <c r="C391" s="30">
        <v>0</v>
      </c>
      <c r="D391" s="30">
        <v>0</v>
      </c>
      <c r="E391" s="30">
        <v>0</v>
      </c>
      <c r="F391" s="30">
        <v>0</v>
      </c>
      <c r="G391" s="30">
        <v>0</v>
      </c>
      <c r="H391" s="30">
        <v>0</v>
      </c>
      <c r="M391" t="e">
        <f>VLOOKUP(Risikovurdering!D393,Verdivurdering!$B$2:$J$96,9,FALSE)</f>
        <v>#N/A</v>
      </c>
    </row>
    <row r="392" spans="1:13" x14ac:dyDescent="0.25">
      <c r="A392" s="30">
        <v>0</v>
      </c>
      <c r="B392" s="30">
        <v>0</v>
      </c>
      <c r="C392" s="30">
        <v>0</v>
      </c>
      <c r="D392" s="30">
        <v>0</v>
      </c>
      <c r="E392" s="30">
        <v>0</v>
      </c>
      <c r="F392" s="30">
        <v>0</v>
      </c>
      <c r="G392" s="30">
        <v>0</v>
      </c>
      <c r="H392" s="30">
        <v>0</v>
      </c>
      <c r="M392" t="e">
        <f>VLOOKUP(Risikovurdering!D394,Verdivurdering!$B$2:$J$96,9,FALSE)</f>
        <v>#N/A</v>
      </c>
    </row>
    <row r="393" spans="1:13" x14ac:dyDescent="0.25">
      <c r="A393" s="31" t="str">
        <f>"R"&amp;B393</f>
        <v>R40</v>
      </c>
      <c r="B393" s="4">
        <v>40</v>
      </c>
      <c r="C393" s="4">
        <f>IFERROR(VLOOKUP(Risikovurdering!T395,Akseptkriterier!$D$4:$E$8,2,FALSE),0)</f>
        <v>0</v>
      </c>
      <c r="D393" s="4">
        <f>IFERROR(VLOOKUP(Risikovurdering!R395,Akseptkriterier!$F$4:$G$8,2,FALSE),0)</f>
        <v>0</v>
      </c>
      <c r="E393" s="4">
        <f>IFERROR(VLOOKUP(Risikovurdering!U395,Akseptkriterier!$H$4:$I$8,2,FALSE),0)</f>
        <v>0</v>
      </c>
      <c r="F393" s="4">
        <f>IFERROR(VLOOKUP(Risikovurdering!AG395,Akseptkriterier!$D$4:$E$8,2,FALSE),0)</f>
        <v>0</v>
      </c>
      <c r="G393" s="4">
        <f>IFERROR(VLOOKUP(Risikovurdering!AF395,Akseptkriterier!$F$4:$G$8,2,FALSE),0)</f>
        <v>0</v>
      </c>
      <c r="H393" s="4">
        <f>IFERROR(VLOOKUP(Risikovurdering!AH395,Akseptkriterier!$H$4:$I$8,2,FALSE),0)</f>
        <v>0</v>
      </c>
      <c r="M393" t="e">
        <f>VLOOKUP(Risikovurdering!D395,Verdivurdering!$B$2:$J$96,9,FALSE)</f>
        <v>#N/A</v>
      </c>
    </row>
    <row r="394" spans="1:13" x14ac:dyDescent="0.25">
      <c r="A394" s="30">
        <v>0</v>
      </c>
      <c r="B394" s="30">
        <v>0</v>
      </c>
      <c r="C394" s="30">
        <v>0</v>
      </c>
      <c r="D394" s="30">
        <v>0</v>
      </c>
      <c r="E394" s="30">
        <v>0</v>
      </c>
      <c r="F394" s="30">
        <v>0</v>
      </c>
      <c r="G394" s="30">
        <v>0</v>
      </c>
      <c r="H394" s="30">
        <v>0</v>
      </c>
      <c r="M394" t="e">
        <f>VLOOKUP(Risikovurdering!D396,Verdivurdering!$B$2:$J$96,9,FALSE)</f>
        <v>#N/A</v>
      </c>
    </row>
    <row r="395" spans="1:13" x14ac:dyDescent="0.25">
      <c r="A395" s="30">
        <v>0</v>
      </c>
      <c r="B395" s="30">
        <v>0</v>
      </c>
      <c r="C395" s="30">
        <v>0</v>
      </c>
      <c r="D395" s="30">
        <v>0</v>
      </c>
      <c r="E395" s="30">
        <v>0</v>
      </c>
      <c r="F395" s="30">
        <v>0</v>
      </c>
      <c r="G395" s="30">
        <v>0</v>
      </c>
      <c r="H395" s="30">
        <v>0</v>
      </c>
      <c r="M395" t="e">
        <f>VLOOKUP(Risikovurdering!D397,Verdivurdering!$B$2:$J$96,9,FALSE)</f>
        <v>#N/A</v>
      </c>
    </row>
    <row r="396" spans="1:13" x14ac:dyDescent="0.25">
      <c r="A396" s="30">
        <v>0</v>
      </c>
      <c r="B396" s="30">
        <v>0</v>
      </c>
      <c r="C396" s="30">
        <v>0</v>
      </c>
      <c r="D396" s="30">
        <v>0</v>
      </c>
      <c r="E396" s="30">
        <v>0</v>
      </c>
      <c r="F396" s="30">
        <v>0</v>
      </c>
      <c r="G396" s="30">
        <v>0</v>
      </c>
      <c r="H396" s="30">
        <v>0</v>
      </c>
      <c r="M396" t="e">
        <f>VLOOKUP(Risikovurdering!D398,Verdivurdering!$B$2:$J$96,9,FALSE)</f>
        <v>#N/A</v>
      </c>
    </row>
    <row r="397" spans="1:13" x14ac:dyDescent="0.25">
      <c r="A397" s="30">
        <v>0</v>
      </c>
      <c r="B397" s="30">
        <v>0</v>
      </c>
      <c r="C397" s="30">
        <v>0</v>
      </c>
      <c r="D397" s="30">
        <v>0</v>
      </c>
      <c r="E397" s="30">
        <v>0</v>
      </c>
      <c r="F397" s="30">
        <v>0</v>
      </c>
      <c r="G397" s="30">
        <v>0</v>
      </c>
      <c r="H397" s="30">
        <v>0</v>
      </c>
      <c r="M397" t="e">
        <f>VLOOKUP(Risikovurdering!D399,Verdivurdering!$B$2:$J$96,9,FALSE)</f>
        <v>#N/A</v>
      </c>
    </row>
    <row r="398" spans="1:13" x14ac:dyDescent="0.25">
      <c r="A398" s="30">
        <v>0</v>
      </c>
      <c r="B398" s="30">
        <v>0</v>
      </c>
      <c r="C398" s="30">
        <v>0</v>
      </c>
      <c r="D398" s="30">
        <v>0</v>
      </c>
      <c r="E398" s="30">
        <v>0</v>
      </c>
      <c r="F398" s="30">
        <v>0</v>
      </c>
      <c r="G398" s="30">
        <v>0</v>
      </c>
      <c r="H398" s="30">
        <v>0</v>
      </c>
      <c r="M398" t="e">
        <f>VLOOKUP(Risikovurdering!D400,Verdivurdering!$B$2:$J$96,9,FALSE)</f>
        <v>#N/A</v>
      </c>
    </row>
    <row r="399" spans="1:13" x14ac:dyDescent="0.25">
      <c r="A399" s="30">
        <v>0</v>
      </c>
      <c r="B399" s="30">
        <v>0</v>
      </c>
      <c r="C399" s="30">
        <v>0</v>
      </c>
      <c r="D399" s="30">
        <v>0</v>
      </c>
      <c r="E399" s="30">
        <v>0</v>
      </c>
      <c r="F399" s="30">
        <v>0</v>
      </c>
      <c r="G399" s="30">
        <v>0</v>
      </c>
      <c r="H399" s="30">
        <v>0</v>
      </c>
      <c r="M399" t="e">
        <f>VLOOKUP(Risikovurdering!D401,Verdivurdering!$B$2:$J$96,9,FALSE)</f>
        <v>#N/A</v>
      </c>
    </row>
    <row r="400" spans="1:13" x14ac:dyDescent="0.25">
      <c r="A400" s="30">
        <v>0</v>
      </c>
      <c r="B400" s="30">
        <v>0</v>
      </c>
      <c r="C400" s="30">
        <v>0</v>
      </c>
      <c r="D400" s="30">
        <v>0</v>
      </c>
      <c r="E400" s="30">
        <v>0</v>
      </c>
      <c r="F400" s="30">
        <v>0</v>
      </c>
      <c r="G400" s="30">
        <v>0</v>
      </c>
      <c r="H400" s="30">
        <v>0</v>
      </c>
      <c r="M400" t="e">
        <f>VLOOKUP(Risikovurdering!D402,Verdivurdering!$B$2:$J$96,9,FALSE)</f>
        <v>#N/A</v>
      </c>
    </row>
    <row r="401" spans="1:13" x14ac:dyDescent="0.25">
      <c r="A401" s="30">
        <v>0</v>
      </c>
      <c r="B401" s="30">
        <v>0</v>
      </c>
      <c r="C401" s="30">
        <v>0</v>
      </c>
      <c r="D401" s="30">
        <v>0</v>
      </c>
      <c r="E401" s="30">
        <v>0</v>
      </c>
      <c r="F401" s="30">
        <v>0</v>
      </c>
      <c r="G401" s="30">
        <v>0</v>
      </c>
      <c r="H401" s="30">
        <v>0</v>
      </c>
      <c r="M401" t="e">
        <f>VLOOKUP(Risikovurdering!D403,Verdivurdering!$B$2:$J$96,9,FALSE)</f>
        <v>#N/A</v>
      </c>
    </row>
    <row r="402" spans="1:13" x14ac:dyDescent="0.25">
      <c r="A402" s="30">
        <v>0</v>
      </c>
      <c r="B402" s="30">
        <v>0</v>
      </c>
      <c r="C402" s="30">
        <v>0</v>
      </c>
      <c r="D402" s="30">
        <v>0</v>
      </c>
      <c r="E402" s="30">
        <v>0</v>
      </c>
      <c r="F402" s="30">
        <v>0</v>
      </c>
      <c r="G402" s="30">
        <v>0</v>
      </c>
      <c r="H402" s="30">
        <v>0</v>
      </c>
      <c r="M402" t="e">
        <f>VLOOKUP(Risikovurdering!D404,Verdivurdering!$B$2:$J$96,9,FALSE)</f>
        <v>#N/A</v>
      </c>
    </row>
    <row r="403" spans="1:13" x14ac:dyDescent="0.25">
      <c r="A403" s="31" t="str">
        <f>"R"&amp;B403</f>
        <v>R41</v>
      </c>
      <c r="B403" s="4">
        <v>41</v>
      </c>
      <c r="C403" s="4">
        <f>IFERROR(VLOOKUP(Risikovurdering!T405,Akseptkriterier!$D$4:$E$8,2,FALSE),0)</f>
        <v>0</v>
      </c>
      <c r="D403" s="4">
        <f>IFERROR(VLOOKUP(Risikovurdering!R405,Akseptkriterier!$F$4:$G$8,2,FALSE),0)</f>
        <v>0</v>
      </c>
      <c r="E403" s="4">
        <f>IFERROR(VLOOKUP(Risikovurdering!U405,Akseptkriterier!$H$4:$I$8,2,FALSE),0)</f>
        <v>0</v>
      </c>
      <c r="F403" s="4">
        <f>IFERROR(VLOOKUP(Risikovurdering!AG405,Akseptkriterier!$D$4:$E$8,2,FALSE),0)</f>
        <v>0</v>
      </c>
      <c r="G403" s="4">
        <f>IFERROR(VLOOKUP(Risikovurdering!AF405,Akseptkriterier!$F$4:$G$8,2,FALSE),0)</f>
        <v>0</v>
      </c>
      <c r="H403" s="4">
        <f>IFERROR(VLOOKUP(Risikovurdering!AH405,Akseptkriterier!$H$4:$I$8,2,FALSE),0)</f>
        <v>0</v>
      </c>
      <c r="M403" t="e">
        <f>VLOOKUP(Risikovurdering!D405,Verdivurdering!$B$2:$J$96,9,FALSE)</f>
        <v>#N/A</v>
      </c>
    </row>
    <row r="404" spans="1:13" x14ac:dyDescent="0.25">
      <c r="A404" s="30">
        <v>0</v>
      </c>
      <c r="B404" s="30">
        <v>0</v>
      </c>
      <c r="C404" s="30">
        <v>0</v>
      </c>
      <c r="D404" s="30">
        <v>0</v>
      </c>
      <c r="E404" s="30">
        <v>0</v>
      </c>
      <c r="F404" s="30">
        <v>0</v>
      </c>
      <c r="G404" s="30">
        <v>0</v>
      </c>
      <c r="H404" s="30">
        <v>0</v>
      </c>
      <c r="M404" t="e">
        <f>VLOOKUP(Risikovurdering!D406,Verdivurdering!$B$2:$J$96,9,FALSE)</f>
        <v>#N/A</v>
      </c>
    </row>
    <row r="405" spans="1:13" x14ac:dyDescent="0.25">
      <c r="A405" s="30">
        <v>0</v>
      </c>
      <c r="B405" s="30">
        <v>0</v>
      </c>
      <c r="C405" s="30">
        <v>0</v>
      </c>
      <c r="D405" s="30">
        <v>0</v>
      </c>
      <c r="E405" s="30">
        <v>0</v>
      </c>
      <c r="F405" s="30">
        <v>0</v>
      </c>
      <c r="G405" s="30">
        <v>0</v>
      </c>
      <c r="H405" s="30">
        <v>0</v>
      </c>
      <c r="M405" t="e">
        <f>VLOOKUP(Risikovurdering!D407,Verdivurdering!$B$2:$J$96,9,FALSE)</f>
        <v>#N/A</v>
      </c>
    </row>
    <row r="406" spans="1:13" x14ac:dyDescent="0.25">
      <c r="A406" s="30">
        <v>0</v>
      </c>
      <c r="B406" s="30">
        <v>0</v>
      </c>
      <c r="C406" s="30">
        <v>0</v>
      </c>
      <c r="D406" s="30">
        <v>0</v>
      </c>
      <c r="E406" s="30">
        <v>0</v>
      </c>
      <c r="F406" s="30">
        <v>0</v>
      </c>
      <c r="G406" s="30">
        <v>0</v>
      </c>
      <c r="H406" s="30">
        <v>0</v>
      </c>
      <c r="M406" t="e">
        <f>VLOOKUP(Risikovurdering!D408,Verdivurdering!$B$2:$J$96,9,FALSE)</f>
        <v>#N/A</v>
      </c>
    </row>
    <row r="407" spans="1:13" x14ac:dyDescent="0.25">
      <c r="A407" s="30">
        <v>0</v>
      </c>
      <c r="B407" s="30">
        <v>0</v>
      </c>
      <c r="C407" s="30">
        <v>0</v>
      </c>
      <c r="D407" s="30">
        <v>0</v>
      </c>
      <c r="E407" s="30">
        <v>0</v>
      </c>
      <c r="F407" s="30">
        <v>0</v>
      </c>
      <c r="G407" s="30">
        <v>0</v>
      </c>
      <c r="H407" s="30">
        <v>0</v>
      </c>
      <c r="M407" t="e">
        <f>VLOOKUP(Risikovurdering!D409,Verdivurdering!$B$2:$J$96,9,FALSE)</f>
        <v>#N/A</v>
      </c>
    </row>
    <row r="408" spans="1:13" x14ac:dyDescent="0.25">
      <c r="A408" s="30">
        <v>0</v>
      </c>
      <c r="B408" s="30">
        <v>0</v>
      </c>
      <c r="C408" s="30">
        <v>0</v>
      </c>
      <c r="D408" s="30">
        <v>0</v>
      </c>
      <c r="E408" s="30">
        <v>0</v>
      </c>
      <c r="F408" s="30">
        <v>0</v>
      </c>
      <c r="G408" s="30">
        <v>0</v>
      </c>
      <c r="H408" s="30">
        <v>0</v>
      </c>
      <c r="M408" t="e">
        <f>VLOOKUP(Risikovurdering!D410,Verdivurdering!$B$2:$J$96,9,FALSE)</f>
        <v>#N/A</v>
      </c>
    </row>
    <row r="409" spans="1:13" x14ac:dyDescent="0.25">
      <c r="A409" s="30">
        <v>0</v>
      </c>
      <c r="B409" s="30">
        <v>0</v>
      </c>
      <c r="C409" s="30">
        <v>0</v>
      </c>
      <c r="D409" s="30">
        <v>0</v>
      </c>
      <c r="E409" s="30">
        <v>0</v>
      </c>
      <c r="F409" s="30">
        <v>0</v>
      </c>
      <c r="G409" s="30">
        <v>0</v>
      </c>
      <c r="H409" s="30">
        <v>0</v>
      </c>
      <c r="M409" t="e">
        <f>VLOOKUP(Risikovurdering!D411,Verdivurdering!$B$2:$J$96,9,FALSE)</f>
        <v>#N/A</v>
      </c>
    </row>
    <row r="410" spans="1:13" x14ac:dyDescent="0.25">
      <c r="A410" s="30">
        <v>0</v>
      </c>
      <c r="B410" s="30">
        <v>0</v>
      </c>
      <c r="C410" s="30">
        <v>0</v>
      </c>
      <c r="D410" s="30">
        <v>0</v>
      </c>
      <c r="E410" s="30">
        <v>0</v>
      </c>
      <c r="F410" s="30">
        <v>0</v>
      </c>
      <c r="G410" s="30">
        <v>0</v>
      </c>
      <c r="H410" s="30">
        <v>0</v>
      </c>
      <c r="M410" t="e">
        <f>VLOOKUP(Risikovurdering!D412,Verdivurdering!$B$2:$J$96,9,FALSE)</f>
        <v>#N/A</v>
      </c>
    </row>
    <row r="411" spans="1:13" x14ac:dyDescent="0.25">
      <c r="A411" s="30">
        <v>0</v>
      </c>
      <c r="B411" s="30">
        <v>0</v>
      </c>
      <c r="C411" s="30">
        <v>0</v>
      </c>
      <c r="D411" s="30">
        <v>0</v>
      </c>
      <c r="E411" s="30">
        <v>0</v>
      </c>
      <c r="F411" s="30">
        <v>0</v>
      </c>
      <c r="G411" s="30">
        <v>0</v>
      </c>
      <c r="H411" s="30">
        <v>0</v>
      </c>
      <c r="M411" t="e">
        <f>VLOOKUP(Risikovurdering!D413,Verdivurdering!$B$2:$J$96,9,FALSE)</f>
        <v>#N/A</v>
      </c>
    </row>
    <row r="412" spans="1:13" x14ac:dyDescent="0.25">
      <c r="A412" s="30">
        <v>0</v>
      </c>
      <c r="B412" s="30">
        <v>0</v>
      </c>
      <c r="C412" s="30">
        <v>0</v>
      </c>
      <c r="D412" s="30">
        <v>0</v>
      </c>
      <c r="E412" s="30">
        <v>0</v>
      </c>
      <c r="F412" s="30">
        <v>0</v>
      </c>
      <c r="G412" s="30">
        <v>0</v>
      </c>
      <c r="H412" s="30">
        <v>0</v>
      </c>
      <c r="M412" t="e">
        <f>VLOOKUP(Risikovurdering!D414,Verdivurdering!$B$2:$J$96,9,FALSE)</f>
        <v>#N/A</v>
      </c>
    </row>
    <row r="413" spans="1:13" x14ac:dyDescent="0.25">
      <c r="A413" s="31" t="str">
        <f>"R"&amp;B413</f>
        <v>R42</v>
      </c>
      <c r="B413" s="4">
        <v>42</v>
      </c>
      <c r="C413" s="4">
        <f>IFERROR(VLOOKUP(Risikovurdering!T415,Akseptkriterier!$D$4:$E$8,2,FALSE),0)</f>
        <v>0</v>
      </c>
      <c r="D413" s="4">
        <f>IFERROR(VLOOKUP(Risikovurdering!R415,Akseptkriterier!$F$4:$G$8,2,FALSE),0)</f>
        <v>0</v>
      </c>
      <c r="E413" s="4">
        <f>IFERROR(VLOOKUP(Risikovurdering!U415,Akseptkriterier!$H$4:$I$8,2,FALSE),0)</f>
        <v>0</v>
      </c>
      <c r="F413" s="4">
        <f>IFERROR(VLOOKUP(Risikovurdering!AG415,Akseptkriterier!$D$4:$E$8,2,FALSE),0)</f>
        <v>0</v>
      </c>
      <c r="G413" s="4">
        <f>IFERROR(VLOOKUP(Risikovurdering!AF415,Akseptkriterier!$F$4:$G$8,2,FALSE),0)</f>
        <v>0</v>
      </c>
      <c r="H413" s="4">
        <f>IFERROR(VLOOKUP(Risikovurdering!AH415,Akseptkriterier!$H$4:$I$8,2,FALSE),0)</f>
        <v>0</v>
      </c>
      <c r="M413" t="e">
        <f>VLOOKUP(Risikovurdering!D415,Verdivurdering!$B$2:$J$96,9,FALSE)</f>
        <v>#N/A</v>
      </c>
    </row>
    <row r="414" spans="1:13" x14ac:dyDescent="0.25">
      <c r="A414" s="30">
        <v>0</v>
      </c>
      <c r="B414" s="30">
        <v>0</v>
      </c>
      <c r="C414" s="30">
        <v>0</v>
      </c>
      <c r="D414" s="30">
        <v>0</v>
      </c>
      <c r="E414" s="30">
        <v>0</v>
      </c>
      <c r="F414" s="30">
        <v>0</v>
      </c>
      <c r="G414" s="30">
        <v>0</v>
      </c>
      <c r="H414" s="30">
        <v>0</v>
      </c>
      <c r="M414" t="e">
        <f>VLOOKUP(Risikovurdering!D416,Verdivurdering!$B$2:$J$96,9,FALSE)</f>
        <v>#N/A</v>
      </c>
    </row>
    <row r="415" spans="1:13" x14ac:dyDescent="0.25">
      <c r="A415" s="30">
        <v>0</v>
      </c>
      <c r="B415" s="30">
        <v>0</v>
      </c>
      <c r="C415" s="30">
        <v>0</v>
      </c>
      <c r="D415" s="30">
        <v>0</v>
      </c>
      <c r="E415" s="30">
        <v>0</v>
      </c>
      <c r="F415" s="30">
        <v>0</v>
      </c>
      <c r="G415" s="30">
        <v>0</v>
      </c>
      <c r="H415" s="30">
        <v>0</v>
      </c>
      <c r="M415" t="e">
        <f>VLOOKUP(Risikovurdering!D417,Verdivurdering!$B$2:$J$96,9,FALSE)</f>
        <v>#N/A</v>
      </c>
    </row>
    <row r="416" spans="1:13" x14ac:dyDescent="0.25">
      <c r="A416" s="30">
        <v>0</v>
      </c>
      <c r="B416" s="30">
        <v>0</v>
      </c>
      <c r="C416" s="30">
        <v>0</v>
      </c>
      <c r="D416" s="30">
        <v>0</v>
      </c>
      <c r="E416" s="30">
        <v>0</v>
      </c>
      <c r="F416" s="30">
        <v>0</v>
      </c>
      <c r="G416" s="30">
        <v>0</v>
      </c>
      <c r="H416" s="30">
        <v>0</v>
      </c>
      <c r="M416" t="e">
        <f>VLOOKUP(Risikovurdering!D418,Verdivurdering!$B$2:$J$96,9,FALSE)</f>
        <v>#N/A</v>
      </c>
    </row>
    <row r="417" spans="1:13" x14ac:dyDescent="0.25">
      <c r="A417" s="30">
        <v>0</v>
      </c>
      <c r="B417" s="30">
        <v>0</v>
      </c>
      <c r="C417" s="30">
        <v>0</v>
      </c>
      <c r="D417" s="30">
        <v>0</v>
      </c>
      <c r="E417" s="30">
        <v>0</v>
      </c>
      <c r="F417" s="30">
        <v>0</v>
      </c>
      <c r="G417" s="30">
        <v>0</v>
      </c>
      <c r="H417" s="30">
        <v>0</v>
      </c>
      <c r="M417" t="e">
        <f>VLOOKUP(Risikovurdering!D419,Verdivurdering!$B$2:$J$96,9,FALSE)</f>
        <v>#N/A</v>
      </c>
    </row>
    <row r="418" spans="1:13" x14ac:dyDescent="0.25">
      <c r="A418" s="30">
        <v>0</v>
      </c>
      <c r="B418" s="30">
        <v>0</v>
      </c>
      <c r="C418" s="30">
        <v>0</v>
      </c>
      <c r="D418" s="30">
        <v>0</v>
      </c>
      <c r="E418" s="30">
        <v>0</v>
      </c>
      <c r="F418" s="30">
        <v>0</v>
      </c>
      <c r="G418" s="30">
        <v>0</v>
      </c>
      <c r="H418" s="30">
        <v>0</v>
      </c>
      <c r="M418" t="e">
        <f>VLOOKUP(Risikovurdering!D420,Verdivurdering!$B$2:$J$96,9,FALSE)</f>
        <v>#N/A</v>
      </c>
    </row>
    <row r="419" spans="1:13" x14ac:dyDescent="0.25">
      <c r="A419" s="30">
        <v>0</v>
      </c>
      <c r="B419" s="30">
        <v>0</v>
      </c>
      <c r="C419" s="30">
        <v>0</v>
      </c>
      <c r="D419" s="30">
        <v>0</v>
      </c>
      <c r="E419" s="30">
        <v>0</v>
      </c>
      <c r="F419" s="30">
        <v>0</v>
      </c>
      <c r="G419" s="30">
        <v>0</v>
      </c>
      <c r="H419" s="30">
        <v>0</v>
      </c>
      <c r="M419" t="e">
        <f>VLOOKUP(Risikovurdering!D421,Verdivurdering!$B$2:$J$96,9,FALSE)</f>
        <v>#N/A</v>
      </c>
    </row>
    <row r="420" spans="1:13" x14ac:dyDescent="0.25">
      <c r="A420" s="30">
        <v>0</v>
      </c>
      <c r="B420" s="30">
        <v>0</v>
      </c>
      <c r="C420" s="30">
        <v>0</v>
      </c>
      <c r="D420" s="30">
        <v>0</v>
      </c>
      <c r="E420" s="30">
        <v>0</v>
      </c>
      <c r="F420" s="30">
        <v>0</v>
      </c>
      <c r="G420" s="30">
        <v>0</v>
      </c>
      <c r="H420" s="30">
        <v>0</v>
      </c>
      <c r="M420" t="e">
        <f>VLOOKUP(Risikovurdering!D422,Verdivurdering!$B$2:$J$96,9,FALSE)</f>
        <v>#N/A</v>
      </c>
    </row>
    <row r="421" spans="1:13" x14ac:dyDescent="0.25">
      <c r="A421" s="30">
        <v>0</v>
      </c>
      <c r="B421" s="30">
        <v>0</v>
      </c>
      <c r="C421" s="30">
        <v>0</v>
      </c>
      <c r="D421" s="30">
        <v>0</v>
      </c>
      <c r="E421" s="30">
        <v>0</v>
      </c>
      <c r="F421" s="30">
        <v>0</v>
      </c>
      <c r="G421" s="30">
        <v>0</v>
      </c>
      <c r="H421" s="30">
        <v>0</v>
      </c>
      <c r="M421" t="e">
        <f>VLOOKUP(Risikovurdering!D423,Verdivurdering!$B$2:$J$96,9,FALSE)</f>
        <v>#N/A</v>
      </c>
    </row>
    <row r="422" spans="1:13" x14ac:dyDescent="0.25">
      <c r="A422" s="30">
        <v>0</v>
      </c>
      <c r="B422" s="30">
        <v>0</v>
      </c>
      <c r="C422" s="30">
        <v>0</v>
      </c>
      <c r="D422" s="30">
        <v>0</v>
      </c>
      <c r="E422" s="30">
        <v>0</v>
      </c>
      <c r="F422" s="30">
        <v>0</v>
      </c>
      <c r="G422" s="30">
        <v>0</v>
      </c>
      <c r="H422" s="30">
        <v>0</v>
      </c>
      <c r="M422" t="e">
        <f>VLOOKUP(Risikovurdering!D424,Verdivurdering!$B$2:$J$96,9,FALSE)</f>
        <v>#N/A</v>
      </c>
    </row>
    <row r="423" spans="1:13" x14ac:dyDescent="0.25">
      <c r="A423" s="31" t="str">
        <f>"R"&amp;B423</f>
        <v>R43</v>
      </c>
      <c r="B423" s="4">
        <v>43</v>
      </c>
      <c r="C423" s="4">
        <f>IFERROR(VLOOKUP(Risikovurdering!T425,Akseptkriterier!$D$4:$E$8,2,FALSE),0)</f>
        <v>0</v>
      </c>
      <c r="D423" s="4">
        <f>IFERROR(VLOOKUP(Risikovurdering!R425,Akseptkriterier!$F$4:$G$8,2,FALSE),0)</f>
        <v>0</v>
      </c>
      <c r="E423" s="4">
        <f>IFERROR(VLOOKUP(Risikovurdering!U425,Akseptkriterier!$H$4:$I$8,2,FALSE),0)</f>
        <v>0</v>
      </c>
      <c r="F423" s="4">
        <f>IFERROR(VLOOKUP(Risikovurdering!AG425,Akseptkriterier!$D$4:$E$8,2,FALSE),0)</f>
        <v>0</v>
      </c>
      <c r="G423" s="4">
        <f>IFERROR(VLOOKUP(Risikovurdering!AF425,Akseptkriterier!$F$4:$G$8,2,FALSE),0)</f>
        <v>0</v>
      </c>
      <c r="H423" s="4">
        <f>IFERROR(VLOOKUP(Risikovurdering!AH425,Akseptkriterier!$H$4:$I$8,2,FALSE),0)</f>
        <v>0</v>
      </c>
      <c r="M423" t="e">
        <f>VLOOKUP(Risikovurdering!D425,Verdivurdering!$B$2:$J$96,9,FALSE)</f>
        <v>#N/A</v>
      </c>
    </row>
    <row r="424" spans="1:13" x14ac:dyDescent="0.25">
      <c r="A424" s="30">
        <v>0</v>
      </c>
      <c r="B424" s="30">
        <v>0</v>
      </c>
      <c r="C424" s="30">
        <v>0</v>
      </c>
      <c r="D424" s="30">
        <v>0</v>
      </c>
      <c r="E424" s="30">
        <v>0</v>
      </c>
      <c r="F424" s="30">
        <v>0</v>
      </c>
      <c r="G424" s="30">
        <v>0</v>
      </c>
      <c r="H424" s="30">
        <v>0</v>
      </c>
      <c r="M424" t="e">
        <f>VLOOKUP(Risikovurdering!D426,Verdivurdering!$B$2:$J$96,9,FALSE)</f>
        <v>#N/A</v>
      </c>
    </row>
    <row r="425" spans="1:13" x14ac:dyDescent="0.25">
      <c r="A425" s="30">
        <v>0</v>
      </c>
      <c r="B425" s="30">
        <v>0</v>
      </c>
      <c r="C425" s="30">
        <v>0</v>
      </c>
      <c r="D425" s="30">
        <v>0</v>
      </c>
      <c r="E425" s="30">
        <v>0</v>
      </c>
      <c r="F425" s="30">
        <v>0</v>
      </c>
      <c r="G425" s="30">
        <v>0</v>
      </c>
      <c r="H425" s="30">
        <v>0</v>
      </c>
      <c r="M425" t="e">
        <f>VLOOKUP(Risikovurdering!D427,Verdivurdering!$B$2:$J$96,9,FALSE)</f>
        <v>#N/A</v>
      </c>
    </row>
    <row r="426" spans="1:13" x14ac:dyDescent="0.25">
      <c r="A426" s="30">
        <v>0</v>
      </c>
      <c r="B426" s="30">
        <v>0</v>
      </c>
      <c r="C426" s="30">
        <v>0</v>
      </c>
      <c r="D426" s="30">
        <v>0</v>
      </c>
      <c r="E426" s="30">
        <v>0</v>
      </c>
      <c r="F426" s="30">
        <v>0</v>
      </c>
      <c r="G426" s="30">
        <v>0</v>
      </c>
      <c r="H426" s="30">
        <v>0</v>
      </c>
      <c r="M426" t="e">
        <f>VLOOKUP(Risikovurdering!D428,Verdivurdering!$B$2:$J$96,9,FALSE)</f>
        <v>#N/A</v>
      </c>
    </row>
    <row r="427" spans="1:13" x14ac:dyDescent="0.25">
      <c r="A427" s="30">
        <v>0</v>
      </c>
      <c r="B427" s="30">
        <v>0</v>
      </c>
      <c r="C427" s="30">
        <v>0</v>
      </c>
      <c r="D427" s="30">
        <v>0</v>
      </c>
      <c r="E427" s="30">
        <v>0</v>
      </c>
      <c r="F427" s="30">
        <v>0</v>
      </c>
      <c r="G427" s="30">
        <v>0</v>
      </c>
      <c r="H427" s="30">
        <v>0</v>
      </c>
      <c r="M427" t="e">
        <f>VLOOKUP(Risikovurdering!D429,Verdivurdering!$B$2:$J$96,9,FALSE)</f>
        <v>#N/A</v>
      </c>
    </row>
    <row r="428" spans="1:13" x14ac:dyDescent="0.25">
      <c r="A428" s="30">
        <v>0</v>
      </c>
      <c r="B428" s="30">
        <v>0</v>
      </c>
      <c r="C428" s="30">
        <v>0</v>
      </c>
      <c r="D428" s="30">
        <v>0</v>
      </c>
      <c r="E428" s="30">
        <v>0</v>
      </c>
      <c r="F428" s="30">
        <v>0</v>
      </c>
      <c r="G428" s="30">
        <v>0</v>
      </c>
      <c r="H428" s="30">
        <v>0</v>
      </c>
      <c r="M428" t="e">
        <f>VLOOKUP(Risikovurdering!D430,Verdivurdering!$B$2:$J$96,9,FALSE)</f>
        <v>#N/A</v>
      </c>
    </row>
    <row r="429" spans="1:13" x14ac:dyDescent="0.25">
      <c r="A429" s="30">
        <v>0</v>
      </c>
      <c r="B429" s="30">
        <v>0</v>
      </c>
      <c r="C429" s="30">
        <v>0</v>
      </c>
      <c r="D429" s="30">
        <v>0</v>
      </c>
      <c r="E429" s="30">
        <v>0</v>
      </c>
      <c r="F429" s="30">
        <v>0</v>
      </c>
      <c r="G429" s="30">
        <v>0</v>
      </c>
      <c r="H429" s="30">
        <v>0</v>
      </c>
      <c r="M429" t="e">
        <f>VLOOKUP(Risikovurdering!D431,Verdivurdering!$B$2:$J$96,9,FALSE)</f>
        <v>#N/A</v>
      </c>
    </row>
    <row r="430" spans="1:13" x14ac:dyDescent="0.25">
      <c r="A430" s="30">
        <v>0</v>
      </c>
      <c r="B430" s="30">
        <v>0</v>
      </c>
      <c r="C430" s="30">
        <v>0</v>
      </c>
      <c r="D430" s="30">
        <v>0</v>
      </c>
      <c r="E430" s="30">
        <v>0</v>
      </c>
      <c r="F430" s="30">
        <v>0</v>
      </c>
      <c r="G430" s="30">
        <v>0</v>
      </c>
      <c r="H430" s="30">
        <v>0</v>
      </c>
      <c r="M430" t="e">
        <f>VLOOKUP(Risikovurdering!D432,Verdivurdering!$B$2:$J$96,9,FALSE)</f>
        <v>#N/A</v>
      </c>
    </row>
    <row r="431" spans="1:13" x14ac:dyDescent="0.25">
      <c r="A431" s="30">
        <v>0</v>
      </c>
      <c r="B431" s="30">
        <v>0</v>
      </c>
      <c r="C431" s="30">
        <v>0</v>
      </c>
      <c r="D431" s="30">
        <v>0</v>
      </c>
      <c r="E431" s="30">
        <v>0</v>
      </c>
      <c r="F431" s="30">
        <v>0</v>
      </c>
      <c r="G431" s="30">
        <v>0</v>
      </c>
      <c r="H431" s="30">
        <v>0</v>
      </c>
      <c r="M431" t="e">
        <f>VLOOKUP(Risikovurdering!D433,Verdivurdering!$B$2:$J$96,9,FALSE)</f>
        <v>#N/A</v>
      </c>
    </row>
    <row r="432" spans="1:13" x14ac:dyDescent="0.25">
      <c r="A432" s="30">
        <v>0</v>
      </c>
      <c r="B432" s="30">
        <v>0</v>
      </c>
      <c r="C432" s="30">
        <v>0</v>
      </c>
      <c r="D432" s="30">
        <v>0</v>
      </c>
      <c r="E432" s="30">
        <v>0</v>
      </c>
      <c r="F432" s="30">
        <v>0</v>
      </c>
      <c r="G432" s="30">
        <v>0</v>
      </c>
      <c r="H432" s="30">
        <v>0</v>
      </c>
      <c r="M432" t="e">
        <f>VLOOKUP(Risikovurdering!D434,Verdivurdering!$B$2:$J$96,9,FALSE)</f>
        <v>#N/A</v>
      </c>
    </row>
    <row r="433" spans="1:13" x14ac:dyDescent="0.25">
      <c r="A433" s="31" t="str">
        <f>"R"&amp;B433</f>
        <v>R44</v>
      </c>
      <c r="B433" s="4">
        <v>44</v>
      </c>
      <c r="C433" s="4">
        <f>IFERROR(VLOOKUP(Risikovurdering!T435,Akseptkriterier!$D$4:$E$8,2,FALSE),0)</f>
        <v>0</v>
      </c>
      <c r="D433" s="4">
        <f>IFERROR(VLOOKUP(Risikovurdering!R435,Akseptkriterier!$F$4:$G$8,2,FALSE),0)</f>
        <v>0</v>
      </c>
      <c r="E433" s="4">
        <f>IFERROR(VLOOKUP(Risikovurdering!U435,Akseptkriterier!$H$4:$I$8,2,FALSE),0)</f>
        <v>0</v>
      </c>
      <c r="F433" s="4">
        <f>IFERROR(VLOOKUP(Risikovurdering!AG435,Akseptkriterier!$D$4:$E$8,2,FALSE),0)</f>
        <v>0</v>
      </c>
      <c r="G433" s="4">
        <f>IFERROR(VLOOKUP(Risikovurdering!AF435,Akseptkriterier!$F$4:$G$8,2,FALSE),0)</f>
        <v>0</v>
      </c>
      <c r="H433" s="4">
        <f>IFERROR(VLOOKUP(Risikovurdering!AH435,Akseptkriterier!$H$4:$I$8,2,FALSE),0)</f>
        <v>0</v>
      </c>
      <c r="M433" t="e">
        <f>VLOOKUP(Risikovurdering!D435,Verdivurdering!$B$2:$J$96,9,FALSE)</f>
        <v>#N/A</v>
      </c>
    </row>
    <row r="434" spans="1:13" x14ac:dyDescent="0.25">
      <c r="A434" s="30">
        <v>0</v>
      </c>
      <c r="B434" s="30">
        <v>0</v>
      </c>
      <c r="C434" s="30">
        <v>0</v>
      </c>
      <c r="D434" s="30">
        <v>0</v>
      </c>
      <c r="E434" s="30">
        <v>0</v>
      </c>
      <c r="F434" s="30">
        <v>0</v>
      </c>
      <c r="G434" s="30">
        <v>0</v>
      </c>
      <c r="H434" s="30">
        <v>0</v>
      </c>
      <c r="M434" t="e">
        <f>VLOOKUP(Risikovurdering!D436,Verdivurdering!$B$2:$J$96,9,FALSE)</f>
        <v>#N/A</v>
      </c>
    </row>
    <row r="435" spans="1:13" x14ac:dyDescent="0.25">
      <c r="A435" s="30">
        <v>0</v>
      </c>
      <c r="B435" s="30">
        <v>0</v>
      </c>
      <c r="C435" s="30">
        <v>0</v>
      </c>
      <c r="D435" s="30">
        <v>0</v>
      </c>
      <c r="E435" s="30">
        <v>0</v>
      </c>
      <c r="F435" s="30">
        <v>0</v>
      </c>
      <c r="G435" s="30">
        <v>0</v>
      </c>
      <c r="H435" s="30">
        <v>0</v>
      </c>
      <c r="M435" t="e">
        <f>VLOOKUP(Risikovurdering!D437,Verdivurdering!$B$2:$J$96,9,FALSE)</f>
        <v>#N/A</v>
      </c>
    </row>
    <row r="436" spans="1:13" x14ac:dyDescent="0.25">
      <c r="A436" s="30">
        <v>0</v>
      </c>
      <c r="B436" s="30">
        <v>0</v>
      </c>
      <c r="C436" s="30">
        <v>0</v>
      </c>
      <c r="D436" s="30">
        <v>0</v>
      </c>
      <c r="E436" s="30">
        <v>0</v>
      </c>
      <c r="F436" s="30">
        <v>0</v>
      </c>
      <c r="G436" s="30">
        <v>0</v>
      </c>
      <c r="H436" s="30">
        <v>0</v>
      </c>
      <c r="M436" t="e">
        <f>VLOOKUP(Risikovurdering!D438,Verdivurdering!$B$2:$J$96,9,FALSE)</f>
        <v>#N/A</v>
      </c>
    </row>
    <row r="437" spans="1:13" x14ac:dyDescent="0.25">
      <c r="A437" s="30">
        <v>0</v>
      </c>
      <c r="B437" s="30">
        <v>0</v>
      </c>
      <c r="C437" s="30">
        <v>0</v>
      </c>
      <c r="D437" s="30">
        <v>0</v>
      </c>
      <c r="E437" s="30">
        <v>0</v>
      </c>
      <c r="F437" s="30">
        <v>0</v>
      </c>
      <c r="G437" s="30">
        <v>0</v>
      </c>
      <c r="H437" s="30">
        <v>0</v>
      </c>
      <c r="M437" t="e">
        <f>VLOOKUP(Risikovurdering!D439,Verdivurdering!$B$2:$J$96,9,FALSE)</f>
        <v>#N/A</v>
      </c>
    </row>
    <row r="438" spans="1:13" x14ac:dyDescent="0.25">
      <c r="A438" s="30">
        <v>0</v>
      </c>
      <c r="B438" s="30">
        <v>0</v>
      </c>
      <c r="C438" s="30">
        <v>0</v>
      </c>
      <c r="D438" s="30">
        <v>0</v>
      </c>
      <c r="E438" s="30">
        <v>0</v>
      </c>
      <c r="F438" s="30">
        <v>0</v>
      </c>
      <c r="G438" s="30">
        <v>0</v>
      </c>
      <c r="H438" s="30">
        <v>0</v>
      </c>
      <c r="M438" t="e">
        <f>VLOOKUP(Risikovurdering!D440,Verdivurdering!$B$2:$J$96,9,FALSE)</f>
        <v>#N/A</v>
      </c>
    </row>
    <row r="439" spans="1:13" x14ac:dyDescent="0.25">
      <c r="A439" s="30">
        <v>0</v>
      </c>
      <c r="B439" s="30">
        <v>0</v>
      </c>
      <c r="C439" s="30">
        <v>0</v>
      </c>
      <c r="D439" s="30">
        <v>0</v>
      </c>
      <c r="E439" s="30">
        <v>0</v>
      </c>
      <c r="F439" s="30">
        <v>0</v>
      </c>
      <c r="G439" s="30">
        <v>0</v>
      </c>
      <c r="H439" s="30">
        <v>0</v>
      </c>
      <c r="M439" t="e">
        <f>VLOOKUP(Risikovurdering!D441,Verdivurdering!$B$2:$J$96,9,FALSE)</f>
        <v>#N/A</v>
      </c>
    </row>
    <row r="440" spans="1:13" x14ac:dyDescent="0.25">
      <c r="A440" s="30">
        <v>0</v>
      </c>
      <c r="B440" s="30">
        <v>0</v>
      </c>
      <c r="C440" s="30">
        <v>0</v>
      </c>
      <c r="D440" s="30">
        <v>0</v>
      </c>
      <c r="E440" s="30">
        <v>0</v>
      </c>
      <c r="F440" s="30">
        <v>0</v>
      </c>
      <c r="G440" s="30">
        <v>0</v>
      </c>
      <c r="H440" s="30">
        <v>0</v>
      </c>
      <c r="M440" t="e">
        <f>VLOOKUP(Risikovurdering!D442,Verdivurdering!$B$2:$J$96,9,FALSE)</f>
        <v>#N/A</v>
      </c>
    </row>
    <row r="441" spans="1:13" x14ac:dyDescent="0.25">
      <c r="A441" s="30">
        <v>0</v>
      </c>
      <c r="B441" s="30">
        <v>0</v>
      </c>
      <c r="C441" s="30">
        <v>0</v>
      </c>
      <c r="D441" s="30">
        <v>0</v>
      </c>
      <c r="E441" s="30">
        <v>0</v>
      </c>
      <c r="F441" s="30">
        <v>0</v>
      </c>
      <c r="G441" s="30">
        <v>0</v>
      </c>
      <c r="H441" s="30">
        <v>0</v>
      </c>
      <c r="M441" t="e">
        <f>VLOOKUP(Risikovurdering!D443,Verdivurdering!$B$2:$J$96,9,FALSE)</f>
        <v>#N/A</v>
      </c>
    </row>
    <row r="442" spans="1:13" x14ac:dyDescent="0.25">
      <c r="A442" s="30">
        <v>0</v>
      </c>
      <c r="B442" s="30">
        <v>0</v>
      </c>
      <c r="C442" s="30">
        <v>0</v>
      </c>
      <c r="D442" s="30">
        <v>0</v>
      </c>
      <c r="E442" s="30">
        <v>0</v>
      </c>
      <c r="F442" s="30">
        <v>0</v>
      </c>
      <c r="G442" s="30">
        <v>0</v>
      </c>
      <c r="H442" s="30">
        <v>0</v>
      </c>
      <c r="M442" t="e">
        <f>VLOOKUP(Risikovurdering!D444,Verdivurdering!$B$2:$J$96,9,FALSE)</f>
        <v>#N/A</v>
      </c>
    </row>
    <row r="443" spans="1:13" x14ac:dyDescent="0.25">
      <c r="A443" s="31" t="str">
        <f>"R"&amp;B443</f>
        <v>R45</v>
      </c>
      <c r="B443" s="4">
        <v>45</v>
      </c>
      <c r="C443" s="4">
        <f>IFERROR(VLOOKUP(Risikovurdering!T445,Akseptkriterier!$D$4:$E$8,2,FALSE),0)</f>
        <v>0</v>
      </c>
      <c r="D443" s="4">
        <f>IFERROR(VLOOKUP(Risikovurdering!R445,Akseptkriterier!$F$4:$G$8,2,FALSE),0)</f>
        <v>0</v>
      </c>
      <c r="E443" s="4">
        <f>IFERROR(VLOOKUP(Risikovurdering!U445,Akseptkriterier!$H$4:$I$8,2,FALSE),0)</f>
        <v>0</v>
      </c>
      <c r="F443" s="4">
        <f>IFERROR(VLOOKUP(Risikovurdering!AG445,Akseptkriterier!$D$4:$E$8,2,FALSE),0)</f>
        <v>0</v>
      </c>
      <c r="G443" s="4">
        <f>IFERROR(VLOOKUP(Risikovurdering!AF445,Akseptkriterier!$F$4:$G$8,2,FALSE),0)</f>
        <v>0</v>
      </c>
      <c r="H443" s="4">
        <f>IFERROR(VLOOKUP(Risikovurdering!AH445,Akseptkriterier!$H$4:$I$8,2,FALSE),0)</f>
        <v>0</v>
      </c>
      <c r="M443" t="e">
        <f>VLOOKUP(Risikovurdering!D445,Verdivurdering!$B$2:$J$96,9,FALSE)</f>
        <v>#N/A</v>
      </c>
    </row>
    <row r="444" spans="1:13" x14ac:dyDescent="0.25">
      <c r="A444" s="30">
        <v>0</v>
      </c>
      <c r="B444" s="30">
        <v>0</v>
      </c>
      <c r="C444" s="30">
        <v>0</v>
      </c>
      <c r="D444" s="30">
        <v>0</v>
      </c>
      <c r="E444" s="30">
        <v>0</v>
      </c>
      <c r="F444" s="30">
        <v>0</v>
      </c>
      <c r="G444" s="30">
        <v>0</v>
      </c>
      <c r="H444" s="30">
        <v>0</v>
      </c>
      <c r="M444" t="e">
        <f>VLOOKUP(Risikovurdering!D446,Verdivurdering!$B$2:$J$96,9,FALSE)</f>
        <v>#N/A</v>
      </c>
    </row>
    <row r="445" spans="1:13" x14ac:dyDescent="0.25">
      <c r="A445" s="30">
        <v>0</v>
      </c>
      <c r="B445" s="30">
        <v>0</v>
      </c>
      <c r="C445" s="30">
        <v>0</v>
      </c>
      <c r="D445" s="30">
        <v>0</v>
      </c>
      <c r="E445" s="30">
        <v>0</v>
      </c>
      <c r="F445" s="30">
        <v>0</v>
      </c>
      <c r="G445" s="30">
        <v>0</v>
      </c>
      <c r="H445" s="30">
        <v>0</v>
      </c>
      <c r="M445" t="e">
        <f>VLOOKUP(Risikovurdering!D447,Verdivurdering!$B$2:$J$96,9,FALSE)</f>
        <v>#N/A</v>
      </c>
    </row>
    <row r="446" spans="1:13" x14ac:dyDescent="0.25">
      <c r="A446" s="30">
        <v>0</v>
      </c>
      <c r="B446" s="30">
        <v>0</v>
      </c>
      <c r="C446" s="30">
        <v>0</v>
      </c>
      <c r="D446" s="30">
        <v>0</v>
      </c>
      <c r="E446" s="30">
        <v>0</v>
      </c>
      <c r="F446" s="30">
        <v>0</v>
      </c>
      <c r="G446" s="30">
        <v>0</v>
      </c>
      <c r="H446" s="30">
        <v>0</v>
      </c>
      <c r="M446" t="e">
        <f>VLOOKUP(Risikovurdering!D448,Verdivurdering!$B$2:$J$96,9,FALSE)</f>
        <v>#N/A</v>
      </c>
    </row>
    <row r="447" spans="1:13" x14ac:dyDescent="0.25">
      <c r="A447" s="30">
        <v>0</v>
      </c>
      <c r="B447" s="30">
        <v>0</v>
      </c>
      <c r="C447" s="30">
        <v>0</v>
      </c>
      <c r="D447" s="30">
        <v>0</v>
      </c>
      <c r="E447" s="30">
        <v>0</v>
      </c>
      <c r="F447" s="30">
        <v>0</v>
      </c>
      <c r="G447" s="30">
        <v>0</v>
      </c>
      <c r="H447" s="30">
        <v>0</v>
      </c>
      <c r="M447" t="e">
        <f>VLOOKUP(Risikovurdering!D449,Verdivurdering!$B$2:$J$96,9,FALSE)</f>
        <v>#N/A</v>
      </c>
    </row>
    <row r="448" spans="1:13" x14ac:dyDescent="0.25">
      <c r="A448" s="30">
        <v>0</v>
      </c>
      <c r="B448" s="30">
        <v>0</v>
      </c>
      <c r="C448" s="30">
        <v>0</v>
      </c>
      <c r="D448" s="30">
        <v>0</v>
      </c>
      <c r="E448" s="30">
        <v>0</v>
      </c>
      <c r="F448" s="30">
        <v>0</v>
      </c>
      <c r="G448" s="30">
        <v>0</v>
      </c>
      <c r="H448" s="30">
        <v>0</v>
      </c>
      <c r="M448" t="e">
        <f>VLOOKUP(Risikovurdering!D450,Verdivurdering!$B$2:$J$96,9,FALSE)</f>
        <v>#N/A</v>
      </c>
    </row>
    <row r="449" spans="1:13" x14ac:dyDescent="0.25">
      <c r="A449" s="30">
        <v>0</v>
      </c>
      <c r="B449" s="30">
        <v>0</v>
      </c>
      <c r="C449" s="30">
        <v>0</v>
      </c>
      <c r="D449" s="30">
        <v>0</v>
      </c>
      <c r="E449" s="30">
        <v>0</v>
      </c>
      <c r="F449" s="30">
        <v>0</v>
      </c>
      <c r="G449" s="30">
        <v>0</v>
      </c>
      <c r="H449" s="30">
        <v>0</v>
      </c>
      <c r="M449" t="e">
        <f>VLOOKUP(Risikovurdering!D451,Verdivurdering!$B$2:$J$96,9,FALSE)</f>
        <v>#N/A</v>
      </c>
    </row>
    <row r="450" spans="1:13" x14ac:dyDescent="0.25">
      <c r="A450" s="30">
        <v>0</v>
      </c>
      <c r="B450" s="30">
        <v>0</v>
      </c>
      <c r="C450" s="30">
        <v>0</v>
      </c>
      <c r="D450" s="30">
        <v>0</v>
      </c>
      <c r="E450" s="30">
        <v>0</v>
      </c>
      <c r="F450" s="30">
        <v>0</v>
      </c>
      <c r="G450" s="30">
        <v>0</v>
      </c>
      <c r="H450" s="30">
        <v>0</v>
      </c>
      <c r="M450" t="e">
        <f>VLOOKUP(Risikovurdering!D452,Verdivurdering!$B$2:$J$96,9,FALSE)</f>
        <v>#N/A</v>
      </c>
    </row>
    <row r="451" spans="1:13" x14ac:dyDescent="0.25">
      <c r="A451" s="30">
        <v>0</v>
      </c>
      <c r="B451" s="30">
        <v>0</v>
      </c>
      <c r="C451" s="30">
        <v>0</v>
      </c>
      <c r="D451" s="30">
        <v>0</v>
      </c>
      <c r="E451" s="30">
        <v>0</v>
      </c>
      <c r="F451" s="30">
        <v>0</v>
      </c>
      <c r="G451" s="30">
        <v>0</v>
      </c>
      <c r="H451" s="30">
        <v>0</v>
      </c>
    </row>
    <row r="452" spans="1:13" x14ac:dyDescent="0.25">
      <c r="A452" s="30">
        <v>0</v>
      </c>
      <c r="B452" s="30">
        <v>0</v>
      </c>
      <c r="C452" s="30">
        <v>0</v>
      </c>
      <c r="D452" s="30">
        <v>0</v>
      </c>
      <c r="E452" s="30">
        <v>0</v>
      </c>
      <c r="F452" s="30">
        <v>0</v>
      </c>
      <c r="G452" s="30">
        <v>0</v>
      </c>
      <c r="H452" s="30">
        <v>0</v>
      </c>
    </row>
    <row r="453" spans="1:13" x14ac:dyDescent="0.25">
      <c r="A453" s="31" t="str">
        <f>"R"&amp;B453</f>
        <v>R46</v>
      </c>
      <c r="B453" s="4">
        <v>46</v>
      </c>
      <c r="C453" s="4">
        <f>IFERROR(VLOOKUP(Risikovurdering!T455,Akseptkriterier!$D$4:$E$8,2,FALSE),0)</f>
        <v>0</v>
      </c>
      <c r="D453" s="4">
        <f>IFERROR(VLOOKUP(Risikovurdering!R455,Akseptkriterier!$F$4:$G$8,2,FALSE),0)</f>
        <v>0</v>
      </c>
      <c r="E453" s="4">
        <f>IFERROR(VLOOKUP(Risikovurdering!U455,Akseptkriterier!$H$4:$I$8,2,FALSE),0)</f>
        <v>0</v>
      </c>
      <c r="F453" s="4">
        <f>IFERROR(VLOOKUP(Risikovurdering!AG455,Akseptkriterier!$D$4:$E$8,2,FALSE),0)</f>
        <v>0</v>
      </c>
      <c r="G453" s="4">
        <f>IFERROR(VLOOKUP(Risikovurdering!AF455,Akseptkriterier!$F$4:$G$8,2,FALSE),0)</f>
        <v>0</v>
      </c>
      <c r="H453" s="4">
        <f>IFERROR(VLOOKUP(Risikovurdering!AH455,Akseptkriterier!$H$4:$I$8,2,FALSE),0)</f>
        <v>0</v>
      </c>
    </row>
    <row r="454" spans="1:13" x14ac:dyDescent="0.25">
      <c r="A454" s="30">
        <v>0</v>
      </c>
      <c r="B454" s="30">
        <v>0</v>
      </c>
      <c r="C454" s="30">
        <v>0</v>
      </c>
      <c r="D454" s="30">
        <v>0</v>
      </c>
      <c r="E454" s="30">
        <v>0</v>
      </c>
      <c r="F454" s="30">
        <v>0</v>
      </c>
      <c r="G454" s="30">
        <v>0</v>
      </c>
      <c r="H454" s="30">
        <v>0</v>
      </c>
    </row>
    <row r="455" spans="1:13" x14ac:dyDescent="0.25">
      <c r="A455" s="30">
        <v>0</v>
      </c>
      <c r="B455" s="30">
        <v>0</v>
      </c>
      <c r="C455" s="30">
        <v>0</v>
      </c>
      <c r="D455" s="30">
        <v>0</v>
      </c>
      <c r="E455" s="30">
        <v>0</v>
      </c>
      <c r="F455" s="30">
        <v>0</v>
      </c>
      <c r="G455" s="30">
        <v>0</v>
      </c>
      <c r="H455" s="30">
        <v>0</v>
      </c>
    </row>
    <row r="456" spans="1:13" x14ac:dyDescent="0.25">
      <c r="A456" s="30">
        <v>0</v>
      </c>
      <c r="B456" s="30">
        <v>0</v>
      </c>
      <c r="C456" s="30">
        <v>0</v>
      </c>
      <c r="D456" s="30">
        <v>0</v>
      </c>
      <c r="E456" s="30">
        <v>0</v>
      </c>
      <c r="F456" s="30">
        <v>0</v>
      </c>
      <c r="G456" s="30">
        <v>0</v>
      </c>
      <c r="H456" s="30">
        <v>0</v>
      </c>
    </row>
    <row r="457" spans="1:13" x14ac:dyDescent="0.25">
      <c r="A457" s="30">
        <v>0</v>
      </c>
      <c r="B457" s="30">
        <v>0</v>
      </c>
      <c r="C457" s="30">
        <v>0</v>
      </c>
      <c r="D457" s="30">
        <v>0</v>
      </c>
      <c r="E457" s="30">
        <v>0</v>
      </c>
      <c r="F457" s="30">
        <v>0</v>
      </c>
      <c r="G457" s="30">
        <v>0</v>
      </c>
      <c r="H457" s="30">
        <v>0</v>
      </c>
    </row>
    <row r="458" spans="1:13" x14ac:dyDescent="0.25">
      <c r="A458" s="30">
        <v>0</v>
      </c>
      <c r="B458" s="30">
        <v>0</v>
      </c>
      <c r="C458" s="30">
        <v>0</v>
      </c>
      <c r="D458" s="30">
        <v>0</v>
      </c>
      <c r="E458" s="30">
        <v>0</v>
      </c>
      <c r="F458" s="30">
        <v>0</v>
      </c>
      <c r="G458" s="30">
        <v>0</v>
      </c>
      <c r="H458" s="30">
        <v>0</v>
      </c>
    </row>
    <row r="459" spans="1:13" x14ac:dyDescent="0.25">
      <c r="A459" s="30">
        <v>0</v>
      </c>
      <c r="B459" s="30">
        <v>0</v>
      </c>
      <c r="C459" s="30">
        <v>0</v>
      </c>
      <c r="D459" s="30">
        <v>0</v>
      </c>
      <c r="E459" s="30">
        <v>0</v>
      </c>
      <c r="F459" s="30">
        <v>0</v>
      </c>
      <c r="G459" s="30">
        <v>0</v>
      </c>
      <c r="H459" s="30">
        <v>0</v>
      </c>
    </row>
    <row r="460" spans="1:13" x14ac:dyDescent="0.25">
      <c r="A460" s="30">
        <v>0</v>
      </c>
      <c r="B460" s="30">
        <v>0</v>
      </c>
      <c r="C460" s="30">
        <v>0</v>
      </c>
      <c r="D460" s="30">
        <v>0</v>
      </c>
      <c r="E460" s="30">
        <v>0</v>
      </c>
      <c r="F460" s="30">
        <v>0</v>
      </c>
      <c r="G460" s="30">
        <v>0</v>
      </c>
      <c r="H460" s="30">
        <v>0</v>
      </c>
    </row>
    <row r="461" spans="1:13" x14ac:dyDescent="0.25">
      <c r="A461" s="30">
        <v>0</v>
      </c>
      <c r="B461" s="30">
        <v>0</v>
      </c>
      <c r="C461" s="30">
        <v>0</v>
      </c>
      <c r="D461" s="30">
        <v>0</v>
      </c>
      <c r="E461" s="30">
        <v>0</v>
      </c>
      <c r="F461" s="30">
        <v>0</v>
      </c>
      <c r="G461" s="30">
        <v>0</v>
      </c>
      <c r="H461" s="30">
        <v>0</v>
      </c>
    </row>
    <row r="462" spans="1:13" x14ac:dyDescent="0.25">
      <c r="A462" s="30">
        <v>0</v>
      </c>
      <c r="B462" s="30">
        <v>0</v>
      </c>
      <c r="C462" s="30">
        <v>0</v>
      </c>
      <c r="D462" s="30">
        <v>0</v>
      </c>
      <c r="E462" s="30">
        <v>0</v>
      </c>
      <c r="F462" s="30">
        <v>0</v>
      </c>
      <c r="G462" s="30">
        <v>0</v>
      </c>
      <c r="H462" s="30">
        <v>0</v>
      </c>
    </row>
    <row r="463" spans="1:13" x14ac:dyDescent="0.25">
      <c r="A463" s="31" t="str">
        <f>"R"&amp;B463</f>
        <v>R47</v>
      </c>
      <c r="B463" s="4">
        <v>47</v>
      </c>
      <c r="C463" s="4">
        <f>IFERROR(VLOOKUP(Risikovurdering!T465,Akseptkriterier!$D$4:$E$8,2,FALSE),0)</f>
        <v>0</v>
      </c>
      <c r="D463" s="4">
        <f>IFERROR(VLOOKUP(Risikovurdering!R465,Akseptkriterier!$F$4:$G$8,2,FALSE),0)</f>
        <v>0</v>
      </c>
      <c r="E463" s="4">
        <f>IFERROR(VLOOKUP(Risikovurdering!U465,Akseptkriterier!$H$4:$I$8,2,FALSE),0)</f>
        <v>0</v>
      </c>
      <c r="F463" s="4">
        <f>IFERROR(VLOOKUP(Risikovurdering!AG465,Akseptkriterier!$D$4:$E$8,2,FALSE),0)</f>
        <v>0</v>
      </c>
      <c r="G463" s="4">
        <f>IFERROR(VLOOKUP(Risikovurdering!AF465,Akseptkriterier!$F$4:$G$8,2,FALSE),0)</f>
        <v>0</v>
      </c>
      <c r="H463" s="4">
        <f>IFERROR(VLOOKUP(Risikovurdering!AH465,Akseptkriterier!$H$4:$I$8,2,FALSE),0)</f>
        <v>0</v>
      </c>
    </row>
    <row r="464" spans="1:13" x14ac:dyDescent="0.25">
      <c r="A464" s="30">
        <v>0</v>
      </c>
      <c r="B464" s="30">
        <v>0</v>
      </c>
      <c r="C464" s="30">
        <v>0</v>
      </c>
      <c r="D464" s="30">
        <v>0</v>
      </c>
      <c r="E464" s="30">
        <v>0</v>
      </c>
      <c r="F464" s="30">
        <v>0</v>
      </c>
      <c r="G464" s="30">
        <v>0</v>
      </c>
      <c r="H464" s="30">
        <v>0</v>
      </c>
    </row>
    <row r="465" spans="1:8" x14ac:dyDescent="0.25">
      <c r="A465" s="30">
        <v>0</v>
      </c>
      <c r="B465" s="30">
        <v>0</v>
      </c>
      <c r="C465" s="30">
        <v>0</v>
      </c>
      <c r="D465" s="30">
        <v>0</v>
      </c>
      <c r="E465" s="30">
        <v>0</v>
      </c>
      <c r="F465" s="30">
        <v>0</v>
      </c>
      <c r="G465" s="30">
        <v>0</v>
      </c>
      <c r="H465" s="30">
        <v>0</v>
      </c>
    </row>
    <row r="466" spans="1:8" x14ac:dyDescent="0.25">
      <c r="A466" s="30">
        <v>0</v>
      </c>
      <c r="B466" s="30">
        <v>0</v>
      </c>
      <c r="C466" s="30">
        <v>0</v>
      </c>
      <c r="D466" s="30">
        <v>0</v>
      </c>
      <c r="E466" s="30">
        <v>0</v>
      </c>
      <c r="F466" s="30">
        <v>0</v>
      </c>
      <c r="G466" s="30">
        <v>0</v>
      </c>
      <c r="H466" s="30">
        <v>0</v>
      </c>
    </row>
    <row r="467" spans="1:8" x14ac:dyDescent="0.25">
      <c r="A467" s="30">
        <v>0</v>
      </c>
      <c r="B467" s="30">
        <v>0</v>
      </c>
      <c r="C467" s="30">
        <v>0</v>
      </c>
      <c r="D467" s="30">
        <v>0</v>
      </c>
      <c r="E467" s="30">
        <v>0</v>
      </c>
      <c r="F467" s="30">
        <v>0</v>
      </c>
      <c r="G467" s="30">
        <v>0</v>
      </c>
      <c r="H467" s="30">
        <v>0</v>
      </c>
    </row>
    <row r="468" spans="1:8" x14ac:dyDescent="0.25">
      <c r="A468" s="30">
        <v>0</v>
      </c>
      <c r="B468" s="30">
        <v>0</v>
      </c>
      <c r="C468" s="30">
        <v>0</v>
      </c>
      <c r="D468" s="30">
        <v>0</v>
      </c>
      <c r="E468" s="30">
        <v>0</v>
      </c>
      <c r="F468" s="30">
        <v>0</v>
      </c>
      <c r="G468" s="30">
        <v>0</v>
      </c>
      <c r="H468" s="30">
        <v>0</v>
      </c>
    </row>
    <row r="469" spans="1:8" x14ac:dyDescent="0.25">
      <c r="A469" s="30">
        <v>0</v>
      </c>
      <c r="B469" s="30">
        <v>0</v>
      </c>
      <c r="C469" s="30">
        <v>0</v>
      </c>
      <c r="D469" s="30">
        <v>0</v>
      </c>
      <c r="E469" s="30">
        <v>0</v>
      </c>
      <c r="F469" s="30">
        <v>0</v>
      </c>
      <c r="G469" s="30">
        <v>0</v>
      </c>
      <c r="H469" s="30">
        <v>0</v>
      </c>
    </row>
    <row r="470" spans="1:8" x14ac:dyDescent="0.25">
      <c r="A470" s="30">
        <v>0</v>
      </c>
      <c r="B470" s="30">
        <v>0</v>
      </c>
      <c r="C470" s="30">
        <v>0</v>
      </c>
      <c r="D470" s="30">
        <v>0</v>
      </c>
      <c r="E470" s="30">
        <v>0</v>
      </c>
      <c r="F470" s="30">
        <v>0</v>
      </c>
      <c r="G470" s="30">
        <v>0</v>
      </c>
      <c r="H470" s="30">
        <v>0</v>
      </c>
    </row>
    <row r="471" spans="1:8" x14ac:dyDescent="0.25">
      <c r="A471" s="30">
        <v>0</v>
      </c>
      <c r="B471" s="30">
        <v>0</v>
      </c>
      <c r="C471" s="30">
        <v>0</v>
      </c>
      <c r="D471" s="30">
        <v>0</v>
      </c>
      <c r="E471" s="30">
        <v>0</v>
      </c>
      <c r="F471" s="30">
        <v>0</v>
      </c>
      <c r="G471" s="30">
        <v>0</v>
      </c>
      <c r="H471" s="30">
        <v>0</v>
      </c>
    </row>
    <row r="472" spans="1:8" x14ac:dyDescent="0.25">
      <c r="A472" s="30">
        <v>0</v>
      </c>
      <c r="B472" s="30">
        <v>0</v>
      </c>
      <c r="C472" s="30">
        <v>0</v>
      </c>
      <c r="D472" s="30">
        <v>0</v>
      </c>
      <c r="E472" s="30">
        <v>0</v>
      </c>
      <c r="F472" s="30">
        <v>0</v>
      </c>
      <c r="G472" s="30">
        <v>0</v>
      </c>
      <c r="H472" s="30">
        <v>0</v>
      </c>
    </row>
    <row r="473" spans="1:8" x14ac:dyDescent="0.25">
      <c r="A473" s="31" t="str">
        <f>"R"&amp;B473</f>
        <v>R48</v>
      </c>
      <c r="B473" s="4">
        <v>48</v>
      </c>
      <c r="C473" s="4">
        <f>IFERROR(VLOOKUP(Risikovurdering!T475,Akseptkriterier!$D$4:$E$8,2,FALSE),0)</f>
        <v>0</v>
      </c>
      <c r="D473" s="4">
        <f>IFERROR(VLOOKUP(Risikovurdering!R475,Akseptkriterier!$F$4:$G$8,2,FALSE),0)</f>
        <v>0</v>
      </c>
      <c r="E473" s="4">
        <f>IFERROR(VLOOKUP(Risikovurdering!U475,Akseptkriterier!$H$4:$I$8,2,FALSE),0)</f>
        <v>0</v>
      </c>
      <c r="F473" s="4">
        <f>IFERROR(VLOOKUP(Risikovurdering!AG475,Akseptkriterier!$D$4:$E$8,2,FALSE),0)</f>
        <v>0</v>
      </c>
      <c r="G473" s="4">
        <f>IFERROR(VLOOKUP(Risikovurdering!AF475,Akseptkriterier!$F$4:$G$8,2,FALSE),0)</f>
        <v>0</v>
      </c>
      <c r="H473" s="4">
        <f>IFERROR(VLOOKUP(Risikovurdering!AH475,Akseptkriterier!$H$4:$I$8,2,FALSE),0)</f>
        <v>0</v>
      </c>
    </row>
    <row r="474" spans="1:8" x14ac:dyDescent="0.25">
      <c r="A474" s="30">
        <v>0</v>
      </c>
      <c r="B474" s="30">
        <v>0</v>
      </c>
      <c r="C474" s="30">
        <v>0</v>
      </c>
      <c r="D474" s="30">
        <v>0</v>
      </c>
      <c r="E474" s="30">
        <v>0</v>
      </c>
      <c r="F474" s="30">
        <v>0</v>
      </c>
      <c r="G474" s="30">
        <v>0</v>
      </c>
      <c r="H474" s="30">
        <v>0</v>
      </c>
    </row>
    <row r="475" spans="1:8" x14ac:dyDescent="0.25">
      <c r="A475" s="30">
        <v>0</v>
      </c>
      <c r="B475" s="30">
        <v>0</v>
      </c>
      <c r="C475" s="30">
        <v>0</v>
      </c>
      <c r="D475" s="30">
        <v>0</v>
      </c>
      <c r="E475" s="30">
        <v>0</v>
      </c>
      <c r="F475" s="30">
        <v>0</v>
      </c>
      <c r="G475" s="30">
        <v>0</v>
      </c>
      <c r="H475" s="30">
        <v>0</v>
      </c>
    </row>
    <row r="476" spans="1:8" x14ac:dyDescent="0.25">
      <c r="A476" s="30">
        <v>0</v>
      </c>
      <c r="B476" s="30">
        <v>0</v>
      </c>
      <c r="C476" s="30">
        <v>0</v>
      </c>
      <c r="D476" s="30">
        <v>0</v>
      </c>
      <c r="E476" s="30">
        <v>0</v>
      </c>
      <c r="F476" s="30">
        <v>0</v>
      </c>
      <c r="G476" s="30">
        <v>0</v>
      </c>
      <c r="H476" s="30">
        <v>0</v>
      </c>
    </row>
    <row r="477" spans="1:8" x14ac:dyDescent="0.25">
      <c r="A477" s="30">
        <v>0</v>
      </c>
      <c r="B477" s="30">
        <v>0</v>
      </c>
      <c r="C477" s="30">
        <v>0</v>
      </c>
      <c r="D477" s="30">
        <v>0</v>
      </c>
      <c r="E477" s="30">
        <v>0</v>
      </c>
      <c r="F477" s="30">
        <v>0</v>
      </c>
      <c r="G477" s="30">
        <v>0</v>
      </c>
      <c r="H477" s="30">
        <v>0</v>
      </c>
    </row>
    <row r="478" spans="1:8" x14ac:dyDescent="0.25">
      <c r="A478" s="30">
        <v>0</v>
      </c>
      <c r="B478" s="30">
        <v>0</v>
      </c>
      <c r="C478" s="30">
        <v>0</v>
      </c>
      <c r="D478" s="30">
        <v>0</v>
      </c>
      <c r="E478" s="30">
        <v>0</v>
      </c>
      <c r="F478" s="30">
        <v>0</v>
      </c>
      <c r="G478" s="30">
        <v>0</v>
      </c>
      <c r="H478" s="30">
        <v>0</v>
      </c>
    </row>
    <row r="479" spans="1:8" x14ac:dyDescent="0.25">
      <c r="A479" s="30">
        <v>0</v>
      </c>
      <c r="B479" s="30">
        <v>0</v>
      </c>
      <c r="C479" s="30">
        <v>0</v>
      </c>
      <c r="D479" s="30">
        <v>0</v>
      </c>
      <c r="E479" s="30">
        <v>0</v>
      </c>
      <c r="F479" s="30">
        <v>0</v>
      </c>
      <c r="G479" s="30">
        <v>0</v>
      </c>
      <c r="H479" s="30">
        <v>0</v>
      </c>
    </row>
    <row r="480" spans="1:8" x14ac:dyDescent="0.25">
      <c r="A480" s="30">
        <v>0</v>
      </c>
      <c r="B480" s="30">
        <v>0</v>
      </c>
      <c r="C480" s="30">
        <v>0</v>
      </c>
      <c r="D480" s="30">
        <v>0</v>
      </c>
      <c r="E480" s="30">
        <v>0</v>
      </c>
      <c r="F480" s="30">
        <v>0</v>
      </c>
      <c r="G480" s="30">
        <v>0</v>
      </c>
      <c r="H480" s="30">
        <v>0</v>
      </c>
    </row>
    <row r="481" spans="1:8" x14ac:dyDescent="0.25">
      <c r="A481" s="30">
        <v>0</v>
      </c>
      <c r="B481" s="30">
        <v>0</v>
      </c>
      <c r="C481" s="30">
        <v>0</v>
      </c>
      <c r="D481" s="30">
        <v>0</v>
      </c>
      <c r="E481" s="30">
        <v>0</v>
      </c>
      <c r="F481" s="30">
        <v>0</v>
      </c>
      <c r="G481" s="30">
        <v>0</v>
      </c>
      <c r="H481" s="30">
        <v>0</v>
      </c>
    </row>
    <row r="482" spans="1:8" x14ac:dyDescent="0.25">
      <c r="A482" s="30">
        <v>0</v>
      </c>
      <c r="B482" s="30">
        <v>0</v>
      </c>
      <c r="C482" s="30">
        <v>0</v>
      </c>
      <c r="D482" s="30">
        <v>0</v>
      </c>
      <c r="E482" s="30">
        <v>0</v>
      </c>
      <c r="F482" s="30">
        <v>0</v>
      </c>
      <c r="G482" s="30">
        <v>0</v>
      </c>
      <c r="H482" s="30">
        <v>0</v>
      </c>
    </row>
    <row r="483" spans="1:8" x14ac:dyDescent="0.25">
      <c r="A483" s="31" t="str">
        <f>"R"&amp;B483</f>
        <v>R49</v>
      </c>
      <c r="B483" s="4">
        <v>49</v>
      </c>
      <c r="C483" s="4">
        <f>IFERROR(VLOOKUP(Risikovurdering!T485,Akseptkriterier!$D$4:$E$8,2,FALSE),0)</f>
        <v>0</v>
      </c>
      <c r="D483" s="4">
        <f>IFERROR(VLOOKUP(Risikovurdering!R485,Akseptkriterier!$F$4:$G$8,2,FALSE),0)</f>
        <v>0</v>
      </c>
      <c r="E483" s="4">
        <f>IFERROR(VLOOKUP(Risikovurdering!U485,Akseptkriterier!$H$4:$I$8,2,FALSE),0)</f>
        <v>0</v>
      </c>
      <c r="F483" s="4">
        <f>IFERROR(VLOOKUP(Risikovurdering!AG485,Akseptkriterier!$D$4:$E$8,2,FALSE),0)</f>
        <v>0</v>
      </c>
      <c r="G483" s="4">
        <f>IFERROR(VLOOKUP(Risikovurdering!AF485,Akseptkriterier!$F$4:$G$8,2,FALSE),0)</f>
        <v>0</v>
      </c>
      <c r="H483" s="4">
        <f>IFERROR(VLOOKUP(Risikovurdering!AH485,Akseptkriterier!$H$4:$I$8,2,FALSE),0)</f>
        <v>0</v>
      </c>
    </row>
    <row r="484" spans="1:8" x14ac:dyDescent="0.25">
      <c r="A484" s="30">
        <v>0</v>
      </c>
      <c r="B484" s="30">
        <v>0</v>
      </c>
      <c r="C484" s="30">
        <v>0</v>
      </c>
      <c r="D484" s="30">
        <v>0</v>
      </c>
      <c r="E484" s="30">
        <v>0</v>
      </c>
      <c r="F484" s="30">
        <v>0</v>
      </c>
      <c r="G484" s="30">
        <v>0</v>
      </c>
      <c r="H484" s="30">
        <v>0</v>
      </c>
    </row>
    <row r="485" spans="1:8" x14ac:dyDescent="0.25">
      <c r="A485" s="30">
        <v>0</v>
      </c>
      <c r="B485" s="30">
        <v>0</v>
      </c>
      <c r="C485" s="30">
        <v>0</v>
      </c>
      <c r="D485" s="30">
        <v>0</v>
      </c>
      <c r="E485" s="30">
        <v>0</v>
      </c>
      <c r="F485" s="30">
        <v>0</v>
      </c>
      <c r="G485" s="30">
        <v>0</v>
      </c>
      <c r="H485" s="30">
        <v>0</v>
      </c>
    </row>
    <row r="486" spans="1:8" x14ac:dyDescent="0.25">
      <c r="A486" s="30">
        <v>0</v>
      </c>
      <c r="B486" s="30">
        <v>0</v>
      </c>
      <c r="C486" s="30">
        <v>0</v>
      </c>
      <c r="D486" s="30">
        <v>0</v>
      </c>
      <c r="E486" s="30">
        <v>0</v>
      </c>
      <c r="F486" s="30">
        <v>0</v>
      </c>
      <c r="G486" s="30">
        <v>0</v>
      </c>
      <c r="H486" s="30">
        <v>0</v>
      </c>
    </row>
    <row r="487" spans="1:8" x14ac:dyDescent="0.25">
      <c r="A487" s="30">
        <v>0</v>
      </c>
      <c r="B487" s="30">
        <v>0</v>
      </c>
      <c r="C487" s="30">
        <v>0</v>
      </c>
      <c r="D487" s="30">
        <v>0</v>
      </c>
      <c r="E487" s="30">
        <v>0</v>
      </c>
      <c r="F487" s="30">
        <v>0</v>
      </c>
      <c r="G487" s="30">
        <v>0</v>
      </c>
      <c r="H487" s="30">
        <v>0</v>
      </c>
    </row>
    <row r="488" spans="1:8" x14ac:dyDescent="0.25">
      <c r="A488" s="30">
        <v>0</v>
      </c>
      <c r="B488" s="30">
        <v>0</v>
      </c>
      <c r="C488" s="30">
        <v>0</v>
      </c>
      <c r="D488" s="30">
        <v>0</v>
      </c>
      <c r="E488" s="30">
        <v>0</v>
      </c>
      <c r="F488" s="30">
        <v>0</v>
      </c>
      <c r="G488" s="30">
        <v>0</v>
      </c>
      <c r="H488" s="30">
        <v>0</v>
      </c>
    </row>
    <row r="489" spans="1:8" x14ac:dyDescent="0.25">
      <c r="A489" s="30">
        <v>0</v>
      </c>
      <c r="B489" s="30">
        <v>0</v>
      </c>
      <c r="C489" s="30">
        <v>0</v>
      </c>
      <c r="D489" s="30">
        <v>0</v>
      </c>
      <c r="E489" s="30">
        <v>0</v>
      </c>
      <c r="F489" s="30">
        <v>0</v>
      </c>
      <c r="G489" s="30">
        <v>0</v>
      </c>
      <c r="H489" s="30">
        <v>0</v>
      </c>
    </row>
    <row r="490" spans="1:8" x14ac:dyDescent="0.25">
      <c r="A490" s="30">
        <v>0</v>
      </c>
      <c r="B490" s="30">
        <v>0</v>
      </c>
      <c r="C490" s="30">
        <v>0</v>
      </c>
      <c r="D490" s="30">
        <v>0</v>
      </c>
      <c r="E490" s="30">
        <v>0</v>
      </c>
      <c r="F490" s="30">
        <v>0</v>
      </c>
      <c r="G490" s="30">
        <v>0</v>
      </c>
      <c r="H490" s="30">
        <v>0</v>
      </c>
    </row>
    <row r="491" spans="1:8" x14ac:dyDescent="0.25">
      <c r="A491" s="30">
        <v>0</v>
      </c>
      <c r="B491" s="30">
        <v>0</v>
      </c>
      <c r="C491" s="30">
        <v>0</v>
      </c>
      <c r="D491" s="30">
        <v>0</v>
      </c>
      <c r="E491" s="30">
        <v>0</v>
      </c>
      <c r="F491" s="30">
        <v>0</v>
      </c>
      <c r="G491" s="30">
        <v>0</v>
      </c>
      <c r="H491" s="30">
        <v>0</v>
      </c>
    </row>
    <row r="492" spans="1:8" x14ac:dyDescent="0.25">
      <c r="A492" s="30">
        <v>0</v>
      </c>
      <c r="B492" s="30">
        <v>0</v>
      </c>
      <c r="C492" s="30">
        <v>0</v>
      </c>
      <c r="D492" s="30">
        <v>0</v>
      </c>
      <c r="E492" s="30">
        <v>0</v>
      </c>
      <c r="F492" s="30">
        <v>0</v>
      </c>
      <c r="G492" s="30">
        <v>0</v>
      </c>
      <c r="H492" s="30">
        <v>0</v>
      </c>
    </row>
    <row r="493" spans="1:8" x14ac:dyDescent="0.25">
      <c r="A493" s="31" t="str">
        <f>"R"&amp;B493</f>
        <v>R50</v>
      </c>
      <c r="B493" s="4">
        <v>50</v>
      </c>
      <c r="C493" s="4">
        <f>IFERROR(VLOOKUP(Risikovurdering!T495,Akseptkriterier!$D$4:$E$8,2,FALSE),0)</f>
        <v>0</v>
      </c>
      <c r="D493" s="4">
        <f>IFERROR(VLOOKUP(Risikovurdering!R495,Akseptkriterier!$F$4:$G$8,2,FALSE),0)</f>
        <v>0</v>
      </c>
      <c r="E493" s="4">
        <f>IFERROR(VLOOKUP(Risikovurdering!U495,Akseptkriterier!$H$4:$I$8,2,FALSE),0)</f>
        <v>0</v>
      </c>
      <c r="F493" s="4">
        <f>IFERROR(VLOOKUP(Risikovurdering!AG495,Akseptkriterier!$D$4:$E$8,2,FALSE),0)</f>
        <v>0</v>
      </c>
      <c r="G493" s="4">
        <f>IFERROR(VLOOKUP(Risikovurdering!AF495,Akseptkriterier!$F$4:$G$8,2,FALSE),0)</f>
        <v>0</v>
      </c>
      <c r="H493" s="4">
        <f>IFERROR(VLOOKUP(Risikovurdering!AH495,Akseptkriterier!$H$4:$I$8,2,FALSE),0)</f>
        <v>0</v>
      </c>
    </row>
  </sheetData>
  <mergeCells count="1">
    <mergeCell ref="A1:A2"/>
  </mergeCells>
  <dataValidations count="2">
    <dataValidation allowBlank="1" showInputMessage="1" showErrorMessage="1" errorTitle="Feil" error="Velg en verdi fra nedtrekksmenyen" sqref="H3:J3 I4:J102 E3 C3 E493 H493:H543 C13 H13 E13 E23 C23 H23 H33 E33 C33 C43 H43 E43 E53 C53 H53 H63 E63 C63 C73 H73 E73 E83 C83 H83 H93 E93 C93 C103 H103 E103 E113 C113 H113 H123 E123 C123 C133 H133 E133 E143 C143 H143 H153 E153 C153 C163 H163 E163 E173 C173 H173 H183 E183 C183 C193 H193 E193 E203 C203 H203 H213 E213 C213 C223 H223 E223 E233 C233 H233 H243 E243 C243 C253 H253 E253 E263 C263 H263 H273 E273 C273 C283 H283 E283 E293 C293 H293 H303 E303 C303 C313 H313 E313 E323 C323 H323 H333 E333 C333 C343 H343 E343 E353 C353 H353 H363 E363 C363 C373 H373 E373 E383 C383 H383 H393 E393 C393 C403 H403 E403 E413 C413 H413 H423 E423 C423 C433 H433 E433 E443 C443 H443 H453 E453 C453 C463 H463 E463 E473 C473 H473 H483 E483 C483 C493" xr:uid="{00000000-0002-0000-0B00-000000000000}"/>
    <dataValidation allowBlank="1" showInputMessage="1" showErrorMessage="1" error="Velg en verdi fra nedtrekkslisten" sqref="F3:G3 D3 F493:G493 D13 F13:G13 F23:G23 D23 D33 F33:G33 F43:G43 D43 D53 F53:G53 F63:G63 D63 D73 F73:G73 F83:G83 D83 D93 F93:G93 F103:G103 D103 D113 F113:G113 F123:G123 D123 D133 F133:G133 F143:G143 D143 D153 F153:G153 F163:G163 D163 D173 F173:G173 F183:G183 D183 D193 F193:G193 F203:G203 D203 D213 F213:G213 F223:G223 D223 D233 F233:G233 F243:G243 D243 D253 F253:G253 F263:G263 D263 D273 F273:G273 F283:G283 D283 D293 F293:G293 F303:G303 D303 D313 F313:G313 F323:G323 D323 D333 F333:G333 F343:G343 D343 D353 F353:G353 F363:G363 D363 D373 F373:G373 F383:G383 D383 D393 F393:G393 F403:G403 D403 D413 F413:G413 F423:G423 D423 D433 F433:G433 F443:G443 D443 D453 F453:G453 F463:G463 D463 D473 F473:G473 F483:G483 D483 D493" xr:uid="{00000000-0002-0000-0B00-000001000000}"/>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Ark1">
    <tabColor theme="0" tint="-0.499984740745262"/>
  </sheetPr>
  <dimension ref="A1:D5"/>
  <sheetViews>
    <sheetView showGridLines="0" showRowColHeaders="0" workbookViewId="0">
      <selection activeCell="C4" sqref="C4"/>
    </sheetView>
  </sheetViews>
  <sheetFormatPr baseColWidth="10" defaultColWidth="11.5703125" defaultRowHeight="15" x14ac:dyDescent="0.25"/>
  <cols>
    <col min="3" max="3" width="87.5703125" customWidth="1"/>
    <col min="4" max="4" width="39.140625" customWidth="1"/>
  </cols>
  <sheetData>
    <row r="1" spans="1:4" ht="18.75" x14ac:dyDescent="0.3">
      <c r="A1" s="43" t="s">
        <v>248</v>
      </c>
      <c r="B1" s="43" t="s">
        <v>249</v>
      </c>
      <c r="C1" s="43" t="s">
        <v>250</v>
      </c>
      <c r="D1" s="43" t="s">
        <v>251</v>
      </c>
    </row>
    <row r="2" spans="1:4" s="49" customFormat="1" ht="45" x14ac:dyDescent="0.25">
      <c r="A2" s="46" t="s">
        <v>252</v>
      </c>
      <c r="B2" s="47">
        <v>42852</v>
      </c>
      <c r="C2" s="48" t="s">
        <v>253</v>
      </c>
      <c r="D2" s="46" t="s">
        <v>254</v>
      </c>
    </row>
    <row r="3" spans="1:4" s="45" customFormat="1" ht="90" x14ac:dyDescent="0.25">
      <c r="A3" s="46" t="s">
        <v>255</v>
      </c>
      <c r="B3" s="47">
        <v>42851</v>
      </c>
      <c r="C3" s="48" t="s">
        <v>256</v>
      </c>
      <c r="D3" s="46" t="s">
        <v>254</v>
      </c>
    </row>
    <row r="4" spans="1:4" ht="90" x14ac:dyDescent="0.25">
      <c r="A4" s="42" t="s">
        <v>257</v>
      </c>
      <c r="B4" s="44">
        <v>42738</v>
      </c>
      <c r="C4" s="21" t="s">
        <v>258</v>
      </c>
      <c r="D4" s="42" t="s">
        <v>254</v>
      </c>
    </row>
    <row r="5" spans="1:4" ht="195" x14ac:dyDescent="0.25">
      <c r="A5" s="42" t="s">
        <v>259</v>
      </c>
      <c r="B5" s="44">
        <v>43096</v>
      </c>
      <c r="C5" s="21" t="s">
        <v>260</v>
      </c>
      <c r="D5" s="42" t="s">
        <v>254</v>
      </c>
    </row>
  </sheetData>
  <sheetProtection selectLockedCell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1fc74a2-d51e-4c36-a4da-0b2a941d4e68">
      <Terms xmlns="http://schemas.microsoft.com/office/infopath/2007/PartnerControls"/>
    </lcf76f155ced4ddcb4097134ff3c332f>
    <TaxCatchAll xmlns="c0575d2e-6bd2-490f-8903-86eafe0953a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B6DFDACF7F1AB34C88055812A86A1E15" ma:contentTypeVersion="16" ma:contentTypeDescription="Opprett et nytt dokument." ma:contentTypeScope="" ma:versionID="c9018df83accf7c458a29a90b450cdbb">
  <xsd:schema xmlns:xsd="http://www.w3.org/2001/XMLSchema" xmlns:xs="http://www.w3.org/2001/XMLSchema" xmlns:p="http://schemas.microsoft.com/office/2006/metadata/properties" xmlns:ns2="d1fc74a2-d51e-4c36-a4da-0b2a941d4e68" xmlns:ns3="c0575d2e-6bd2-490f-8903-86eafe0953ab" targetNamespace="http://schemas.microsoft.com/office/2006/metadata/properties" ma:root="true" ma:fieldsID="764e39dd10fe9884c29c3f03de4daf43" ns2:_="" ns3:_="">
    <xsd:import namespace="d1fc74a2-d51e-4c36-a4da-0b2a941d4e68"/>
    <xsd:import namespace="c0575d2e-6bd2-490f-8903-86eafe0953a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fc74a2-d51e-4c36-a4da-0b2a941d4e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Bildemerkelapper" ma:readOnly="false" ma:fieldId="{5cf76f15-5ced-4ddc-b409-7134ff3c332f}" ma:taxonomyMulti="true" ma:sspId="c528fd71-ad7b-48f8-811b-c0b5643803ab" ma:termSetId="09814cd3-568e-fe90-9814-8d621ff8fb84" ma:anchorId="fba54fb3-c3e1-fe81-a776-ca4b69148c4d" ma:open="true" ma:isKeyword="false">
      <xsd:complexType>
        <xsd:sequence>
          <xsd:element ref="pc:Terms" minOccurs="0" maxOccurs="1"/>
        </xsd:sequence>
      </xsd:complex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575d2e-6bd2-490f-8903-86eafe0953a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a637e43-8609-4e71-90d6-11d3e9589775}" ma:internalName="TaxCatchAll" ma:showField="CatchAllData" ma:web="c0575d2e-6bd2-490f-8903-86eafe0953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1751CD-C054-4500-B4F3-ED3CC6811E09}">
  <ds:schemaRefs>
    <ds:schemaRef ds:uri="http://schemas.microsoft.com/sharepoint/v3/contenttype/forms"/>
  </ds:schemaRefs>
</ds:datastoreItem>
</file>

<file path=customXml/itemProps2.xml><?xml version="1.0" encoding="utf-8"?>
<ds:datastoreItem xmlns:ds="http://schemas.openxmlformats.org/officeDocument/2006/customXml" ds:itemID="{2FB2BE88-87F2-4517-A15A-2D91677DCA93}">
  <ds:schemaRefs>
    <ds:schemaRef ds:uri="http://purl.org/dc/terms/"/>
    <ds:schemaRef ds:uri="286c3c81-6958-45df-9878-08507a449636"/>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 ds:uri="d1fc74a2-d51e-4c36-a4da-0b2a941d4e68"/>
    <ds:schemaRef ds:uri="c0575d2e-6bd2-490f-8903-86eafe0953ab"/>
  </ds:schemaRefs>
</ds:datastoreItem>
</file>

<file path=customXml/itemProps3.xml><?xml version="1.0" encoding="utf-8"?>
<ds:datastoreItem xmlns:ds="http://schemas.openxmlformats.org/officeDocument/2006/customXml" ds:itemID="{E860154D-405A-4C81-BD91-C34C4E04B2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fc74a2-d51e-4c36-a4da-0b2a941d4e68"/>
    <ds:schemaRef ds:uri="c0575d2e-6bd2-490f-8903-86eafe0953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18</vt:i4>
      </vt:variant>
      <vt:variant>
        <vt:lpstr>Navngitte områder</vt:lpstr>
      </vt:variant>
      <vt:variant>
        <vt:i4>7</vt:i4>
      </vt:variant>
    </vt:vector>
  </HeadingPairs>
  <TitlesOfParts>
    <vt:vector size="25" baseType="lpstr">
      <vt:lpstr>Forside</vt:lpstr>
      <vt:lpstr>Veiledning</vt:lpstr>
      <vt:lpstr>Akseptkriterier</vt:lpstr>
      <vt:lpstr>Verdivurdering</vt:lpstr>
      <vt:lpstr>Konsekvens av nedetid</vt:lpstr>
      <vt:lpstr>Trusselvurdering</vt:lpstr>
      <vt:lpstr>Forretningsprosesser</vt:lpstr>
      <vt:lpstr>Sårbarheter</vt:lpstr>
      <vt:lpstr>Risikovurdering</vt:lpstr>
      <vt:lpstr>Tiltaksliste_data</vt:lpstr>
      <vt:lpstr>Tiltaksliste</vt:lpstr>
      <vt:lpstr>Risikomatrise</vt:lpstr>
      <vt:lpstr>Kopi av tiltaksliste</vt:lpstr>
      <vt:lpstr>RisikomatriseTabellDump</vt:lpstr>
      <vt:lpstr>Sheet1</vt:lpstr>
      <vt:lpstr>Datasource 2</vt:lpstr>
      <vt:lpstr>Risikovurdering_data</vt:lpstr>
      <vt:lpstr>Change log</vt:lpstr>
      <vt:lpstr>Ja_nei</vt:lpstr>
      <vt:lpstr>Prioritetsliste</vt:lpstr>
      <vt:lpstr>Prioritetsliste_alt</vt:lpstr>
      <vt:lpstr>Skala</vt:lpstr>
      <vt:lpstr>Skala_tekst</vt:lpstr>
      <vt:lpstr>'Datasource 2'!Tilstand</vt:lpstr>
      <vt:lpstr>Tilstand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Cecilie Bergh</cp:lastModifiedBy>
  <cp:revision/>
  <cp:lastPrinted>2022-12-15T08:04:53Z</cp:lastPrinted>
  <dcterms:created xsi:type="dcterms:W3CDTF">2015-12-11T08:16:12Z</dcterms:created>
  <dcterms:modified xsi:type="dcterms:W3CDTF">2023-04-27T12:56:28Z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0x010100B6DFDACF7F1AB34C88055812A86A1E15</vt:lpwstr>
  </property>
  <property fmtid="{D5CDD505-2E9C-101B-9397-08002B2CF9AE}" pid="3" name="Order">
    <vt:r8>100</vt:r8>
  </property>
  <property fmtid="{D5CDD505-2E9C-101B-9397-08002B2CF9AE}" pid="4" name="MediaServiceImageTags">
    <vt:lpwstr/>
  </property>
  <property fmtid="{D5CDD505-2E9C-101B-9397-08002B2CF9AE}" pid="5" name="MSIP_Label_7a2396b7-5846-48ff-8468-5f49f8ad722a_Enabled">
    <vt:lpwstr>true</vt:lpwstr>
  </property>
  <property fmtid="{D5CDD505-2E9C-101B-9397-08002B2CF9AE}" pid="6" name="MSIP_Label_7a2396b7-5846-48ff-8468-5f49f8ad722a_SetDate">
    <vt:lpwstr>2023-01-10T12:03:20Z</vt:lpwstr>
  </property>
  <property fmtid="{D5CDD505-2E9C-101B-9397-08002B2CF9AE}" pid="7" name="MSIP_Label_7a2396b7-5846-48ff-8468-5f49f8ad722a_Method">
    <vt:lpwstr>Standard</vt:lpwstr>
  </property>
  <property fmtid="{D5CDD505-2E9C-101B-9397-08002B2CF9AE}" pid="8" name="MSIP_Label_7a2396b7-5846-48ff-8468-5f49f8ad722a_Name">
    <vt:lpwstr>Lav</vt:lpwstr>
  </property>
  <property fmtid="{D5CDD505-2E9C-101B-9397-08002B2CF9AE}" pid="9" name="MSIP_Label_7a2396b7-5846-48ff-8468-5f49f8ad722a_SiteId">
    <vt:lpwstr>e6795081-6391-442e-9ab4-5e9ef74f18ea</vt:lpwstr>
  </property>
  <property fmtid="{D5CDD505-2E9C-101B-9397-08002B2CF9AE}" pid="10" name="MSIP_Label_7a2396b7-5846-48ff-8468-5f49f8ad722a_ActionId">
    <vt:lpwstr>143ff8e8-0471-4ebc-b65b-a209d30c6757</vt:lpwstr>
  </property>
  <property fmtid="{D5CDD505-2E9C-101B-9397-08002B2CF9AE}" pid="11" name="MSIP_Label_7a2396b7-5846-48ff-8468-5f49f8ad722a_ContentBits">
    <vt:lpwstr>0</vt:lpwstr>
  </property>
  <property fmtid="{D5CDD505-2E9C-101B-9397-08002B2CF9AE}" pid="12" name="MSIP_Label_c5e6e129-f928-4a05-ae32-d838f6b21bdd_Enabled">
    <vt:lpwstr>true</vt:lpwstr>
  </property>
  <property fmtid="{D5CDD505-2E9C-101B-9397-08002B2CF9AE}" pid="13" name="MSIP_Label_c5e6e129-f928-4a05-ae32-d838f6b21bdd_SetDate">
    <vt:lpwstr>2023-02-02T14:16:57Z</vt:lpwstr>
  </property>
  <property fmtid="{D5CDD505-2E9C-101B-9397-08002B2CF9AE}" pid="14" name="MSIP_Label_c5e6e129-f928-4a05-ae32-d838f6b21bdd_Method">
    <vt:lpwstr>Standard</vt:lpwstr>
  </property>
  <property fmtid="{D5CDD505-2E9C-101B-9397-08002B2CF9AE}" pid="15" name="MSIP_Label_c5e6e129-f928-4a05-ae32-d838f6b21bdd_Name">
    <vt:lpwstr>EN Restricted use</vt:lpwstr>
  </property>
  <property fmtid="{D5CDD505-2E9C-101B-9397-08002B2CF9AE}" pid="16" name="MSIP_Label_c5e6e129-f928-4a05-ae32-d838f6b21bdd_SiteId">
    <vt:lpwstr>8b87af7d-8647-4dc7-8df4-5f69a2011bb5</vt:lpwstr>
  </property>
  <property fmtid="{D5CDD505-2E9C-101B-9397-08002B2CF9AE}" pid="17" name="MSIP_Label_c5e6e129-f928-4a05-ae32-d838f6b21bdd_ActionId">
    <vt:lpwstr>0b544dd2-53cf-4bfd-a648-48ca95b0917b</vt:lpwstr>
  </property>
  <property fmtid="{D5CDD505-2E9C-101B-9397-08002B2CF9AE}" pid="18" name="MSIP_Label_c5e6e129-f928-4a05-ae32-d838f6b21bdd_ContentBits">
    <vt:lpwstr>3</vt:lpwstr>
  </property>
</Properties>
</file>